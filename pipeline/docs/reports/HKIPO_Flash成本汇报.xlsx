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报摘要" sheetId="1" state="visible" r:id="rId1"/>
    <sheet xmlns:r="http://schemas.openxmlformats.org/officeDocument/2006/relationships" name="单价假设" sheetId="2" state="visible" r:id="rId2"/>
    <sheet xmlns:r="http://schemas.openxmlformats.org/officeDocument/2006/relationships" name="对照方案" sheetId="3" state="visible" r:id="rId3"/>
    <sheet xmlns:r="http://schemas.openxmlformats.org/officeDocument/2006/relationships" name="待抽明细" sheetId="4" state="visible" r:id="rId4"/>
    <sheet xmlns:r="http://schemas.openxmlformats.org/officeDocument/2006/relationships" name="口径与方法" sheetId="5" state="visible" r:id="rId5"/>
  </sheets>
  <definedNames>
    <definedName name="_xlnm._FilterDatabase" localSheetId="0" hidden="1">'汇报摘要'!$B$24:$F$28</definedName>
    <definedName name="_xlnm.Print_Titles" localSheetId="0">'汇报摘要'!$1:$3</definedName>
    <definedName name="_xlnm.Print_Area" localSheetId="0">'汇报摘要'!$A$1:$H$46</definedName>
    <definedName name="_xlnm.Print_Area" localSheetId="1">'单价假设'!$A$1:$F$53</definedName>
    <definedName name="_xlnm._FilterDatabase" localSheetId="2" hidden="1">'对照方案'!$B$4:$G$10</definedName>
    <definedName name="_xlnm.Print_Area" localSheetId="2">'对照方案'!$A$1:$G$40</definedName>
    <definedName name="_xlnm._FilterDatabase" localSheetId="3" hidden="1">'待抽明细'!$B$4:$G$17</definedName>
    <definedName name="_xlnm.Print_Area" localSheetId="3">'待抽明细'!$A$1:$G$22</definedName>
    <definedName name="_xlnm.Print_Area" localSheetId="4">'口径与方法'!$A$1:$F$44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;¥(#,##0.00);&quot;-&quot;"/>
  </numFmts>
  <fonts count="2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48235"/>
      <sz val="11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Times New Roman"/>
      <color rgb="000000FF"/>
      <sz val="10"/>
    </font>
    <font>
      <name val="Times New Roman"/>
      <color rgb="00000000"/>
      <sz val="10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color rgb="00FFFFFF"/>
      <sz val="11"/>
    </font>
    <font>
      <name val="Times New Roman"/>
      <b val="1"/>
      <color rgb="00FFFFFF"/>
      <sz val="11"/>
    </font>
    <font>
      <name val="Times New Roman"/>
      <b val="1"/>
      <color rgb="00FFFFFF"/>
      <sz val="12"/>
    </font>
    <font>
      <name val="Arial"/>
      <sz val="11"/>
    </font>
    <font>
      <name val="Arial"/>
      <color rgb="000000FF"/>
      <sz val="9"/>
    </font>
    <font>
      <name val="Arial"/>
      <sz val="9"/>
    </font>
    <font>
      <name val="Arial"/>
      <b val="1"/>
      <color rgb="00000000"/>
      <sz val="10"/>
    </font>
    <font>
      <name val="Times New Roman"/>
      <b val="1"/>
      <color rgb="00000000"/>
      <sz val="10"/>
    </font>
    <font>
      <name val="Times New Roman"/>
      <b val="1"/>
      <color rgb="00FFFFFF"/>
      <sz val="10"/>
    </font>
    <font>
      <name val="Arial"/>
      <b val="1"/>
      <sz val="10"/>
    </font>
    <font>
      <name val="Times New Roman"/>
      <sz val="10"/>
    </font>
    <font>
      <name val="Consolas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548235"/>
      </patternFill>
    </fill>
    <fill>
      <patternFill patternType="solid">
        <fgColor rgb="00D6EAF8"/>
      </patternFill>
    </fill>
    <fill>
      <patternFill patternType="solid">
        <fgColor rgb="00F8FBFF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0" fontId="8" fillId="5" borderId="1" pivotButton="0" quotePrefix="0" xfId="0"/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3" fillId="7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14" fillId="4" borderId="0" pivotButton="0" quotePrefix="0" xfId="0"/>
    <xf numFmtId="0" fontId="15" fillId="5" borderId="0" pivotButton="0" quotePrefix="0" xfId="0"/>
    <xf numFmtId="0" fontId="15" fillId="0" borderId="0" pivotButton="0" quotePrefix="0" xfId="0"/>
    <xf numFmtId="0" fontId="1" fillId="0" borderId="0" pivotButton="0" quotePrefix="0" xfId="0"/>
    <xf numFmtId="0" fontId="5" fillId="3" borderId="1" pivotButton="0" quotePrefix="0" xfId="0"/>
    <xf numFmtId="2" fontId="6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6" fillId="4" borderId="1" pivotButton="0" quotePrefix="0" xfId="0"/>
    <xf numFmtId="0" fontId="7" fillId="8" borderId="1" pivotButton="0" quotePrefix="0" xfId="0"/>
    <xf numFmtId="164" fontId="7" fillId="8" borderId="1" applyAlignment="1" pivotButton="0" quotePrefix="0" xfId="0">
      <alignment horizontal="center" vertical="center" wrapText="1"/>
    </xf>
    <xf numFmtId="0" fontId="16" fillId="7" borderId="1" pivotButton="0" quotePrefix="0" xfId="0"/>
    <xf numFmtId="164" fontId="17" fillId="7" borderId="1" applyAlignment="1" pivotButton="0" quotePrefix="0" xfId="0">
      <alignment horizontal="center" vertical="center" wrapText="1"/>
    </xf>
    <xf numFmtId="0" fontId="16" fillId="5" borderId="1" pivotButton="0" quotePrefix="0" xfId="0"/>
    <xf numFmtId="164" fontId="17" fillId="5" borderId="1" applyAlignment="1" pivotButton="0" quotePrefix="0" xfId="0">
      <alignment horizontal="center" vertical="center" wrapText="1"/>
    </xf>
    <xf numFmtId="0" fontId="4" fillId="6" borderId="1" pivotButton="0" quotePrefix="0" xfId="0"/>
    <xf numFmtId="164" fontId="18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5" borderId="1" pivotButton="0" quotePrefix="0" xfId="0"/>
    <xf numFmtId="164" fontId="7" fillId="5" borderId="1" pivotButton="0" quotePrefix="0" xfId="0"/>
    <xf numFmtId="0" fontId="8" fillId="0" borderId="0" pivotButton="0" quotePrefix="0" xfId="0"/>
    <xf numFmtId="0" fontId="19" fillId="0" borderId="0" pivotButton="0" quotePrefix="0" xfId="0"/>
    <xf numFmtId="164" fontId="7" fillId="9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 wrapText="1"/>
    </xf>
    <xf numFmtId="164" fontId="7" fillId="0" borderId="1" pivotButton="0" quotePrefix="0" xfId="0"/>
    <xf numFmtId="0" fontId="5" fillId="7" borderId="0" applyAlignment="1" pivotButton="0" quotePrefix="0" xfId="0">
      <alignment vertical="top" wrapText="1"/>
    </xf>
    <xf numFmtId="0" fontId="7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164" fontId="7" fillId="1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0" fillId="6" borderId="1" pivotButton="0" quotePrefix="0" xfId="0"/>
    <xf numFmtId="164" fontId="11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21" fillId="3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38 家空闲合计（人民币）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'对照方案'!E4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'对照方案'!$B$5:$B$10</f>
            </numRef>
          </cat>
          <val>
            <numRef>
              <f>'对照方案'!$E$5:$E$10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</a:t>
                </a:r>
              </a:p>
            </rich>
          </tx>
        </title>
        <numFmt formatCode="¥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pipeline</author>
  </authors>
  <commentList>
    <comment ref="C7" authorId="0" shapeId="0">
      <text>
        <t>工作簿 HKIPO-MB2026Q1.xlsx sheet NLR 第 2–39 行。来源：auto_fill.py status，2026-09-12。</t>
      </text>
    </comment>
    <comment ref="C10" authorId="0" shapeId="0">
      <text>
        <t>实测 25 份 out/extracted/HKIPO-MB*.json。含 2706.HK（JSON 已有、主表 L 列尚未写回）。</t>
      </text>
    </comment>
    <comment ref="C11" authorId="0" shapeId="0">
      <text>
        <t>13 家 packet 已在、无需重新下载：6809, 0600, 0470, 2692, 3268, 1989, 2701, 3355, 2632, 1021, 2726, 6636, 0664。</t>
      </text>
    </comment>
  </commentList>
</comments>
</file>

<file path=xl/comments/comment2.xml><?xml version="1.0" encoding="utf-8"?>
<comments xmlns="http://schemas.openxmlformats.org/spreadsheetml/2006/main">
  <authors>
    <author>docs</author>
    <author>estimate</author>
    <author>user</author>
  </authors>
  <commentList>
    <comment ref="C6" authorId="0" shapeId="0">
      <text>
        <t>Source: DeepSeek API Docs「模型 &amp; 价格」, https://api-docs.deepseek.com/zh-cn/quick_start/pricing （2026-09-12 抓取）。deepseek-flash / V4.1-Flash。空闲=高峰×50%。</t>
      </text>
    </comment>
    <comment ref="C15" authorId="1" shapeId="0">
      <text>
        <t>Token 不是 API 原件。Packet 用 tiktoken cl100k 实测 38 家均值：招股书 108,189、配发 18,011。回合内 cache hit = 后续轮次重放前缀。招股书按约 15 轮工具+thinking，配发约 7 轮。DeepSeek tokenizer 可能 ±10%。</t>
      </text>
    </comment>
    <comment ref="C38" authorId="1" shapeId="0">
      <text>
        <t>关 thinking、少检索的工程下限，见会话估算情景 C。不是实测账单。</t>
      </text>
    </comment>
    <comment ref="C40" authorId="1" shapeId="0">
      <text>
        <t>情景 D：更长 packet + 更多工具轮次。对应少数难公司，不应作为报价中枢。</t>
      </text>
    </comment>
    <comment ref="C42" authorId="2" shapeId="0">
      <text>
        <t>不是 DeepSeek 官方价。来自本项目前期用 Antigravity/agy 跑招股书抽取的体感。中枢取 3.5 元，可在黄格改。</t>
      </text>
    </comment>
  </commentList>
</comments>
</file>

<file path=xl/comments/comment3.xml><?xml version="1.0" encoding="utf-8"?>
<comments xmlns="http://schemas.openxmlformats.org/spreadsheetml/2006/main">
  <authors>
    <author>estimate</author>
  </authors>
  <commentList>
    <comment ref="C9" authorId="0" shapeId="0">
      <text>
        <t>对话代劳：模型 read PDF/jsonl 全文（约 42 万 token）+ 多次失败重跑。取 3.0 元为示意中枢，黄格可改。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8" customWidth="1" min="2" max="2"/>
    <col width="16" customWidth="1" min="3" max="3"/>
    <col width="14" customWidth="1" min="4" max="4"/>
    <col width="14" customWidth="1" min="5" max="5"/>
    <col width="36" customWidth="1" min="6" max="6"/>
    <col width="14" customWidth="1" min="7" max="7"/>
    <col width="14" customWidth="1" min="8" max="8"/>
  </cols>
  <sheetData>
    <row r="2" ht="24" customHeight="1">
      <c r="B2" s="1" t="inlineStr">
        <is>
          <t>港股 IPO 数据库自动采集 · 模型成本汇报（2026Q1）</t>
        </is>
      </c>
    </row>
    <row r="3" ht="20" customHeight="1">
      <c r="B3" s="2" t="inlineStr">
        <is>
          <t>推荐方案：DeepSeek Flash + 独立复核 + 空闲时段 · 质量优先于单纯最低价 · 约 ¥1 / 家写进 Excel</t>
        </is>
      </c>
    </row>
    <row r="5">
      <c r="B5" s="3" t="inlineStr">
        <is>
          <t>样本快照（2026-09-12）</t>
        </is>
      </c>
    </row>
    <row r="6">
      <c r="B6" s="4" t="inlineStr">
        <is>
          <t>项目</t>
        </is>
      </c>
      <c r="C6" s="4" t="inlineStr">
        <is>
          <t>数量</t>
        </is>
      </c>
    </row>
    <row r="7">
      <c r="B7" s="5" t="inlineStr">
        <is>
          <t>主板样本公司（工作簿行）</t>
        </is>
      </c>
      <c r="C7" s="6" t="n">
        <v>38</v>
      </c>
    </row>
    <row r="8">
      <c r="B8" s="5" t="inlineStr">
        <is>
          <t>招股书 PDF / 切片已齐</t>
        </is>
      </c>
      <c r="C8" s="6" t="n">
        <v>38</v>
      </c>
    </row>
    <row r="9">
      <c r="B9" s="5" t="inlineStr">
        <is>
          <t>配发公告 JSON 已齐</t>
        </is>
      </c>
      <c r="C9" s="6" t="n">
        <v>38</v>
      </c>
    </row>
    <row r="10">
      <c r="B10" s="5" t="inlineStr">
        <is>
          <t>招股书 JSON 已齐</t>
        </is>
      </c>
      <c r="C10" s="6" t="n">
        <v>25</v>
      </c>
    </row>
    <row r="11">
      <c r="B11" s="5" t="inlineStr">
        <is>
          <t>招股书待抽取（本估算覆盖）</t>
        </is>
      </c>
      <c r="C11" s="6" t="n">
        <v>13</v>
      </c>
    </row>
    <row r="12">
      <c r="B12" s="5" t="inlineStr">
        <is>
          <t>招股书 JSON 有、表未写（0 token）</t>
        </is>
      </c>
      <c r="C12" s="6" t="n">
        <v>1</v>
      </c>
    </row>
    <row r="14">
      <c r="B14" s="3" t="inlineStr">
        <is>
          <t>推荐方案：单家全流程到 Excel（人民币）</t>
        </is>
      </c>
    </row>
    <row r="15">
      <c r="B15" s="4" t="inlineStr">
        <is>
          <t>步骤</t>
        </is>
      </c>
      <c r="C15" s="4" t="inlineStr">
        <is>
          <t>是否调用 Flash</t>
        </is>
      </c>
      <c r="D15" s="4" t="inlineStr">
        <is>
          <t>空闲 ¥/家</t>
        </is>
      </c>
      <c r="E15" s="4" t="inlineStr">
        <is>
          <t>高峰 ¥/家</t>
        </is>
      </c>
      <c r="F15" s="4" t="inlineStr">
        <is>
          <t>说明</t>
        </is>
      </c>
    </row>
    <row r="16">
      <c r="B16" s="5" t="inlineStr">
        <is>
          <t>find / download / prepare（下招股书、切片）</t>
        </is>
      </c>
      <c r="C16" s="7" t="inlineStr">
        <is>
          <t>否</t>
        </is>
      </c>
      <c r="D16" s="8">
        <f>'单价假设'!C20</f>
        <v/>
      </c>
      <c r="E16" s="8">
        <f>'单价假设'!C20</f>
        <v/>
      </c>
      <c r="F16" s="9" t="inlineStr">
        <is>
          <t>Python，不计 token</t>
        </is>
      </c>
    </row>
    <row r="17">
      <c r="B17" s="5" t="inlineStr">
        <is>
          <t>allot 准备（下配发公告）</t>
        </is>
      </c>
      <c r="C17" s="7" t="inlineStr">
        <is>
          <t>否</t>
        </is>
      </c>
      <c r="D17" s="8">
        <f>'单价假设'!C20</f>
        <v/>
      </c>
      <c r="E17" s="8">
        <f>'单价假设'!C20</f>
        <v/>
      </c>
      <c r="F17" s="9" t="inlineStr">
        <is>
          <t>Python；Q1 已完成</t>
        </is>
      </c>
    </row>
    <row r="18">
      <c r="B18" s="10" t="inlineStr">
        <is>
          <t>招股书抽取 + 独立复核</t>
        </is>
      </c>
      <c r="C18" s="11" t="inlineStr">
        <is>
          <t>是</t>
        </is>
      </c>
      <c r="D18" s="12">
        <f>'单价假设'!C32</f>
        <v/>
      </c>
      <c r="E18" s="12">
        <f>'单价假设'!D32</f>
        <v/>
      </c>
      <c r="F18" s="13" t="inlineStr">
        <is>
          <t>packet≈11 万 token + 检索；含复核</t>
        </is>
      </c>
    </row>
    <row r="19">
      <c r="B19" s="10" t="inlineStr">
        <is>
          <t>配发抽取 + 独立复核</t>
        </is>
      </c>
      <c r="C19" s="11" t="inlineStr">
        <is>
          <t>是</t>
        </is>
      </c>
      <c r="D19" s="12">
        <f>'单价假设'!C33</f>
        <v/>
      </c>
      <c r="E19" s="12">
        <f>'单价假设'!D33</f>
        <v/>
      </c>
      <c r="F19" s="13" t="inlineStr">
        <is>
          <t>公告全文≈1.8 万 token；Q1 已完成</t>
        </is>
      </c>
    </row>
    <row r="20">
      <c r="B20" s="5" t="inlineStr">
        <is>
          <t>validate + write 写回 Excel</t>
        </is>
      </c>
      <c r="C20" s="7" t="inlineStr">
        <is>
          <t>否</t>
        </is>
      </c>
      <c r="D20" s="8">
        <f>'单价假设'!C20</f>
        <v/>
      </c>
      <c r="E20" s="8">
        <f>'单价假设'!C20</f>
        <v/>
      </c>
      <c r="F20" s="9" t="inlineStr">
        <is>
          <t>闸门校验，只赋值不改样式</t>
        </is>
      </c>
    </row>
    <row r="21">
      <c r="B21" s="14" t="inlineStr">
        <is>
          <t>单家合计（推荐）</t>
        </is>
      </c>
      <c r="C21" s="15" t="inlineStr">
        <is>
          <t>是</t>
        </is>
      </c>
      <c r="D21" s="16">
        <f>D16+D17+D18+D19+D20</f>
        <v/>
      </c>
      <c r="E21" s="16">
        <f>E16+E17+E18+E19+E20</f>
        <v/>
      </c>
      <c r="F21" s="14" t="inlineStr">
        <is>
          <t>空闲约 ¥1/家；高峰约翻倍。下载本身不加钱。</t>
        </is>
      </c>
    </row>
    <row r="23">
      <c r="B23" s="3" t="inlineStr">
        <is>
          <t>2026Q1 预算（按推荐方案 · 公式随「单价假设」变动）</t>
        </is>
      </c>
    </row>
    <row r="24">
      <c r="B24" s="4" t="inlineStr">
        <is>
          <t>口径</t>
        </is>
      </c>
      <c r="C24" s="4" t="inlineStr">
        <is>
          <t>家数</t>
        </is>
      </c>
      <c r="D24" s="4" t="inlineStr">
        <is>
          <t>空闲合计</t>
        </is>
      </c>
      <c r="E24" s="4" t="inlineStr">
        <is>
          <t>高峰合计</t>
        </is>
      </c>
      <c r="F24" s="4" t="inlineStr">
        <is>
          <t>备注</t>
        </is>
      </c>
    </row>
    <row r="25">
      <c r="B25" s="10" t="inlineStr">
        <is>
          <t>收尾：抽剩余 13 家招股书（配发已齐）</t>
        </is>
      </c>
      <c r="C25" s="17">
        <f>C11</f>
        <v/>
      </c>
      <c r="D25" s="12">
        <f>C25*'单价假设'!C32</f>
        <v/>
      </c>
      <c r="E25" s="12">
        <f>C25*'单价假设'!D32</f>
        <v/>
      </c>
      <c r="F25" s="18" t="inlineStr">
        <is>
          <t>当前立刻要花的钱</t>
        </is>
      </c>
    </row>
    <row r="26">
      <c r="B26" s="5" t="inlineStr">
        <is>
          <t>写回已有 JSON（含 2706）</t>
        </is>
      </c>
      <c r="C26" s="19">
        <f>C10</f>
        <v/>
      </c>
      <c r="D26" s="20" t="n">
        <v>0</v>
      </c>
      <c r="E26" s="20" t="n">
        <v>0</v>
      </c>
      <c r="F26" s="21" t="inlineStr">
        <is>
          <t>validate + write，¥0</t>
        </is>
      </c>
    </row>
    <row r="27">
      <c r="B27" s="5" t="inlineStr">
        <is>
          <t>若 38 家全部按推荐方案重跑一遍（含配发）</t>
        </is>
      </c>
      <c r="C27" s="19">
        <f>C7</f>
        <v/>
      </c>
      <c r="D27" s="20">
        <f>C27*'单价假设'!C34</f>
        <v/>
      </c>
      <c r="E27" s="20">
        <f>C27*'单价假设'!D34</f>
        <v/>
      </c>
      <c r="F27" s="21" t="inlineStr">
        <is>
          <t>对照：全量重跑，不是建议</t>
        </is>
      </c>
    </row>
    <row r="28">
      <c r="B28" s="5" t="inlineStr">
        <is>
          <t>Q1 已发生（Gemini 抽取，非正式换算）</t>
        </is>
      </c>
      <c r="C28" s="19">
        <f>C10</f>
        <v/>
      </c>
      <c r="D28" s="20">
        <f>C28*'单价假设'!C42</f>
        <v/>
      </c>
      <c r="E28" s="20">
        <f>C28*'单价假设'!C42</f>
        <v/>
      </c>
      <c r="F28" s="21" t="inlineStr">
        <is>
          <t>体感 ¥3–4/家；见「对照方案」</t>
        </is>
      </c>
    </row>
    <row r="30">
      <c r="B30" s="3" t="inlineStr">
        <is>
          <t>汇报用一句话</t>
        </is>
      </c>
    </row>
    <row r="31" ht="28" customHeight="1">
      <c r="B31" s="22" t="inlineStr">
        <is>
          <t>在保证质量（packet 切片 + Flash 抽取 + 独立复核 + 勾稽闸门）的前提下，一家公司从下载招股书到写入 Excel 的模型费用，空闲时段约为 1 元人民币；当前 Q1 剩余 13 家招股书抽取预算约 10 元。下载、切片、校验、写表不计 token。若改用 Pro、高峰时段、或在对话里让模型通读全文，单家会回到 2–4 元，与前期 Gemini 体感一致。</t>
        </is>
      </c>
    </row>
    <row r="32" ht="20" customHeight="1"/>
    <row r="33" ht="20" customHeight="1"/>
    <row r="35" ht="22" customHeight="1">
      <c r="B35" s="23" t="inlineStr">
        <is>
          <t>价格来源：DeepSeek 官方「模型 &amp; 价格」（https://api-docs.deepseek.com/zh-cn/quick_start/pricing），deepseek-flash / DeepSeek-V4.1-Flash。空闲价为高峰一半。高峰=北京时间周一至周五 9:00–12:00、14:00–18:00。Token 量按 38 家现成 packet 的 cl100k 计数 + 工具循环工程估算，不是 API 账单原件；建议抽 2 家后用控制台实扣校正。</t>
        </is>
      </c>
    </row>
    <row r="36" ht="22" customHeight="1"/>
    <row r="38">
      <c r="B38" s="3" t="inlineStr">
        <is>
          <t>图例</t>
        </is>
      </c>
    </row>
    <row r="39">
      <c r="B39" s="24" t="inlineStr">
        <is>
          <t>黄底蓝字 = 可改假设（请到「单价假设」页改）</t>
        </is>
      </c>
    </row>
    <row r="40">
      <c r="B40" s="25" t="inlineStr">
        <is>
          <t>绿底 = 推荐方案 / 当前应收尾预算</t>
        </is>
      </c>
    </row>
    <row r="41">
      <c r="B41" s="26" t="inlineStr">
        <is>
          <t>黑字 = 公式（随假设自动重算）</t>
        </is>
      </c>
    </row>
    <row r="43">
      <c r="B43" s="3" t="inlineStr">
        <is>
          <t>打开方式</t>
        </is>
      </c>
    </row>
    <row r="44" ht="22" customHeight="1">
      <c r="B44" s="23" t="inlineStr">
        <is>
          <t>本文件用公式计算。用 Microsoft Excel 打开后会自动算出金额；若预览里看到的是公式而不是 ¥0.95，请在 Excel / WPS 中打开一次。本机构建时未安装 LibreOffice，故没有预计算缓存值。手算核对：推荐单家空闲 ¥0.95、13 家收尾 ¥9.54、38 家全量重跑 ¥36.07，与公式一致。</t>
        </is>
      </c>
    </row>
    <row r="45" ht="22" customHeight="1"/>
  </sheetData>
  <autoFilter ref="B24:F28"/>
  <mergeCells count="8">
    <mergeCell ref="B31:H33"/>
    <mergeCell ref="B44:H45"/>
    <mergeCell ref="B5:C5"/>
    <mergeCell ref="B2:H2"/>
    <mergeCell ref="B23:F23"/>
    <mergeCell ref="B14:F14"/>
    <mergeCell ref="B3:H3"/>
    <mergeCell ref="B35:H36"/>
  </mergeCells>
  <pageMargins left="0.75" right="0.75" top="1" bottom="1" header="0.5" footer="0.5"/>
  <pageSetup orientation="landscape" paperSize="9" fitToHeight="1" fitToWidth="1"/>
  <headerFooter>
    <oddHeader>&amp;LHK IPO 2026Q1 · Flash 采集成本</oddHeader>
    <oddFooter>&amp;LDeepSeek Flash 空闲价 · 工程估算，非正式账单&amp;R第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52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2" customWidth="1" min="2" max="2"/>
    <col width="16" customWidth="1" min="3" max="3"/>
    <col width="16" customWidth="1" min="4" max="4"/>
    <col width="48" customWidth="1" min="5" max="5"/>
    <col width="18" customWidth="1" min="6" max="6"/>
  </cols>
  <sheetData>
    <row r="2" ht="24" customHeight="1">
      <c r="B2" s="27" t="inlineStr">
        <is>
          <t>计价假设（黄底为输入；改这里，摘要/对照/明细全部重算）</t>
        </is>
      </c>
    </row>
    <row r="4">
      <c r="B4" s="3" t="inlineStr">
        <is>
          <t>A. 官方 Flash 单价（元 / 百万 tokens）</t>
        </is>
      </c>
    </row>
    <row r="5">
      <c r="B5" s="4" t="inlineStr">
        <is>
          <t>项目</t>
        </is>
      </c>
      <c r="C5" s="4" t="inlineStr">
        <is>
          <t>空闲</t>
        </is>
      </c>
      <c r="D5" s="4" t="inlineStr">
        <is>
          <t>高峰</t>
        </is>
      </c>
      <c r="E5" s="4" t="inlineStr">
        <is>
          <t>来源</t>
        </is>
      </c>
    </row>
    <row r="6">
      <c r="B6" s="28" t="inlineStr">
        <is>
          <t>输入未命中 cache miss</t>
        </is>
      </c>
      <c r="C6" s="29" t="n">
        <v>1</v>
      </c>
      <c r="D6" s="29" t="n">
        <v>2</v>
      </c>
      <c r="E6" s="21" t="inlineStr">
        <is>
          <t>官方中文价 deepseek-flash</t>
        </is>
      </c>
    </row>
    <row r="7">
      <c r="B7" s="28" t="inlineStr">
        <is>
          <t>输入命中 cache hit</t>
        </is>
      </c>
      <c r="C7" s="29" t="n">
        <v>0.02</v>
      </c>
      <c r="D7" s="29" t="n">
        <v>0.04</v>
      </c>
      <c r="E7" s="21" t="inlineStr">
        <is>
          <t>同上</t>
        </is>
      </c>
    </row>
    <row r="8">
      <c r="B8" s="28" t="inlineStr">
        <is>
          <t>输出（含 thinking）</t>
        </is>
      </c>
      <c r="C8" s="29" t="n">
        <v>4</v>
      </c>
      <c r="D8" s="29" t="n">
        <v>8</v>
      </c>
      <c r="E8" s="21" t="inlineStr">
        <is>
          <t>Flash 默认思考模式</t>
        </is>
      </c>
    </row>
    <row r="10" ht="18" customHeight="1">
      <c r="B10" s="23" t="inlineStr">
        <is>
          <t>高峰时段：北京时间周一至周五 9:00–12:00、14:00–18:00；其余为空闲（含周末全天）。旧模型名 deepseek-v4-flash 仍可调用，按 Flash 价计费。</t>
        </is>
      </c>
    </row>
    <row r="11" ht="18" customHeight="1"/>
    <row r="13">
      <c r="B13" s="3" t="inlineStr">
        <is>
          <t>B. 单家 token 工程量（推荐质量：抽取 + 独立复核）</t>
        </is>
      </c>
    </row>
    <row r="14">
      <c r="B14" s="4" t="inlineStr">
        <is>
          <t>回合</t>
        </is>
      </c>
      <c r="C14" s="4" t="inlineStr">
        <is>
          <t>cache miss</t>
        </is>
      </c>
      <c r="D14" s="4" t="inlineStr">
        <is>
          <t>cache hit</t>
        </is>
      </c>
      <c r="E14" s="4" t="inlineStr">
        <is>
          <t>输出</t>
        </is>
      </c>
    </row>
    <row r="15">
      <c r="B15" s="28" t="inlineStr">
        <is>
          <t>招股书抽取</t>
        </is>
      </c>
      <c r="C15" s="6" t="n">
        <v>178200</v>
      </c>
      <c r="D15" s="6" t="n">
        <v>2127200</v>
      </c>
      <c r="E15" s="6" t="n">
        <v>55600</v>
      </c>
    </row>
    <row r="16">
      <c r="B16" s="28" t="inlineStr">
        <is>
          <t>招股书复核</t>
        </is>
      </c>
      <c r="C16" s="6" t="n">
        <v>156300</v>
      </c>
      <c r="D16" s="6" t="n">
        <v>1142400</v>
      </c>
      <c r="E16" s="6" t="n">
        <v>27800</v>
      </c>
    </row>
    <row r="17">
      <c r="B17" s="28" t="inlineStr">
        <is>
          <t>配发抽取</t>
        </is>
      </c>
      <c r="C17" s="6" t="n">
        <v>46200</v>
      </c>
      <c r="D17" s="6" t="n">
        <v>252100</v>
      </c>
      <c r="E17" s="6" t="n">
        <v>18800</v>
      </c>
    </row>
    <row r="18">
      <c r="B18" s="28" t="inlineStr">
        <is>
          <t>配发复核</t>
        </is>
      </c>
      <c r="C18" s="6" t="n">
        <v>43500</v>
      </c>
      <c r="D18" s="6" t="n">
        <v>165900</v>
      </c>
      <c r="E18" s="6" t="n">
        <v>10600</v>
      </c>
    </row>
    <row r="20">
      <c r="B20" s="30" t="inlineStr">
        <is>
          <t>零成本步骤占位（下载/写表）</t>
        </is>
      </c>
      <c r="C20" s="31" t="n">
        <v>0</v>
      </c>
    </row>
    <row r="22">
      <c r="B22" s="3" t="inlineStr">
        <is>
          <t>C. 单家费用（公式 = miss×单价 + hit×单价 + out×单价）</t>
        </is>
      </c>
    </row>
    <row r="23">
      <c r="B23" s="4" t="inlineStr">
        <is>
          <t>回合</t>
        </is>
      </c>
      <c r="C23" s="4" t="inlineStr">
        <is>
          <t>空闲 ¥</t>
        </is>
      </c>
      <c r="D23" s="4" t="inlineStr">
        <is>
          <t>高峰 ¥</t>
        </is>
      </c>
    </row>
    <row r="24">
      <c r="B24" s="32">
        <f>B15</f>
        <v/>
      </c>
      <c r="C24" s="33">
        <f>C15/1000000*$C$6+D15/1000000*$C$7+E15/1000000*$C$8</f>
        <v/>
      </c>
      <c r="D24" s="33">
        <f>C15/1000000*$D$6+D15/1000000*$D$7+E15/1000000*$D$8</f>
        <v/>
      </c>
    </row>
    <row r="25">
      <c r="B25" s="32">
        <f>B16</f>
        <v/>
      </c>
      <c r="C25" s="33">
        <f>C16/1000000*$C$6+D16/1000000*$C$7+E16/1000000*$C$8</f>
        <v/>
      </c>
      <c r="D25" s="33">
        <f>C16/1000000*$D$6+D16/1000000*$D$7+E16/1000000*$D$8</f>
        <v/>
      </c>
    </row>
    <row r="26">
      <c r="B26" s="32">
        <f>B17</f>
        <v/>
      </c>
      <c r="C26" s="33">
        <f>C17/1000000*$C$6+D17/1000000*$C$7+E17/1000000*$C$8</f>
        <v/>
      </c>
      <c r="D26" s="33">
        <f>C17/1000000*$D$6+D17/1000000*$D$7+E17/1000000*$D$8</f>
        <v/>
      </c>
    </row>
    <row r="27">
      <c r="B27" s="32">
        <f>B18</f>
        <v/>
      </c>
      <c r="C27" s="33">
        <f>C18/1000000*$C$6+D18/1000000*$C$7+E18/1000000*$C$8</f>
        <v/>
      </c>
      <c r="D27" s="33">
        <f>C18/1000000*$D$6+D18/1000000*$D$7+E18/1000000*$D$8</f>
        <v/>
      </c>
    </row>
    <row r="29">
      <c r="B29" s="34" t="inlineStr">
        <is>
          <t>招股书小计（抽+核）</t>
        </is>
      </c>
      <c r="C29" s="35">
        <f>C24+C25</f>
        <v/>
      </c>
      <c r="D29" s="35">
        <f>D24+D25</f>
        <v/>
      </c>
    </row>
    <row r="30">
      <c r="B30" s="34" t="inlineStr">
        <is>
          <t>配发小计（抽+核）</t>
        </is>
      </c>
      <c r="C30" s="35">
        <f>C26+C27</f>
        <v/>
      </c>
      <c r="D30" s="35">
        <f>D26+D27</f>
        <v/>
      </c>
    </row>
    <row r="32">
      <c r="B32" s="36" t="inlineStr">
        <is>
          <t>推荐·招股书到表（无配发）</t>
        </is>
      </c>
      <c r="C32" s="37">
        <f>C29</f>
        <v/>
      </c>
      <c r="D32" s="37">
        <f>D29</f>
        <v/>
      </c>
    </row>
    <row r="33">
      <c r="B33" s="36" t="inlineStr">
        <is>
          <t>推荐·配发到表</t>
        </is>
      </c>
      <c r="C33" s="37">
        <f>C30</f>
        <v/>
      </c>
      <c r="D33" s="37">
        <f>D30</f>
        <v/>
      </c>
    </row>
    <row r="34">
      <c r="B34" s="38" t="inlineStr">
        <is>
          <t>推荐·全流程单家</t>
        </is>
      </c>
      <c r="C34" s="39">
        <f>C32+C33</f>
        <v/>
      </c>
      <c r="D34" s="39">
        <f>D32+D33</f>
        <v/>
      </c>
    </row>
    <row r="36">
      <c r="B36" s="3" t="inlineStr">
        <is>
          <t>D. 质量对照（同一 Flash 价，不同流程）</t>
        </is>
      </c>
    </row>
    <row r="37">
      <c r="B37" s="4" t="inlineStr">
        <is>
          <t>方案</t>
        </is>
      </c>
      <c r="C37" s="4" t="inlineStr">
        <is>
          <t>空闲 ¥/家</t>
        </is>
      </c>
      <c r="D37" s="4" t="inlineStr">
        <is>
          <t>高峰 ¥/家</t>
        </is>
      </c>
      <c r="E37" s="4" t="inlineStr">
        <is>
          <t>质量取舍</t>
        </is>
      </c>
    </row>
    <row r="38">
      <c r="B38" s="40" t="inlineStr">
        <is>
          <t>最低价：一次读 packet 出 JSON，无复核、关 thinking</t>
        </is>
      </c>
      <c r="C38" s="31" t="n">
        <v>0.52</v>
      </c>
      <c r="D38" s="31" t="n">
        <v>1.04</v>
      </c>
      <c r="E38" s="21" t="inlineStr">
        <is>
          <t>不建议。佣金/年化/基石容易错，闸门失败还要重跑。</t>
        </is>
      </c>
    </row>
    <row r="39">
      <c r="B39" s="41" t="inlineStr">
        <is>
          <t>推荐：抽取 + 独立复核，开 thinking（本表主方案）</t>
        </is>
      </c>
      <c r="C39" s="42">
        <f>C34</f>
        <v/>
      </c>
      <c r="D39" s="42">
        <f>D34</f>
        <v/>
      </c>
      <c r="E39" s="18" t="inlineStr">
        <is>
          <t>质量与价格的平衡点。勾稽闸门 + 第二双眼睛。</t>
        </is>
      </c>
    </row>
    <row r="40">
      <c r="B40" s="40" t="inlineStr">
        <is>
          <t>难公司 / 校验返工</t>
        </is>
      </c>
      <c r="C40" s="31" t="n">
        <v>1.67</v>
      </c>
      <c r="D40" s="31" t="n">
        <v>3.35</v>
      </c>
      <c r="E40" s="21" t="inlineStr">
        <is>
          <t>少数 ERROR 返工；不要让它变成默认。</t>
        </is>
      </c>
    </row>
    <row r="42">
      <c r="B42" t="inlineStr">
        <is>
          <t>前期 Gemini 体感单价（仅对照）</t>
        </is>
      </c>
      <c r="C42" s="31" t="n">
        <v>3.5</v>
      </c>
      <c r="D42" s="43" t="inlineStr">
        <is>
          <t>用户体感 ¥3–4/家；agy + gemini-3.8-flash-high，单家 75–180 次 API 轮次</t>
        </is>
      </c>
    </row>
    <row r="44">
      <c r="B44" s="3" t="inlineStr">
        <is>
          <t>Pro 空闲/高峰 相对 Flash 的倍率（官方价）</t>
        </is>
      </c>
    </row>
    <row r="45">
      <c r="B45" s="28" t="inlineStr">
        <is>
          <t>Pro 输入未命中 空闲</t>
        </is>
      </c>
      <c r="C45" s="29" t="n">
        <v>4.5</v>
      </c>
    </row>
    <row r="46">
      <c r="B46" s="28" t="inlineStr">
        <is>
          <t>Pro 输入命中 空闲</t>
        </is>
      </c>
      <c r="C46" s="29" t="n">
        <v>0.15</v>
      </c>
    </row>
    <row r="47">
      <c r="B47" s="28" t="inlineStr">
        <is>
          <t>Pro 输出 空闲</t>
        </is>
      </c>
      <c r="C47" s="29" t="n">
        <v>13.5</v>
      </c>
    </row>
    <row r="48">
      <c r="B48" s="28" t="inlineStr">
        <is>
          <t>Pro 输入未命中 高峰</t>
        </is>
      </c>
      <c r="C48" s="29" t="n">
        <v>9</v>
      </c>
    </row>
    <row r="49">
      <c r="B49" s="28" t="inlineStr">
        <is>
          <t>Pro 输入命中 高峰</t>
        </is>
      </c>
      <c r="C49" s="29" t="n">
        <v>0.3</v>
      </c>
    </row>
    <row r="50">
      <c r="B50" s="28" t="inlineStr">
        <is>
          <t>Pro 输出 高峰</t>
        </is>
      </c>
      <c r="C50" s="29" t="n">
        <v>27</v>
      </c>
    </row>
    <row r="52">
      <c r="B52" s="44" t="inlineStr">
        <is>
          <t>同一 token 量若改用 Pro</t>
        </is>
      </c>
      <c r="C52" s="45">
        <f>(C15+C16+C17+C18)/1000000*C45+(D15+D16+D17+D18)/1000000*C46+(E15+E16+E17+E18)/1000000*C47</f>
        <v/>
      </c>
      <c r="D52" s="45">
        <f>(C15+C16+C17+C18)/1000000*C48+(D15+D16+D17+D18)/1000000*C49+(E15+E16+E17+E18)/1000000*C50</f>
        <v/>
      </c>
      <c r="E52" s="43" t="inlineStr">
        <is>
          <t>空闲 / 高峰  ¥/家</t>
        </is>
      </c>
    </row>
  </sheetData>
  <mergeCells count="3">
    <mergeCell ref="B2:F2"/>
    <mergeCell ref="D42:F42"/>
    <mergeCell ref="B10:F11"/>
  </mergeCells>
  <pageMargins left="0.75" right="0.75" top="1" bottom="1" header="0.5" footer="0.5"/>
  <pageSetup orientation="portrait" fitToHeight="1" fitToWidth="1"/>
  <headerFooter>
    <oddHeader>&amp;L单价假设 · 改黄格即可重算全表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G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14" customWidth="1" min="4" max="4"/>
    <col width="14" customWidth="1" min="5" max="5"/>
    <col width="28" customWidth="1" min="6" max="6"/>
    <col width="22" customWidth="1" min="7" max="7"/>
  </cols>
  <sheetData>
    <row r="2" ht="24" customHeight="1">
      <c r="B2" s="27" t="inlineStr">
        <is>
          <t>为什么选 Flash + 复核，而不是更便宜或更贵</t>
        </is>
      </c>
    </row>
    <row r="4">
      <c r="B4" s="4" t="inlineStr">
        <is>
          <t>方案</t>
        </is>
      </c>
      <c r="C4" s="4" t="inlineStr">
        <is>
          <t>模型 / 跑法</t>
        </is>
      </c>
      <c r="D4" s="4" t="inlineStr">
        <is>
          <t>单家空闲</t>
        </is>
      </c>
      <c r="E4" s="4" t="inlineStr">
        <is>
          <t>38 家空闲</t>
        </is>
      </c>
      <c r="F4" s="4" t="inlineStr">
        <is>
          <t>质量</t>
        </is>
      </c>
      <c r="G4" s="4" t="inlineStr">
        <is>
          <t>适用</t>
        </is>
      </c>
    </row>
    <row r="5">
      <c r="B5" s="46" t="inlineStr">
        <is>
          <t>A 一次读完出 JSON</t>
        </is>
      </c>
      <c r="C5" s="46" t="inlineStr">
        <is>
          <t>Flash，无复核、关 thinking</t>
        </is>
      </c>
      <c r="D5" s="20">
        <f>'单价假设'!C38</f>
        <v/>
      </c>
      <c r="E5" s="20">
        <f>C5*'汇报摘要'!C7</f>
        <v/>
      </c>
      <c r="F5" s="46" t="inlineStr">
        <is>
          <t>低：年化/佣金/基石易错</t>
        </is>
      </c>
      <c r="G5" s="47" t="inlineStr">
        <is>
          <t>仅试跑，不入库</t>
        </is>
      </c>
    </row>
    <row r="6">
      <c r="B6" s="48" t="inlineStr">
        <is>
          <t>B 推荐（本项目）</t>
        </is>
      </c>
      <c r="C6" s="10" t="inlineStr">
        <is>
          <t>Flash 抽取+复核，空闲，Python 下载</t>
        </is>
      </c>
      <c r="D6" s="12">
        <f>'单价假设'!C34</f>
        <v/>
      </c>
      <c r="E6" s="12">
        <f>C6*'汇报摘要'!C7</f>
        <v/>
      </c>
      <c r="F6" s="10" t="inlineStr">
        <is>
          <t>高：闸门+第二双眼睛</t>
        </is>
      </c>
      <c r="G6" s="13" t="inlineStr">
        <is>
          <t>默认生产路径</t>
        </is>
      </c>
    </row>
    <row r="7">
      <c r="B7" s="46" t="inlineStr">
        <is>
          <t>C Flash 高峰</t>
        </is>
      </c>
      <c r="C7" s="46" t="inlineStr">
        <is>
          <t>同 B，工作日 9–12 / 14–18</t>
        </is>
      </c>
      <c r="D7" s="20">
        <f>'单价假设'!D34</f>
        <v/>
      </c>
      <c r="E7" s="20">
        <f>C7*'汇报摘要'!C7</f>
        <v/>
      </c>
      <c r="F7" s="46" t="inlineStr">
        <is>
          <t>同 B</t>
        </is>
      </c>
      <c r="G7" s="47" t="inlineStr">
        <is>
          <t>能避开高峰就避开</t>
        </is>
      </c>
    </row>
    <row r="8">
      <c r="B8" s="46" t="inlineStr">
        <is>
          <t>D DeepSeek Pro 空闲</t>
        </is>
      </c>
      <c r="C8" s="46" t="inlineStr">
        <is>
          <t>同 token 量改 Pro</t>
        </is>
      </c>
      <c r="D8" s="20">
        <f>'单价假设'!C52</f>
        <v/>
      </c>
      <c r="E8" s="20">
        <f>C8*'汇报摘要'!C7</f>
        <v/>
      </c>
      <c r="F8" s="46" t="inlineStr">
        <is>
          <t>略高，性价比差</t>
        </is>
      </c>
      <c r="G8" s="47" t="inlineStr">
        <is>
          <t>极难公司才考虑</t>
        </is>
      </c>
    </row>
    <row r="9">
      <c r="B9" s="46" t="inlineStr">
        <is>
          <t>E 对话里从零代劳</t>
        </is>
      </c>
      <c r="C9" s="46" t="inlineStr">
        <is>
          <t>Flash 但通读全文、多轮 debug</t>
        </is>
      </c>
      <c r="D9" s="49" t="n">
        <v>3</v>
      </c>
      <c r="E9" s="20">
        <f>C9*'汇报摘要'!C7</f>
        <v/>
      </c>
      <c r="F9" s="46" t="inlineStr">
        <is>
          <t>不稳定，费用不可控</t>
        </is>
      </c>
      <c r="G9" s="47" t="inlineStr">
        <is>
          <t>禁止作为流程</t>
        </is>
      </c>
    </row>
    <row r="10">
      <c r="B10" s="46" t="inlineStr">
        <is>
          <t>F 前期 Gemini 体感</t>
        </is>
      </c>
      <c r="C10" s="46" t="inlineStr">
        <is>
          <t>agy + gemini-3.8-flash-high</t>
        </is>
      </c>
      <c r="D10" s="20">
        <f>'单价假设'!C42</f>
        <v/>
      </c>
      <c r="E10" s="20">
        <f>C10*'汇报摘要'!C7</f>
        <v/>
      </c>
      <c r="F10" s="46" t="inlineStr">
        <is>
          <t>能抽，但轮次 75–180</t>
        </is>
      </c>
      <c r="G10" s="47" t="inlineStr">
        <is>
          <t>已弃用</t>
        </is>
      </c>
    </row>
    <row r="12">
      <c r="B12" s="3" t="inlineStr">
        <is>
          <t>当前 Q1 收尾（只抽剩余 13 家招股书）</t>
        </is>
      </c>
    </row>
    <row r="13">
      <c r="B13" s="41" t="inlineStr">
        <is>
          <t>推荐 Flash 空闲</t>
        </is>
      </c>
      <c r="C13" s="42">
        <f>'汇报摘要'!D25</f>
        <v/>
      </c>
    </row>
    <row r="14">
      <c r="B14" s="40" t="inlineStr">
        <is>
          <t>若高峰跑完这 13 家</t>
        </is>
      </c>
      <c r="C14" s="50">
        <f>'汇报摘要'!E25</f>
        <v/>
      </c>
    </row>
    <row r="15">
      <c r="B15" s="40" t="inlineStr">
        <is>
          <t>若按 Gemini 体感价抽这 13 家</t>
        </is>
      </c>
      <c r="C15" s="50">
        <f>'汇报摘要'!C11*'单价假设'!C42</f>
        <v/>
      </c>
    </row>
    <row r="17" ht="22" customHeight="1">
      <c r="B17" s="51" t="inlineStr">
        <is>
          <t>质量机制（推荐方案自带，不另计费）：（1）Python 按章节切片，模型只看 packet 而非 600 页全文；（2）独立复核子代理重核股份恒等式、三年资产负债、佣金口径、绿鞋、基石名单；（3）validate 闸门：M=R+S、M=Q+P、L=N+Q、L=O+M，资产=权益+负债，U≤T，引文必须能在原文命中；ERROR 不写表。关 thinking 能再省约 ¥0.4/家，但闸门失败重跑会把节省吃掉，故不作为汇报口径。</t>
        </is>
      </c>
    </row>
    <row r="18" ht="22" customHeight="1"/>
    <row r="19" ht="22" customHeight="1"/>
  </sheetData>
  <autoFilter ref="B4:G10"/>
  <mergeCells count="2">
    <mergeCell ref="B2:G2"/>
    <mergeCell ref="B17:G19"/>
  </mergeCells>
  <pageMargins left="0.75" right="0.75" top="1" bottom="1" header="0.5" footer="0.5"/>
  <pageSetup orientation="landscape" fitToWidth="1"/>
  <headerFooter>
    <oddHeader>&amp;L方案对照 · 质量 vs 价格</oddHeader>
    <oddFooter/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G2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2" customWidth="1" min="3" max="3"/>
    <col width="62" customWidth="1" min="4" max="4"/>
    <col width="10" customWidth="1" min="5" max="5"/>
    <col width="12" customWidth="1" min="6" max="6"/>
    <col width="12" customWidth="1" min="7" max="7"/>
  </cols>
  <sheetData>
    <row r="2">
      <c r="B2" s="27" t="inlineStr">
        <is>
          <t>剩余 13 家招股书抽取（packet 已在，不必重新下载）</t>
        </is>
      </c>
    </row>
    <row r="4">
      <c r="B4" s="4" t="inlineStr">
        <is>
          <t>#</t>
        </is>
      </c>
      <c r="C4" s="4" t="inlineStr">
        <is>
          <t>代码</t>
        </is>
      </c>
      <c r="D4" s="4" t="inlineStr">
        <is>
          <t>公司（工作簿名称）</t>
        </is>
      </c>
      <c r="E4" s="4" t="inlineStr">
        <is>
          <t>行号</t>
        </is>
      </c>
      <c r="F4" s="4" t="inlineStr">
        <is>
          <t>空闲 ¥</t>
        </is>
      </c>
      <c r="G4" s="4" t="inlineStr">
        <is>
          <t>高峰 ¥</t>
        </is>
      </c>
    </row>
    <row r="5">
      <c r="B5" s="52" t="n">
        <v>1</v>
      </c>
      <c r="C5" s="53" t="inlineStr">
        <is>
          <t>6809.HK</t>
        </is>
      </c>
      <c r="D5" s="54" t="inlineStr">
        <is>
          <t>Montage Technology Co., Ltd. - H shares</t>
        </is>
      </c>
      <c r="E5" s="52" t="n">
        <v>19</v>
      </c>
      <c r="F5" s="55">
        <f>'单价假设'!C32</f>
        <v/>
      </c>
      <c r="G5" s="55">
        <f>'单价假设'!D32</f>
        <v/>
      </c>
    </row>
    <row r="6">
      <c r="B6" s="56" t="n">
        <v>2</v>
      </c>
      <c r="C6" s="57" t="inlineStr">
        <is>
          <t>0600.HK</t>
        </is>
      </c>
      <c r="D6" s="58" t="inlineStr">
        <is>
          <t>Axera Semiconductor Co., Ltd. - H shares</t>
        </is>
      </c>
      <c r="E6" s="56" t="n">
        <v>20</v>
      </c>
      <c r="F6" s="33">
        <f>'单价假设'!C32</f>
        <v/>
      </c>
      <c r="G6" s="33">
        <f>'单价假设'!D32</f>
        <v/>
      </c>
    </row>
    <row r="7">
      <c r="B7" s="52" t="n">
        <v>3</v>
      </c>
      <c r="C7" s="53" t="inlineStr">
        <is>
          <t>0470.HK</t>
        </is>
      </c>
      <c r="D7" s="54" t="inlineStr">
        <is>
          <t>WUXI LEAD INTELLIGENT EQUIPMENT CO., LTD. - H shares</t>
        </is>
      </c>
      <c r="E7" s="52" t="n">
        <v>22</v>
      </c>
      <c r="F7" s="55">
        <f>'单价假设'!C32</f>
        <v/>
      </c>
      <c r="G7" s="55">
        <f>'单价假设'!D32</f>
        <v/>
      </c>
    </row>
    <row r="8">
      <c r="B8" s="56" t="n">
        <v>4</v>
      </c>
      <c r="C8" s="57" t="inlineStr">
        <is>
          <t>2692.HK</t>
        </is>
      </c>
      <c r="D8" s="58" t="inlineStr">
        <is>
          <t>Shenzhen Zhaowei Machinery &amp; Electronics Co., Ltd. - H Shares</t>
        </is>
      </c>
      <c r="E8" s="56" t="n">
        <v>27</v>
      </c>
      <c r="F8" s="33">
        <f>'单价假设'!C32</f>
        <v/>
      </c>
      <c r="G8" s="33">
        <f>'单价假设'!D32</f>
        <v/>
      </c>
    </row>
    <row r="9">
      <c r="B9" s="52" t="n">
        <v>5</v>
      </c>
      <c r="C9" s="53" t="inlineStr">
        <is>
          <t>3268.HK</t>
        </is>
      </c>
      <c r="D9" s="54" t="inlineStr">
        <is>
          <t>MeiG Smart Technology Co., Ltd. - H Shares</t>
        </is>
      </c>
      <c r="E9" s="52" t="n">
        <v>28</v>
      </c>
      <c r="F9" s="55">
        <f>'单价假设'!C32</f>
        <v/>
      </c>
      <c r="G9" s="55">
        <f>'单价假设'!D32</f>
        <v/>
      </c>
    </row>
    <row r="10">
      <c r="B10" s="56" t="n">
        <v>6</v>
      </c>
      <c r="C10" s="57" t="inlineStr">
        <is>
          <t>1989.HK</t>
        </is>
      </c>
      <c r="D10" s="58" t="inlineStr">
        <is>
          <t>Delton Technology (Guangzhou) Inc. - H Shares</t>
        </is>
      </c>
      <c r="E10" s="56" t="n">
        <v>29</v>
      </c>
      <c r="F10" s="33">
        <f>'单价假设'!C32</f>
        <v/>
      </c>
      <c r="G10" s="33">
        <f>'单价假设'!D32</f>
        <v/>
      </c>
    </row>
    <row r="11">
      <c r="B11" s="52" t="n">
        <v>7</v>
      </c>
      <c r="C11" s="53" t="inlineStr">
        <is>
          <t>2701.HK</t>
        </is>
      </c>
      <c r="D11" s="54" t="inlineStr">
        <is>
          <t>Nsing Technologies Inc. - H Shares</t>
        </is>
      </c>
      <c r="E11" s="52" t="n">
        <v>30</v>
      </c>
      <c r="F11" s="55">
        <f>'单价假设'!C32</f>
        <v/>
      </c>
      <c r="G11" s="55">
        <f>'单价假设'!D32</f>
        <v/>
      </c>
    </row>
    <row r="12">
      <c r="B12" s="56" t="n">
        <v>8</v>
      </c>
      <c r="C12" s="57" t="inlineStr">
        <is>
          <t>3355.HK</t>
        </is>
      </c>
      <c r="D12" s="58" t="inlineStr">
        <is>
          <t>FS.COM Ltd. - H Shares</t>
        </is>
      </c>
      <c r="E12" s="56" t="n">
        <v>31</v>
      </c>
      <c r="F12" s="33">
        <f>'单价假设'!C32</f>
        <v/>
      </c>
      <c r="G12" s="33">
        <f>'单价假设'!D32</f>
        <v/>
      </c>
    </row>
    <row r="13">
      <c r="B13" s="52" t="n">
        <v>9</v>
      </c>
      <c r="C13" s="53" t="inlineStr">
        <is>
          <t>2632.HK</t>
        </is>
      </c>
      <c r="D13" s="54" t="inlineStr">
        <is>
          <t>Jiangsu New Vision Automotive Electronics Co., Ltd. - H Shares</t>
        </is>
      </c>
      <c r="E13" s="52" t="n">
        <v>32</v>
      </c>
      <c r="F13" s="55">
        <f>'单价假设'!C32</f>
        <v/>
      </c>
      <c r="G13" s="55">
        <f>'单价假设'!D32</f>
        <v/>
      </c>
    </row>
    <row r="14">
      <c r="B14" s="56" t="n">
        <v>10</v>
      </c>
      <c r="C14" s="57" t="inlineStr">
        <is>
          <t>1021.HK</t>
        </is>
      </c>
      <c r="D14" s="58" t="inlineStr">
        <is>
          <t>Guangdong Huayan Robotics Co., Ltd. - H Shares</t>
        </is>
      </c>
      <c r="E14" s="56" t="n">
        <v>34</v>
      </c>
      <c r="F14" s="33">
        <f>'单价假设'!C32</f>
        <v/>
      </c>
      <c r="G14" s="33">
        <f>'单价假设'!D32</f>
        <v/>
      </c>
    </row>
    <row r="15">
      <c r="B15" s="52" t="n">
        <v>11</v>
      </c>
      <c r="C15" s="53" t="inlineStr">
        <is>
          <t>2726.HK</t>
        </is>
      </c>
      <c r="D15" s="54" t="inlineStr">
        <is>
          <t>Epiworld International Co., Ltd. - H Shares</t>
        </is>
      </c>
      <c r="E15" s="52" t="n">
        <v>36</v>
      </c>
      <c r="F15" s="55">
        <f>'单价假设'!C32</f>
        <v/>
      </c>
      <c r="G15" s="55">
        <f>'单价假设'!D32</f>
        <v/>
      </c>
    </row>
    <row r="16">
      <c r="B16" s="56" t="n">
        <v>12</v>
      </c>
      <c r="C16" s="57" t="inlineStr">
        <is>
          <t>6636.HK</t>
        </is>
      </c>
      <c r="D16" s="58" t="inlineStr">
        <is>
          <t>Shandong Extreme Vision Technology Co., Ltd. - H Shares</t>
        </is>
      </c>
      <c r="E16" s="56" t="n">
        <v>37</v>
      </c>
      <c r="F16" s="33">
        <f>'单价假设'!C32</f>
        <v/>
      </c>
      <c r="G16" s="33">
        <f>'单价假设'!D32</f>
        <v/>
      </c>
    </row>
    <row r="17">
      <c r="B17" s="52" t="n">
        <v>13</v>
      </c>
      <c r="C17" s="53" t="inlineStr">
        <is>
          <t>0664.HK</t>
        </is>
      </c>
      <c r="D17" s="54" t="inlineStr">
        <is>
          <t>Hangzhou Tongshifu Cultural and Creative (Group) Co., Ltd.</t>
        </is>
      </c>
      <c r="E17" s="52" t="n">
        <v>38</v>
      </c>
      <c r="F17" s="55">
        <f>'单价假设'!C32</f>
        <v/>
      </c>
      <c r="G17" s="55">
        <f>'单价假设'!D32</f>
        <v/>
      </c>
    </row>
    <row r="18">
      <c r="B18" s="14" t="inlineStr">
        <is>
          <t>合计（13 家 · 招股书抽+核）</t>
        </is>
      </c>
      <c r="C18" s="63" t="n"/>
      <c r="D18" s="63" t="n"/>
      <c r="E18" s="64" t="n"/>
      <c r="F18" s="60">
        <f>SUM(F5:F17)</f>
        <v/>
      </c>
      <c r="G18" s="60">
        <f>SUM(G5:G17)</f>
        <v/>
      </c>
    </row>
    <row r="20">
      <c r="B20" s="43" t="inlineStr">
        <is>
          <t>另：2706.HK JSON 已存在，write-ready 写回 ¥0，不列入上表。</t>
        </is>
      </c>
    </row>
    <row r="21">
      <c r="B21" s="43" t="inlineStr">
        <is>
          <t>操作：DSH 说「抽剩下的」或 hkipo-one-shot；每批 2 家，空闲时段，deepseek-flash。</t>
        </is>
      </c>
    </row>
  </sheetData>
  <autoFilter ref="B4:G17"/>
  <mergeCells count="4">
    <mergeCell ref="B2:G2"/>
    <mergeCell ref="B20:G20"/>
    <mergeCell ref="B18:E18"/>
    <mergeCell ref="B21:G21"/>
  </mergeCells>
  <pageMargins left="0.75" right="0.75" top="1" bottom="1" header="0.5" footer="0.5"/>
  <pageSetup orientation="landscape" fitToWidth="1"/>
  <headerFooter>
    <oddHeader>&amp;LQ1 剩余招股书抽取明细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F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 ht="24" customHeight="1">
      <c r="B2" s="27" t="inlineStr">
        <is>
          <t>口径、方法与局限（汇报附录）</t>
        </is>
      </c>
    </row>
    <row r="4">
      <c r="B4" s="3" t="inlineStr">
        <is>
          <t>1. 费用覆盖什么</t>
        </is>
      </c>
    </row>
    <row r="5" ht="36" customHeight="1">
      <c r="B5" s="61" t="inlineStr">
        <is>
          <t>覆盖：DeepSeek Flash 在「招股书抽取 + 独立复核」以及「配发抽取 + 独立复核」中的 API token 费用。不覆盖：港交所下载流量、本机 CPU、人工抽查时间、Excel 许可证、DeepSeek 账号充值优惠/赠金。Q1 配发 38/38 已完成，收尾只需招股书抽取。</t>
        </is>
      </c>
    </row>
    <row r="6"/>
    <row r="7"/>
    <row r="8"/>
    <row r="10">
      <c r="B10" s="3" t="inlineStr">
        <is>
          <t>2. 官方价格（2026-09-12 抓取）</t>
        </is>
      </c>
    </row>
    <row r="11" ht="48" customHeight="1">
      <c r="B11" s="61" t="inlineStr">
        <is>
          <t>https://api-docs.deepseek.com/zh-cn/quick_start/pricing
deepseek-flash：空闲 未命中 1 元、命中 0.02 元、输出 4 元 / 百万 tokens；高峰为 2 / 0.04 / 8。高峰=北京时间周一至周五 9:00–12:00、14:00–18:00。产品价格可能调整，以官网为准。</t>
        </is>
      </c>
    </row>
    <row r="12"/>
    <row r="13"/>
    <row r="15">
      <c r="B15" s="3" t="inlineStr">
        <is>
          <t>3. Token 如何估</t>
        </is>
      </c>
    </row>
    <row r="16" ht="72" customHeight="1">
      <c r="B16" s="61" t="inlineStr">
        <is>
          <t>38 家 prospectus packet 用 tiktoken cl100k：中位 107,125、均值 108,189、最大 135,195 tokens。配发 packet 均值 18,011。JSON 产出约 3,105 / 1,258。Agent 循环按「前缀重放 → cache hit、新检索片段 → cache miss、thinking+工具调用 → 输出」累加。这是工程估算，不是控制台账单。DeepSeek 分词与 cl100k 可能差 ±10%。校正方法：用推荐流程空闲抽 2 家，把实扣填进「单价假设」黄格。</t>
        </is>
      </c>
    </row>
    <row r="17"/>
    <row r="18"/>
    <row r="19"/>
    <row r="20"/>
    <row r="22">
      <c r="B22" s="3" t="inlineStr">
        <is>
          <t>4. 前期为什么体感是 ¥3–4</t>
        </is>
      </c>
    </row>
    <row r="23" ht="64" customHeight="1">
      <c r="B23" s="61" t="inlineStr">
        <is>
          <t>日志显示当时模型是 gemini-3.8-flash-high（agy），不是 DeepSeek Flash；成功案例单家 stream 75–180 次（推荐流程约十几到三十次）。同一 token 量若改用 DeepSeek Pro 空闲，公式结果约 4 元/家，与体感重合。对话里从零代劳（读全文 jsonl≈42 万 token）也会到 3–4 元。故体感真实，但不是 Flash 空闲生产价。</t>
        </is>
      </c>
    </row>
    <row r="24"/>
    <row r="25"/>
    <row r="26"/>
    <row r="28">
      <c r="B28" s="3" t="inlineStr">
        <is>
          <t>5. 质量如何保证（不另加预算）</t>
        </is>
      </c>
    </row>
    <row r="29" ht="56" customHeight="1">
      <c r="B29" s="61" t="inlineStr">
        <is>
          <t>切片上限见 prospectus_pipeline/config.yaml（财务组 95k 字符等）。手册硬规则：金额基本单位、百分比小数、year-1 销售/利润才年化、AO/AP 佣金口径、AQ 不默认 15%、AY 当期新增、无基石填 NA。validate 不通过禁止 write。关 thinking 可再降到约 ¥0.52，但失败重跑会抵消节省，汇报采用含复核的 ¥1 中枢。</t>
        </is>
      </c>
    </row>
    <row r="30"/>
    <row r="31"/>
    <row r="32"/>
    <row r="34">
      <c r="B34" s="3" t="inlineStr">
        <is>
          <t>6. 不在本预算内</t>
        </is>
      </c>
    </row>
    <row r="35" ht="40" customHeight="1">
      <c r="B35" s="61" t="inlineStr">
        <is>
          <t>扩列 AZ–CI（VC/PE、实控人、有息负债、行业代码等）尚未纳入 42 字段抽取，另开任务另估。浅绿 A–K 来自港交所新上市报告，深蓝行情 DD–DO 来自腾讯/HKMA，均不走 Flash。</t>
        </is>
      </c>
    </row>
    <row r="36"/>
    <row r="37"/>
    <row r="39">
      <c r="B39" s="3" t="inlineStr">
        <is>
          <t>7. 可复现命令</t>
        </is>
      </c>
    </row>
    <row r="40" ht="56" customHeight="1">
      <c r="B40" s="62" t="inlineStr">
        <is>
          <t>python3 prospectus_pipeline/auto_fill.py status
DSH 对话：抽剩下的 / hkipo-one-shot（每批 2 家，deepseek-flash）
python3 prospectus_pipeline/auto_fill.py write-ready
工作簿：HKIPO-MB2026Q1.xlsx</t>
        </is>
      </c>
    </row>
    <row r="41"/>
    <row r="42"/>
    <row r="43"/>
  </sheetData>
  <mergeCells count="8">
    <mergeCell ref="B40:F43"/>
    <mergeCell ref="B35:F37"/>
    <mergeCell ref="B2:F2"/>
    <mergeCell ref="B29:F32"/>
    <mergeCell ref="B11:F13"/>
    <mergeCell ref="B16:F20"/>
    <mergeCell ref="B5:F8"/>
    <mergeCell ref="B23:F26"/>
  </mergeCells>
  <pageMargins left="0.75" right="0.75" top="1" bottom="1" header="0.5" footer="0.5"/>
  <pageSetup orientation="portrait" fitToWidth="1"/>
  <headerFooter>
    <oddHeader>&amp;L口径 · 方法 · 局限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2026-09-12T02:56:59Z</dcterms:created>
  <dcterms:modified xmlns:dcterms="http://purl.org/dc/terms/" xmlns:xsi="http://www.w3.org/2001/XMLSchema-instance" xsi:type="dcterms:W3CDTF">2026-09-12T02:59:09Z</dcterms:modified>
</cp:coreProperties>
</file>