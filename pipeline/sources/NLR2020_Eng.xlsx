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Pass document\"/>
    </mc:Choice>
  </mc:AlternateContent>
  <bookViews>
    <workbookView xWindow="0" yWindow="0" windowWidth="19200" windowHeight="10860" tabRatio="654"/>
  </bookViews>
  <sheets>
    <sheet name="NLR" sheetId="1" r:id="rId1"/>
  </sheets>
  <definedNames>
    <definedName name="_xlnm._FilterDatabase" localSheetId="0" hidden="1">NLR!$A$2:$T$249</definedName>
    <definedName name="_xlnm.Print_Area" localSheetId="0">NLR!$A$1:$K$290</definedName>
    <definedName name="_xlnm.Print_Titles" localSheetId="0">NLR!$1:$2</definedName>
  </definedNames>
  <calcPr calcId="162913" calcOnSave="0"/>
</workbook>
</file>

<file path=xl/calcChain.xml><?xml version="1.0" encoding="utf-8"?>
<calcChain xmlns="http://schemas.openxmlformats.org/spreadsheetml/2006/main">
  <c r="I78" i="1" l="1"/>
  <c r="I77" i="1"/>
</calcChain>
</file>

<file path=xl/sharedStrings.xml><?xml version="1.0" encoding="utf-8"?>
<sst xmlns="http://schemas.openxmlformats.org/spreadsheetml/2006/main" count="1852" uniqueCount="358">
  <si>
    <t>Sponsor(s)</t>
  </si>
  <si>
    <t>Valuer(s)</t>
  </si>
  <si>
    <t>Stock Code</t>
  </si>
  <si>
    <t>Date of Prospectus (dd/mm/yy)</t>
  </si>
  <si>
    <t>Date of Listing (dd/mm/yy)</t>
  </si>
  <si>
    <t>Reporting Accountants</t>
  </si>
  <si>
    <t xml:space="preserve"> IPO Subscription Price (HK$)</t>
  </si>
  <si>
    <t>Funds Raised (HK$)</t>
  </si>
  <si>
    <t>Company Name at time of listing
(exclude Chapter 20 cases)</t>
  </si>
  <si>
    <t>"</t>
  </si>
  <si>
    <t>(b)</t>
  </si>
  <si>
    <t xml:space="preserve">B - Biotech Companies listed under Chapter 18A </t>
  </si>
  <si>
    <t xml:space="preserve">Ernst &amp; Young
</t>
  </si>
  <si>
    <t>(a)</t>
    <phoneticPr fontId="11" type="noConversion"/>
  </si>
  <si>
    <t xml:space="preserve">Kwan Yong Holdings Limited
</t>
  </si>
  <si>
    <t xml:space="preserve">SPDB International Capital Limited
</t>
  </si>
  <si>
    <t>(a)</t>
    <phoneticPr fontId="13" type="noConversion"/>
  </si>
  <si>
    <t xml:space="preserve">Wise Ally International Holdings Limited
</t>
  </si>
  <si>
    <t xml:space="preserve">WAG Worldsec Corporate Finance Limited
</t>
  </si>
  <si>
    <r>
      <t xml:space="preserve">PricewaterhouseCoopers
</t>
    </r>
    <r>
      <rPr>
        <sz val="12"/>
        <rFont val="細明體"/>
        <family val="3"/>
        <charset val="136"/>
      </rPr>
      <t xml:space="preserve">
</t>
    </r>
  </si>
  <si>
    <t xml:space="preserve">N/A
</t>
  </si>
  <si>
    <t>(a)</t>
    <phoneticPr fontId="14" type="noConversion"/>
  </si>
  <si>
    <t xml:space="preserve">Forward Fashion (International) Holdings Company Limited
</t>
  </si>
  <si>
    <t xml:space="preserve">China Industrial Securities International Capital Limited
</t>
  </si>
  <si>
    <t xml:space="preserve">Fortune Financial Capital Limited
</t>
  </si>
  <si>
    <t xml:space="preserve">Wenye Group Holdings Limited
</t>
  </si>
  <si>
    <t>(a)</t>
    <phoneticPr fontId="15" type="noConversion"/>
  </si>
  <si>
    <t xml:space="preserve">CTR Holdings Limited 
</t>
  </si>
  <si>
    <t>Jones Lang LaSalle Corporate Appraisal and Advisory Limited</t>
  </si>
  <si>
    <t>Cushman &amp; Wakefield Limited</t>
  </si>
  <si>
    <t xml:space="preserve">Beijing Enterprises Urban Resources Group Limited
</t>
  </si>
  <si>
    <t xml:space="preserve">Haitong International Capital Limited / DBS Asia Capital Limited
</t>
  </si>
  <si>
    <t xml:space="preserve">Ravia Global Appraisal AdvIsory Limited
</t>
  </si>
  <si>
    <t xml:space="preserve">Grande Capital Limited
</t>
  </si>
  <si>
    <t xml:space="preserve">Jiumaojiu International Holdings Limited
</t>
  </si>
  <si>
    <t xml:space="preserve">CMB International Capital Limited
</t>
  </si>
  <si>
    <t xml:space="preserve">KPMG
</t>
  </si>
  <si>
    <t xml:space="preserve">Dongxing Securities (Hong Kong) Company Limited
</t>
  </si>
  <si>
    <t xml:space="preserve">Activation Group Holdings Limited
</t>
  </si>
  <si>
    <t xml:space="preserve">Huijing Holdings Company Limited
</t>
  </si>
  <si>
    <t xml:space="preserve">China Galaxy International Securities (Hong Kong) Co., Limited
</t>
  </si>
  <si>
    <t xml:space="preserve">Kwung's Holdings Limited
</t>
  </si>
  <si>
    <t xml:space="preserve">Guotai Junan Capital Limited
</t>
  </si>
  <si>
    <t xml:space="preserve">Q P Group Holdings Limited 
</t>
  </si>
  <si>
    <t xml:space="preserve">SANVO Fine Chemicals Group Limited 
</t>
  </si>
  <si>
    <t xml:space="preserve">Shanghai Gench Education Group Limited
</t>
  </si>
  <si>
    <t xml:space="preserve">Values Cultural Investment Limited
</t>
  </si>
  <si>
    <t xml:space="preserve">VBG Capital Limited
</t>
  </si>
  <si>
    <t xml:space="preserve">Macquarie Capital Limited
</t>
  </si>
  <si>
    <t xml:space="preserve">Zhongtai International Capital Limited
</t>
  </si>
  <si>
    <t xml:space="preserve">Moore Stephens CPA Limited
</t>
  </si>
  <si>
    <t xml:space="preserve">LCH (Asia-Pacific) Surveyors Limited
</t>
  </si>
  <si>
    <t>(a)</t>
    <phoneticPr fontId="16" type="noConversion"/>
  </si>
  <si>
    <t xml:space="preserve">JiaChen Holding Group Limited </t>
  </si>
  <si>
    <t xml:space="preserve">Lvji Technology Holdings Inc. </t>
  </si>
  <si>
    <t xml:space="preserve">Wah Wo Holdings Group Limited </t>
  </si>
  <si>
    <t xml:space="preserve">Dakin Capital Limited
</t>
  </si>
  <si>
    <t xml:space="preserve">CCB International Capital Limited
</t>
  </si>
  <si>
    <t xml:space="preserve">First Shanghai Capital Limited
</t>
  </si>
  <si>
    <t xml:space="preserve">Crowe (HK) CPA Limited
</t>
  </si>
  <si>
    <t xml:space="preserve">GHW International </t>
  </si>
  <si>
    <t>(a)</t>
    <phoneticPr fontId="17" type="noConversion"/>
  </si>
  <si>
    <t>Infinity Logistics and Transport Ventures Limited</t>
  </si>
  <si>
    <t>Savills (Malaysia) Sdn Bhd</t>
  </si>
  <si>
    <t xml:space="preserve">Zhongguancun Science-Tech Leasing Co., Ltd
</t>
  </si>
  <si>
    <r>
      <t xml:space="preserve">Deloitte Touche Tohmatsu
</t>
    </r>
    <r>
      <rPr>
        <sz val="12"/>
        <rFont val="細明體"/>
        <family val="3"/>
        <charset val="136"/>
      </rPr>
      <t/>
    </r>
  </si>
  <si>
    <t xml:space="preserve">Mazars LLP and Mazars CPA Limited
Mazars LLP </t>
  </si>
  <si>
    <t xml:space="preserve">KPMG
</t>
  </si>
  <si>
    <t>(a)</t>
  </si>
  <si>
    <t>SEM Holdings Limited</t>
  </si>
  <si>
    <t xml:space="preserve">Ample Capital Limited
</t>
  </si>
  <si>
    <r>
      <t>Deloitte Touche Tohmatsu</t>
    </r>
    <r>
      <rPr>
        <sz val="12"/>
        <rFont val="細明體"/>
        <family val="3"/>
        <charset val="136"/>
      </rPr>
      <t/>
    </r>
  </si>
  <si>
    <t xml:space="preserve">N/A
</t>
  </si>
  <si>
    <t>(a)</t>
    <phoneticPr fontId="18" type="noConversion"/>
  </si>
  <si>
    <t xml:space="preserve">Fu Shek Financial Holdings Limited
</t>
  </si>
  <si>
    <t xml:space="preserve">Vinco Capital Limited
</t>
  </si>
  <si>
    <t>(a)</t>
    <phoneticPr fontId="19" type="noConversion"/>
  </si>
  <si>
    <t xml:space="preserve">Xingye Wulian Service Group Co. Ltd.
</t>
  </si>
  <si>
    <t>(a)</t>
    <phoneticPr fontId="20" type="noConversion"/>
  </si>
  <si>
    <t xml:space="preserve">Cirtek Holdings Limited
</t>
  </si>
  <si>
    <t xml:space="preserve">Sunlight Technology Holdings Limited
</t>
  </si>
  <si>
    <t xml:space="preserve">Wei Yuan Holdings Limited 
</t>
  </si>
  <si>
    <t xml:space="preserve">Ximei Resouces Holding Limited
</t>
  </si>
  <si>
    <t xml:space="preserve">China Bright Culture Group
</t>
  </si>
  <si>
    <t xml:space="preserve">Ye Xing Group Holdings Limited
</t>
  </si>
  <si>
    <t xml:space="preserve">Elstone Capital Limited
</t>
  </si>
  <si>
    <t xml:space="preserve">Giraffe Capital Limited
</t>
  </si>
  <si>
    <t xml:space="preserve">Cinda International Capital Limited
</t>
  </si>
  <si>
    <t xml:space="preserve">BOCOM International (Asia) Limited / Haitong International Capital Limited
</t>
  </si>
  <si>
    <t xml:space="preserve">Alliance Capital Partners Limited
</t>
  </si>
  <si>
    <t xml:space="preserve">HLB Hodgson Impey Cheng Limited
</t>
  </si>
  <si>
    <t xml:space="preserve">AVISTA Valuation Advisory Limited
</t>
  </si>
  <si>
    <t xml:space="preserve">Knight Frank Petty Limited
</t>
  </si>
  <si>
    <t xml:space="preserve">Jones Lang LaSalle Corporate Appraisal and Advisory Limited
</t>
  </si>
  <si>
    <t>(a)</t>
    <phoneticPr fontId="21" type="noConversion"/>
  </si>
  <si>
    <t>Jiu Zun Digital Interactive Entertainment Group Holdings</t>
  </si>
  <si>
    <t xml:space="preserve">Lego Corporate Finance Limited
</t>
  </si>
  <si>
    <r>
      <t xml:space="preserve">N/A - Transfer of Listing from GEM to Main Board
</t>
    </r>
    <r>
      <rPr>
        <sz val="12"/>
        <rFont val="細明體"/>
        <family val="3"/>
        <charset val="136"/>
      </rPr>
      <t/>
    </r>
  </si>
  <si>
    <t xml:space="preserve">PricewaterhouseCoopers
</t>
  </si>
  <si>
    <t xml:space="preserve">VMS Securities Limited
</t>
  </si>
  <si>
    <t xml:space="preserve">CMBC International Capital Limited
</t>
  </si>
  <si>
    <t xml:space="preserve">Sang Hing Holdings (International) Limited </t>
  </si>
  <si>
    <t xml:space="preserve">Changhong Jiahua Holdings Limited 
</t>
  </si>
  <si>
    <t>Jianzhong Construction Development Limited</t>
  </si>
  <si>
    <t xml:space="preserve">Kidztech Holdings Limited
</t>
  </si>
  <si>
    <t xml:space="preserve">SG Group Holdings Limited 
</t>
  </si>
  <si>
    <t>(a)</t>
    <phoneticPr fontId="22" type="noConversion"/>
  </si>
  <si>
    <t xml:space="preserve">Morgan Stanley Asia Limited / Goldman Sachs (Asia) LLC
</t>
  </si>
  <si>
    <t>C-Link Squared Limited</t>
  </si>
  <si>
    <t>(a)</t>
    <phoneticPr fontId="23" type="noConversion"/>
  </si>
  <si>
    <t xml:space="preserve">Grand Moore Capital Limited
</t>
  </si>
  <si>
    <t>(a)</t>
    <phoneticPr fontId="24" type="noConversion"/>
  </si>
  <si>
    <t>MOG Holdings Ltd.</t>
  </si>
  <si>
    <t xml:space="preserve">Lotus Horizon Holdings Ltd.
</t>
  </si>
  <si>
    <t xml:space="preserve">Tycoon Group Holdings Ltd.
</t>
  </si>
  <si>
    <t xml:space="preserve">Innovax Capital Ltd
</t>
  </si>
  <si>
    <t xml:space="preserve">Shenwan Hongyuan Capital (H.K.) Ltd
</t>
  </si>
  <si>
    <t>Mazars CPA Ltd. / 
Grant Thornton Malaysia PLT</t>
  </si>
  <si>
    <t>Lumina Group Ltd.</t>
  </si>
  <si>
    <t>Red Sun Capital Ltd</t>
  </si>
  <si>
    <t>Deloitte Touche Tohmatsu</t>
  </si>
  <si>
    <r>
      <t>N/A - Transfer of Listing from GEM to Main Board</t>
    </r>
    <r>
      <rPr>
        <sz val="12"/>
        <rFont val="細明體"/>
        <family val="3"/>
        <charset val="136"/>
      </rPr>
      <t/>
    </r>
  </si>
  <si>
    <t xml:space="preserve">Morgan Stanley Asia Ltd / 
J.P. Morgan Securities (Far East) Ltd </t>
  </si>
  <si>
    <t>Rimbaco Group Global Ltd.</t>
  </si>
  <si>
    <t xml:space="preserve">Titan Financial Services Limited
</t>
  </si>
  <si>
    <t xml:space="preserve">AVISTA Valuation Advisory Limited
</t>
  </si>
  <si>
    <t>Raffles Interior Ltd.</t>
  </si>
  <si>
    <t>PricewaterhouseCoopers</t>
  </si>
  <si>
    <t>Kingsway Capital Limited</t>
  </si>
  <si>
    <t xml:space="preserve">Akeso Inc. - B
</t>
  </si>
  <si>
    <t>Ritamix Global Limited</t>
  </si>
  <si>
    <t xml:space="preserve">Edensoft Holdings Limited
</t>
  </si>
  <si>
    <t xml:space="preserve">Messis Capital Limited 
</t>
  </si>
  <si>
    <t xml:space="preserve">Mazars CPA Limited / Mazars PLT
</t>
  </si>
  <si>
    <t>N/A</t>
  </si>
  <si>
    <t xml:space="preserve">Nawawi Tie Leung Property Consultants Sdn Bhd
</t>
  </si>
  <si>
    <t>(a)</t>
    <phoneticPr fontId="24" type="noConversion"/>
  </si>
  <si>
    <t xml:space="preserve">Central China New Life Limited
</t>
  </si>
  <si>
    <t xml:space="preserve">Peijia Medical Limited - B
</t>
  </si>
  <si>
    <t xml:space="preserve">BNP Paribas Securities (Asia) Limited
</t>
  </si>
  <si>
    <t xml:space="preserve">Morgan Stanley Asia Limited / 
Huatai Financial Holdings (Hong Kong) Limited
</t>
  </si>
  <si>
    <t xml:space="preserve">PricewaterhouseCoopers
</t>
  </si>
  <si>
    <t xml:space="preserve">InnoCare Pharma Limited - B
</t>
  </si>
  <si>
    <t>Kintor Pharmaceutical Limited - B</t>
  </si>
  <si>
    <t>Vigers Appraisal &amp; Consulting Limited</t>
  </si>
  <si>
    <t xml:space="preserve">Fineland Real Estate Services Group Limited
</t>
  </si>
  <si>
    <t xml:space="preserve">CLSA Capital Markets Limited /
Nomura International (Hong Kong) Limited /
ABCI Capital Limited
</t>
  </si>
  <si>
    <t>Yeahka Limited</t>
  </si>
  <si>
    <t xml:space="preserve">Red Sun Capital Limited
</t>
  </si>
  <si>
    <t xml:space="preserve">BDO Limited
</t>
  </si>
  <si>
    <t xml:space="preserve">SMC Electric Limited 
</t>
  </si>
  <si>
    <t xml:space="preserve">Mazars CPA Limited
</t>
  </si>
  <si>
    <t>Haina Intelligent Equipment International Holdings Limited</t>
  </si>
  <si>
    <t xml:space="preserve">Winson Holdings Hong Kong Limited
</t>
  </si>
  <si>
    <t>Messis Capital Limited /
Ballas Capital Limited</t>
  </si>
  <si>
    <t>China International Capital Corporation Hong Kong Securities Limited / Credit Suisse (Hong Kong) Limited /  J.P. Morgan Securities (Far East) Limited</t>
  </si>
  <si>
    <t xml:space="preserve">Merrill Lynch Far East Limited/
UBS Securities Hong Kong Limited/  
CLSA Capital Markets Limited
</t>
  </si>
  <si>
    <t xml:space="preserve">Deloitte Touche Tohmatsu/
PricewaterhouseCoopers
</t>
  </si>
  <si>
    <t>Litian Pictures Holdings Limited</t>
  </si>
  <si>
    <t>KPMG</t>
  </si>
  <si>
    <t>Hygeia Healthcare Holdings Co., Limited</t>
  </si>
  <si>
    <t>Kangji Medical Holdings Limited</t>
  </si>
  <si>
    <t>Morgan Stanley Asia Limited/
Haitong International Capital Limited</t>
  </si>
  <si>
    <t>Ernst &amp; Young</t>
  </si>
  <si>
    <t>Hygieia Group Limited</t>
  </si>
  <si>
    <t xml:space="preserve">Financial Street Property Co., Limited
</t>
  </si>
  <si>
    <t>Guotai Junan Capital Limited</t>
  </si>
  <si>
    <t xml:space="preserve">Redsun Services Group Limited
</t>
  </si>
  <si>
    <t xml:space="preserve">ABCI Capital Limited   </t>
  </si>
  <si>
    <t>MBV International Limited</t>
  </si>
  <si>
    <t xml:space="preserve">Laurelcap Sdn. Bhd.
</t>
  </si>
  <si>
    <t xml:space="preserve">South China Capital Limited
</t>
  </si>
  <si>
    <t>Mazars CPA Limited / Mazars LLP</t>
  </si>
  <si>
    <t>Shenzhen Hepalink Pharmaceutical Group Co., Ltd.</t>
  </si>
  <si>
    <t xml:space="preserve">Adtiger Corporations Limited
</t>
  </si>
  <si>
    <t xml:space="preserve">Greentown Management Holdings Company Limited
</t>
  </si>
  <si>
    <t xml:space="preserve">Immunotech Biopharm Ltd - B
</t>
  </si>
  <si>
    <t xml:space="preserve">Ocumension Therapeutics - B
 </t>
  </si>
  <si>
    <t xml:space="preserve">Smoore International Holdings Limited
</t>
  </si>
  <si>
    <t xml:space="preserve">Zhenro Services Group Limited
</t>
  </si>
  <si>
    <t>Credit Suisse (Hong Kong) Limited / 
Deutsche Securities Asia Limited</t>
  </si>
  <si>
    <t xml:space="preserve">CCB International Capital Limited/
Guosen Securities (HK) Capital Company Limited
</t>
  </si>
  <si>
    <t xml:space="preserve">Morgan Stanley Asia Limited/
Goldman Sachs (Asia) L.L.C.
</t>
  </si>
  <si>
    <t xml:space="preserve">CLSA Capital Markets Limited
</t>
  </si>
  <si>
    <t xml:space="preserve">Goldman Sachs (Asia) L.L.C./
Morgan Stanley Asia Limited
</t>
  </si>
  <si>
    <t xml:space="preserve">CEB International Capital Corporation Limited
</t>
  </si>
  <si>
    <t>Honliv Healthcare Management Group Company Limited</t>
  </si>
  <si>
    <t xml:space="preserve">BOCOM International (Asia) Limited
</t>
  </si>
  <si>
    <t>China New Energy Limited</t>
  </si>
  <si>
    <t xml:space="preserve">Archosaur Games Inc.
</t>
  </si>
  <si>
    <t xml:space="preserve">Cathay Media and Education Group Inc.
</t>
  </si>
  <si>
    <t xml:space="preserve">Dashan Education Holdings Limited
</t>
  </si>
  <si>
    <t xml:space="preserve">Ganglong China Property Group Limited
</t>
  </si>
  <si>
    <t xml:space="preserve">Sino-Entertainment Technology Holdings Limited
</t>
  </si>
  <si>
    <t>Macquarie Capital Limited / 
China Merchants Securities (HK) Co., Limited</t>
  </si>
  <si>
    <t xml:space="preserve">Cushman &amp; Wakefield Limited
</t>
  </si>
  <si>
    <t>China International Capital Corporation
Hong Kong Securities Limited</t>
  </si>
  <si>
    <t xml:space="preserve">China Bohai Bank Co., Ltd. </t>
  </si>
  <si>
    <t xml:space="preserve">JiaXing Gas Group Co., Ltd. </t>
  </si>
  <si>
    <t xml:space="preserve">Shandong Fengxiang Co., Ltd. </t>
  </si>
  <si>
    <t>BOCOM International (Asia) Limited/ 
LY Capital Limited</t>
  </si>
  <si>
    <t>Southwest Securities (HK) Capital Limited</t>
  </si>
  <si>
    <t>BDO Limited</t>
  </si>
  <si>
    <t xml:space="preserve">CCB International Capital Limited/
Haitong International Capital Limited/
ABCI Capital Limited/
CLSA Capital Markets Limited
</t>
  </si>
  <si>
    <t xml:space="preserve">Lego Corporate Finance Limited </t>
  </si>
  <si>
    <t xml:space="preserve">Superland Group Holdings Limited
</t>
  </si>
  <si>
    <t xml:space="preserve">Leader Education Limited
</t>
  </si>
  <si>
    <t xml:space="preserve">Huatai Financial Holdings
(Hong Kong) Limited
</t>
  </si>
  <si>
    <t>Hangzhou Tigermed Consulting Co., Ltd.  - H Shares</t>
  </si>
  <si>
    <t xml:space="preserve">BDO Limited </t>
  </si>
  <si>
    <t xml:space="preserve">Chi Kan Holdings Limited </t>
  </si>
  <si>
    <t>Ample Capital Limited</t>
  </si>
  <si>
    <t>China International Capital
Corporation Hong Kong Securities Limited/
Morgan Stanley Asia Limited/
Morgan Stanley &amp; Co. International plc</t>
  </si>
  <si>
    <t xml:space="preserve">Nongfu Spring Co., Ltd. - H shares
</t>
  </si>
  <si>
    <t xml:space="preserve">N/A - Transfer of Listing from GEM to Main Board
</t>
  </si>
  <si>
    <t>Goldman Sachs (Asia) L.L.C.</t>
  </si>
  <si>
    <t xml:space="preserve">Macau E&amp;M Holding Limited
</t>
  </si>
  <si>
    <t xml:space="preserve">Innovax Capital Limited
</t>
  </si>
  <si>
    <t xml:space="preserve">Deloitte Touche Tohmatsu
</t>
  </si>
  <si>
    <t xml:space="preserve">FOURACE INDUSTRIES GROUP HOLDINGS LIMITED
</t>
  </si>
  <si>
    <t xml:space="preserve">Fulu Holdings Limited
</t>
  </si>
  <si>
    <t>Merrill Lynch Far East Limited/
Haitong International Capital Limited/
CLSA Capital Markets Limited/
China International Capital Corporation Hong Kong Securities Limited</t>
  </si>
  <si>
    <t xml:space="preserve">Goldman Sachs (Asia) L.L.C./
CMB International Capital Limited
</t>
  </si>
  <si>
    <t xml:space="preserve">D&amp;P China (HK) Limited
</t>
  </si>
  <si>
    <t xml:space="preserve">Joy Spreader Interactive Technology. Ltd
</t>
  </si>
  <si>
    <t xml:space="preserve">China Securities (International)
Corporate Finance Company Limited/
China Merchants Securities (HK) Co., Limited/
BOCOM International (Asia) Limited
</t>
  </si>
  <si>
    <t xml:space="preserve">Ming Yuan Cloud Group Holdings Limited
</t>
  </si>
  <si>
    <t>China International Capital Corporation Hong Kong Securities Limited/
Citigroup Global Markets Asia Limited</t>
  </si>
  <si>
    <t xml:space="preserve">Founder Securities (Hong Kong) Capital Company Limited </t>
  </si>
  <si>
    <t>Huatai Financial Holdings (Hong Kong) Limited</t>
  </si>
  <si>
    <t xml:space="preserve">Goldman Sachs (Asia) L.L.C./
CLSA Capital Markets Limited/
Merrill Lynch Far East Limited
</t>
  </si>
  <si>
    <t>J.P. Morgan Securities (Far East) Limited/ 
Goldman Sachs (Asia) L.L.C./ 
Citigroup Global Markets Asia Limited</t>
  </si>
  <si>
    <t xml:space="preserve">N/A </t>
  </si>
  <si>
    <t>Citigroup Global Markets Asia Limited/
CMB International Capital Limited/
Credit Suisse (Hong Kong) Limited</t>
  </si>
  <si>
    <t xml:space="preserve">Skymission Group Holdings Limited
</t>
  </si>
  <si>
    <t xml:space="preserve">Access Partner Consultancy and
Appraisals Limited
</t>
  </si>
  <si>
    <t>Neusoft Education Technology Co. Limited</t>
  </si>
  <si>
    <t xml:space="preserve">Tak Lee Machinery Holdings Limited
</t>
  </si>
  <si>
    <t>First Shanghai Capital Limited/
Southwest Securities (HK) Capital Limited</t>
  </si>
  <si>
    <t>RSM Hong Kong</t>
  </si>
  <si>
    <t>JHBP (CY) Holdings Limited - B</t>
  </si>
  <si>
    <t xml:space="preserve">Goldman Sachs (Asia) L.L.C./
J.P. Morgan Securities (Far East) Limited/
Jefferies Hong Kong Limited
 </t>
  </si>
  <si>
    <t xml:space="preserve">PricewaterhouseCoopers </t>
  </si>
  <si>
    <t xml:space="preserve">Goldman Sachs (Asia) L.L.C./
Merrill Lynch Far East Limited
 </t>
  </si>
  <si>
    <t>Everest Medicines Limited - B</t>
  </si>
  <si>
    <t>Weihai City Commercial Bank Co., Ltd - H Shares</t>
  </si>
  <si>
    <t xml:space="preserve">Huatai Financial Holdings (Hong Kong) Limited /
China International Capital Corporation Hong Kong Securities Limited/
CMB International Capital Limited
</t>
  </si>
  <si>
    <t xml:space="preserve">Ballas Capital Limited
</t>
  </si>
  <si>
    <t xml:space="preserve">Grant Thornton Hong Kong Limited
</t>
  </si>
  <si>
    <t xml:space="preserve">Jones Lang LaSalle Corporate
Appraisal and Advisory Limited
</t>
  </si>
  <si>
    <t xml:space="preserve">Channel Micron Holdings Company Limited
</t>
  </si>
  <si>
    <t xml:space="preserve">CN Logistics International Holdings Limited
</t>
  </si>
  <si>
    <t xml:space="preserve">Excellence Commercial Property &amp;
Facilities Management Group Limited
</t>
  </si>
  <si>
    <t>Haitong International Capital Limited/
CMB International Capital Limited</t>
  </si>
  <si>
    <t xml:space="preserve">China Nature Energy Technology Holdings Limited </t>
  </si>
  <si>
    <t xml:space="preserve">Landrich Holding Limited
 </t>
  </si>
  <si>
    <t>Frontpage Capital Limited</t>
  </si>
  <si>
    <t>Haitong International Capital Limited</t>
  </si>
  <si>
    <t>First Service Holding Limited</t>
  </si>
  <si>
    <t xml:space="preserve">Canggang Railway Limited
</t>
  </si>
  <si>
    <t xml:space="preserve">Simcere Pharmaceutical Group Limited
</t>
  </si>
  <si>
    <t xml:space="preserve">Morgan Stanley Asia Limited /
China International Capital Corporation
Hong Kong Securities Limited
</t>
  </si>
  <si>
    <t>Radiance Holdings (Group) Company Limited</t>
  </si>
  <si>
    <t>ABCI Capital Limited/
CLSA Capital Markets Limited/
Haitong International Capital Limited</t>
  </si>
  <si>
    <t xml:space="preserve">KWG Living Group Holdings Limited
</t>
  </si>
  <si>
    <t xml:space="preserve">Shimao Services Holdings Limited
</t>
  </si>
  <si>
    <t>ABCI Capital Limited/
Huatai Financial Holdings (Hong Kong) Limited</t>
  </si>
  <si>
    <t>China International Capital Corporation/
Morgan Stanley Asia Limited</t>
  </si>
  <si>
    <t xml:space="preserve">J.P. Morgan Securities (Far East) Limited /
Merrill Lynch Far East Limited/
China International Capital Corporation
Hong Kong Securities Limited/
Haitong International Capital Limited
</t>
  </si>
  <si>
    <t>JW (Cayman) Therapeutics Co. Ltd - B</t>
  </si>
  <si>
    <t xml:space="preserve">Goldman Sachs (Asia) L.L.C./
UBS Securities Hong Kong Limited
</t>
  </si>
  <si>
    <t xml:space="preserve">Transtech Optelecom Science Holdings Limited
</t>
  </si>
  <si>
    <t xml:space="preserve">ICBC International Capital Limited
</t>
  </si>
  <si>
    <t xml:space="preserve">NetEase, Inc. - S
</t>
  </si>
  <si>
    <t xml:space="preserve">JD.com, Inc. - SW
</t>
  </si>
  <si>
    <t>Yum China Holdings, Inc. - S</t>
  </si>
  <si>
    <t xml:space="preserve">Huazhu Group Limited - S
</t>
  </si>
  <si>
    <t xml:space="preserve">Baozun Inc.- SW
</t>
  </si>
  <si>
    <t>GDS Holdings Limited - SW</t>
  </si>
  <si>
    <t xml:space="preserve">ZTO Express (Cayman) Inc. - SW
</t>
  </si>
  <si>
    <t>S - Secondary listing  in Hong Kong</t>
  </si>
  <si>
    <t>RemeGen Co., Ltd. - B - H shares</t>
  </si>
  <si>
    <t xml:space="preserve">Credit Suisse (Hong Kong) Limited/
Merrill Lynch Far East Limited/ 
UBS Securities Hong Kong Limited
</t>
  </si>
  <si>
    <t>Morgan Stanley Asia Limited / 
 Huatai Financial Holdings (Hong Kong)
Limited / 
J.P. Morgan Securities (Far East) Limited</t>
  </si>
  <si>
    <t>New Oriental Education &amp; Technology Group Inc. - S</t>
  </si>
  <si>
    <t>Zai Lab Limited - BS</t>
  </si>
  <si>
    <t xml:space="preserve">Bright Future Technology Holdings Limited
</t>
  </si>
  <si>
    <t xml:space="preserve">Messis Capital Limited
</t>
  </si>
  <si>
    <t xml:space="preserve">Jinke Smart Services Group Co., Ltd.
</t>
  </si>
  <si>
    <t xml:space="preserve">Sunkwan Properties Group Limited
</t>
  </si>
  <si>
    <t>CLSA Capital Markets Limited /
Huatai Financial Holdings (Hong Kong) Limited</t>
  </si>
  <si>
    <t>ABCI Capital Limited</t>
  </si>
  <si>
    <t xml:space="preserve"> </t>
  </si>
  <si>
    <t xml:space="preserve">Shinsun Holdings (Group) Co., Ltd.
</t>
  </si>
  <si>
    <t xml:space="preserve">Yadong Group Holdings Limited
</t>
  </si>
  <si>
    <t>CCB International Capital Limited/
ABCI Capital Limited</t>
  </si>
  <si>
    <t xml:space="preserve">Jones Lang LaSalle Corporate Appraisal and Advisory Limited 
</t>
  </si>
  <si>
    <t xml:space="preserve">SHINEWING (HK) CPA Limited
</t>
  </si>
  <si>
    <t xml:space="preserve">Sunac Services Holdings Limited
</t>
  </si>
  <si>
    <t xml:space="preserve">HSBC Corporate Finance (Hong Kong) Limited  /
Morgan Stanley Asia Limited
</t>
  </si>
  <si>
    <t xml:space="preserve">Antengene Corporation Limited - B
</t>
  </si>
  <si>
    <t xml:space="preserve">Goldman Sachs (Asia) L.L.C. /
J.P. Morgan Securities (Far East) Limited
</t>
  </si>
  <si>
    <t xml:space="preserve">Evergrande Property Services Group Limited
</t>
  </si>
  <si>
    <t xml:space="preserve">Huatai Financial Holdings (Hong Kong) Limited/
UBS Securities Hong Kong Limited/
ABCI Capital Limited/
CCB International Capital Limited/
CLSA Capital Markets Limited/
Haitong International Capital Limited
</t>
  </si>
  <si>
    <t xml:space="preserve">Yue Kan Holdings Limited
</t>
  </si>
  <si>
    <t xml:space="preserve">JD Health International Inc.
</t>
  </si>
  <si>
    <t xml:space="preserve">Merrill Lynch Far East Limited/
Haitong International Capital Limited/
UBS Securities Hong Kong Limited
</t>
  </si>
  <si>
    <t xml:space="preserve">China Resources Mixc Lifestyle Services Limited </t>
  </si>
  <si>
    <t xml:space="preserve">Ernst &amp; Young </t>
  </si>
  <si>
    <t xml:space="preserve">Colliers International (Hong Kong) Limited
 </t>
  </si>
  <si>
    <t>CCB International Capital Limited /
China International Capital Corporation
Hong Kong Securities Limited /
Citigroup Global Markets Asia Limited /
Citigroup Global Markets Limited /
Goldman Sachs (Asia) L.L.C.</t>
  </si>
  <si>
    <t xml:space="preserve">Haitong International Capital Limited/
Guotai Junan Capital Limited
 </t>
  </si>
  <si>
    <t xml:space="preserve">Jiayuan Services Holdings Limited
 </t>
  </si>
  <si>
    <t xml:space="preserve">N/A 
</t>
  </si>
  <si>
    <t xml:space="preserve">HBM Holdings Limited - B
</t>
  </si>
  <si>
    <t xml:space="preserve">Leading Holdings Group Limited
</t>
  </si>
  <si>
    <t xml:space="preserve">Jones Lang LaSalle Corporate Appraisal
and Advisory Limited
</t>
  </si>
  <si>
    <t xml:space="preserve">Morgan Stanley Asia Limited/
Merrill Lynch Far East Limited/
CLSA Capital Markets Limited
</t>
  </si>
  <si>
    <t xml:space="preserve">Datang Group Holdings Limited </t>
  </si>
  <si>
    <t xml:space="preserve">Smart Globe Holdings Limited </t>
  </si>
  <si>
    <t xml:space="preserve">POP MART INTERNATIONAL GROUP LIMITED </t>
  </si>
  <si>
    <t xml:space="preserve">ICBC International Capital Limited
  </t>
  </si>
  <si>
    <t xml:space="preserve">Messis Capital Ltd
 </t>
  </si>
  <si>
    <t xml:space="preserve">Morgan Stanley Asia Limited/
CLSA Capital Markets Limited
  </t>
  </si>
  <si>
    <r>
      <t xml:space="preserve">PricewaterhouseCoopers
</t>
    </r>
    <r>
      <rPr>
        <sz val="12"/>
        <rFont val="細明體"/>
        <family val="3"/>
        <charset val="136"/>
      </rPr>
      <t xml:space="preserve"> </t>
    </r>
  </si>
  <si>
    <r>
      <t xml:space="preserve">Deloitte Touche Tohmatsu
</t>
    </r>
    <r>
      <rPr>
        <sz val="12"/>
        <rFont val="細明體"/>
        <family val="3"/>
        <charset val="136"/>
      </rPr>
      <t xml:space="preserve"> </t>
    </r>
  </si>
  <si>
    <r>
      <t xml:space="preserve">PricewaterhouseCoopers
</t>
    </r>
    <r>
      <rPr>
        <sz val="12"/>
        <rFont val="細明體"/>
        <family val="3"/>
        <charset val="136"/>
      </rPr>
      <t xml:space="preserve"> 
</t>
    </r>
  </si>
  <si>
    <t xml:space="preserve">Jones Lang LaSalle Corporate Appraisal and Advisory Limited 
 </t>
  </si>
  <si>
    <t xml:space="preserve">Blue Moon Group Holdings Limited
</t>
  </si>
  <si>
    <t xml:space="preserve">China International Capital Corporation Hong Kong SecuritiesLimited/
Citigroup Global Markets Asia Limited/
Merrill Lynch Far East Limited
</t>
  </si>
  <si>
    <t xml:space="preserve">Netjoy Holdings Limited
</t>
  </si>
  <si>
    <t xml:space="preserve">Sino-Ocean Service Holding Limited
</t>
  </si>
  <si>
    <t xml:space="preserve">Haitong International Capital Limited
</t>
  </si>
  <si>
    <t xml:space="preserve">Citigroup Global Markets Asia Limited/
China International Capital Corporation
Hong Kong Securities Limited
</t>
  </si>
  <si>
    <t xml:space="preserve">Vesync Co., Ltd </t>
  </si>
  <si>
    <t>BNP Paribas Securities (Asia) Limited/
Innovax Capital Limited</t>
  </si>
  <si>
    <t xml:space="preserve">Jacobio Pharmaceuticals Group Co., Ltd. - B
</t>
  </si>
  <si>
    <t xml:space="preserve">Goldman Sachs (Asia) L.L.C./
China International Capital Corporation
Hong Kong Securities Limited 
</t>
  </si>
  <si>
    <t>Remarks : (a) Hong Kong Offers / (b) International Offers / * Overseas reporting accountants</t>
  </si>
  <si>
    <t xml:space="preserve">China International Capital Corporation Hong Kong Securities Limited /
J.P. Morgan Securities 
(Far East) Limited
</t>
  </si>
  <si>
    <t xml:space="preserve">Haier Smart Home Co., Ltd. - H Shares 
</t>
  </si>
  <si>
    <r>
      <t xml:space="preserve">N/A
 - By Introduction
</t>
    </r>
    <r>
      <rPr>
        <sz val="12"/>
        <rFont val="細明體"/>
        <family val="3"/>
        <charset val="136"/>
      </rPr>
      <t/>
    </r>
  </si>
  <si>
    <t xml:space="preserve">Innovax Capital Limited
 </t>
  </si>
  <si>
    <t xml:space="preserve">Ernst &amp; Young
 </t>
  </si>
  <si>
    <t xml:space="preserve">N/A
</t>
  </si>
  <si>
    <t xml:space="preserve">Raily Aesthetic Medicine International Holdings Limited 
</t>
  </si>
  <si>
    <t>China Gas Industry Investment Holdings Co. Ltd.</t>
  </si>
  <si>
    <t xml:space="preserve">China Everbright Capital Limited
</t>
  </si>
  <si>
    <t xml:space="preserve">China Securities (International) Corporate Finance
Company Limited
</t>
  </si>
  <si>
    <t xml:space="preserve">Huisen Household International Group Limited
</t>
  </si>
  <si>
    <t xml:space="preserve">Wenling Zhejiang Measuring and Cutting Tools Trading Centre Company Limited
</t>
  </si>
  <si>
    <t xml:space="preserve">ZERO2IPO HOLDINGS INC.
</t>
  </si>
  <si>
    <t xml:space="preserve">Colliers International 
(Hong Kong) Limited
</t>
  </si>
  <si>
    <t xml:space="preserve">C&amp;D Property Management Group Co., Ltd
</t>
  </si>
  <si>
    <t xml:space="preserve">N/A - By Introduction
</t>
  </si>
  <si>
    <t>Year 2020 (up to 31 Dec 2020)</t>
  </si>
  <si>
    <t>Fortune Financial Capital Limited</t>
  </si>
  <si>
    <t>W - Issuers with weighted voting right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</si>
</sst>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dd/mm/yy"/>
    <numFmt numFmtId="166" formatCode="0000"/>
    <numFmt numFmtId="167" formatCode="0.0000"/>
    <numFmt numFmtId="168" formatCode="General_)"/>
    <numFmt numFmtId="169" formatCode="dd/mm/yy;"/>
  </numFmts>
  <fonts count="25"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i/>
      <sz val="20"/>
      <name val="Arial"/>
      <family val="2"/>
    </font>
    <font>
      <sz val="12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i/>
      <sz val="12"/>
      <name val="Arial"/>
      <family val="2"/>
    </font>
    <font>
      <b/>
      <i/>
      <sz val="20"/>
      <name val="Arial"/>
      <family val="2"/>
    </font>
    <font>
      <sz val="12"/>
      <name val="細明體"/>
      <family val="3"/>
      <charset val="136"/>
    </font>
    <font>
      <b/>
      <sz val="15"/>
      <color indexed="56"/>
      <name val="Calibri"/>
      <family val="1"/>
      <charset val="136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/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</cellStyleXfs>
  <cellXfs count="63">
    <xf numFmtId="0" fontId="0" fillId="0" borderId="0" xfId="0"/>
    <xf numFmtId="165" fontId="4" fillId="0" borderId="0" xfId="0" applyNumberFormat="1" applyFont="1" applyBorder="1" applyAlignment="1">
      <alignment horizontal="left" vertical="top" wrapText="1"/>
    </xf>
    <xf numFmtId="14" fontId="4" fillId="0" borderId="0" xfId="0" applyNumberFormat="1" applyFont="1" applyBorder="1" applyAlignment="1">
      <alignment horizontal="left" vertical="top" wrapText="1"/>
    </xf>
    <xf numFmtId="165" fontId="4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166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5" fontId="7" fillId="2" borderId="1" xfId="0" applyNumberFormat="1" applyFont="1" applyFill="1" applyBorder="1" applyAlignment="1">
      <alignment horizontal="center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top" wrapText="1"/>
    </xf>
    <xf numFmtId="166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left" vertical="top" wrapText="1"/>
    </xf>
    <xf numFmtId="169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5" fontId="5" fillId="0" borderId="0" xfId="0" applyNumberFormat="1" applyFont="1" applyBorder="1" applyAlignment="1">
      <alignment horizontal="center" vertical="top" wrapText="1"/>
    </xf>
    <xf numFmtId="167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5" fontId="5" fillId="0" borderId="0" xfId="0" applyNumberFormat="1" applyFont="1" applyFill="1" applyBorder="1" applyAlignment="1">
      <alignment horizontal="center" vertical="top" wrapText="1"/>
    </xf>
    <xf numFmtId="166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167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14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5" fontId="5" fillId="0" borderId="0" xfId="0" applyNumberFormat="1" applyFont="1" applyBorder="1" applyAlignment="1">
      <alignment horizontal="center" vertical="center" wrapText="1"/>
    </xf>
    <xf numFmtId="167" fontId="5" fillId="0" borderId="0" xfId="0" applyNumberFormat="1" applyFont="1" applyBorder="1" applyAlignment="1">
      <alignment horizontal="center" vertical="center" wrapText="1"/>
    </xf>
    <xf numFmtId="165" fontId="9" fillId="0" borderId="0" xfId="0" applyNumberFormat="1" applyFont="1" applyBorder="1" applyAlignment="1">
      <alignment horizontal="left" vertical="top"/>
    </xf>
    <xf numFmtId="169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left" vertical="top"/>
    </xf>
    <xf numFmtId="166" fontId="5" fillId="0" borderId="0" xfId="0" applyNumberFormat="1" applyFont="1" applyFill="1" applyBorder="1" applyAlignment="1">
      <alignment horizontal="left" vertical="top" wrapText="1"/>
    </xf>
    <xf numFmtId="166" fontId="5" fillId="0" borderId="0" xfId="0" applyNumberFormat="1" applyFont="1" applyBorder="1" applyAlignment="1">
      <alignment horizontal="left" vertical="top" wrapText="1"/>
    </xf>
    <xf numFmtId="166" fontId="5" fillId="0" borderId="0" xfId="0" applyNumberFormat="1" applyFont="1" applyBorder="1" applyAlignment="1">
      <alignment vertical="top" wrapText="1"/>
    </xf>
    <xf numFmtId="166" fontId="5" fillId="0" borderId="0" xfId="0" applyNumberFormat="1" applyFont="1" applyBorder="1" applyAlignment="1">
      <alignment horizontal="center" vertical="center" wrapText="1"/>
    </xf>
    <xf numFmtId="166" fontId="5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top" wrapText="1"/>
    </xf>
    <xf numFmtId="5" fontId="8" fillId="0" borderId="0" xfId="0" applyNumberFormat="1" applyFont="1" applyBorder="1" applyAlignment="1">
      <alignment horizontal="center" vertical="top" wrapText="1"/>
    </xf>
    <xf numFmtId="166" fontId="5" fillId="0" borderId="0" xfId="0" applyNumberFormat="1" applyFont="1" applyBorder="1" applyAlignment="1">
      <alignment horizontal="center" vertical="top" wrapText="1"/>
    </xf>
    <xf numFmtId="169" fontId="5" fillId="0" borderId="0" xfId="0" applyNumberFormat="1" applyFont="1" applyBorder="1" applyAlignment="1">
      <alignment horizontal="center" vertical="top" wrapText="1"/>
    </xf>
    <xf numFmtId="5" fontId="5" fillId="0" borderId="0" xfId="0" applyNumberFormat="1" applyFont="1" applyBorder="1" applyAlignment="1">
      <alignment horizontal="center" vertical="top" wrapText="1"/>
    </xf>
    <xf numFmtId="167" fontId="5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166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166" fontId="5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top" wrapText="1"/>
    </xf>
    <xf numFmtId="5" fontId="5" fillId="0" borderId="0" xfId="0" applyNumberFormat="1" applyFont="1" applyFill="1" applyBorder="1" applyAlignment="1">
      <alignment horizontal="center" vertical="top" wrapText="1"/>
    </xf>
    <xf numFmtId="166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167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165" fontId="8" fillId="0" borderId="0" xfId="0" applyNumberFormat="1" applyFont="1" applyFill="1" applyBorder="1" applyAlignment="1">
      <alignment horizontal="left" vertical="top"/>
    </xf>
    <xf numFmtId="14" fontId="5" fillId="0" borderId="0" xfId="0" applyNumberFormat="1" applyFont="1" applyFill="1" applyBorder="1" applyAlignment="1">
      <alignment horizontal="left" vertical="top" wrapText="1"/>
    </xf>
    <xf numFmtId="14" fontId="5" fillId="0" borderId="0" xfId="0" applyNumberFormat="1" applyFont="1" applyFill="1" applyAlignment="1">
      <alignment horizontal="left"/>
    </xf>
    <xf numFmtId="5" fontId="5" fillId="0" borderId="0" xfId="0" applyNumberFormat="1" applyFont="1" applyFill="1" applyBorder="1" applyAlignment="1">
      <alignment horizontal="center" vertical="top" wrapText="1"/>
    </xf>
    <xf numFmtId="5" fontId="5" fillId="0" borderId="0" xfId="0" applyNumberFormat="1" applyFont="1" applyFill="1" applyBorder="1" applyAlignment="1">
      <alignment horizontal="center" vertical="top" wrapText="1"/>
    </xf>
  </cellXfs>
  <cellStyles count="39">
    <cellStyle name="Comma [0] 2" xfId="1"/>
    <cellStyle name="Comma 10" xfId="2"/>
    <cellStyle name="Comma 11" xfId="3"/>
    <cellStyle name="Comma 12" xfId="4"/>
    <cellStyle name="Comma 13" xfId="5"/>
    <cellStyle name="Comma 14" xfId="6"/>
    <cellStyle name="Comma 15" xfId="7"/>
    <cellStyle name="Comma 16" xfId="8"/>
    <cellStyle name="Comma 17" xfId="9"/>
    <cellStyle name="Comma 18" xfId="10"/>
    <cellStyle name="Comma 19" xfId="11"/>
    <cellStyle name="Comma 2" xfId="12"/>
    <cellStyle name="Comma 2 2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28" xfId="22"/>
    <cellStyle name="Comma 29" xfId="23"/>
    <cellStyle name="Comma 3" xfId="24"/>
    <cellStyle name="Comma 30" xfId="25"/>
    <cellStyle name="Comma 4" xfId="26"/>
    <cellStyle name="Comma 5" xfId="27"/>
    <cellStyle name="Comma 6" xfId="28"/>
    <cellStyle name="Comma 7" xfId="29"/>
    <cellStyle name="Comma 8" xfId="30"/>
    <cellStyle name="Comma 9" xfId="31"/>
    <cellStyle name="Normal" xfId="0" builtinId="0"/>
    <cellStyle name="Normal 2" xfId="32"/>
    <cellStyle name="Normal 2 2" xfId="33"/>
    <cellStyle name="Normal 3" xfId="34"/>
    <cellStyle name="Normal 4" xfId="35"/>
    <cellStyle name="Normal 5" xfId="36"/>
    <cellStyle name="Percent 2" xfId="37"/>
    <cellStyle name="一般_IPO0401update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90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RowHeight="15"/>
  <cols>
    <col min="1" max="1" width="5.625" style="21" customWidth="1"/>
    <col min="2" max="2" width="7.75" style="42" customWidth="1"/>
    <col min="3" max="3" width="40.375" style="15" customWidth="1"/>
    <col min="4" max="4" width="12.625" style="28" customWidth="1"/>
    <col min="5" max="5" width="13.75" style="28" bestFit="1" customWidth="1"/>
    <col min="6" max="6" width="35.625" style="29" customWidth="1"/>
    <col min="7" max="7" width="27.375" style="29" customWidth="1"/>
    <col min="8" max="8" width="20.5" style="29" customWidth="1"/>
    <col min="9" max="9" width="18.5" style="30" customWidth="1"/>
    <col min="10" max="10" width="18.375" style="31" customWidth="1"/>
    <col min="11" max="11" width="4.125" style="4" customWidth="1"/>
    <col min="12" max="16384" width="9" style="4"/>
  </cols>
  <sheetData>
    <row r="1" spans="1:11" ht="25.5">
      <c r="A1" s="32" t="s">
        <v>355</v>
      </c>
      <c r="B1" s="3"/>
      <c r="C1" s="1"/>
      <c r="D1" s="2"/>
      <c r="E1" s="2"/>
      <c r="F1" s="3"/>
      <c r="G1" s="1"/>
      <c r="H1" s="1"/>
      <c r="I1" s="1"/>
      <c r="J1" s="1"/>
    </row>
    <row r="2" spans="1:11" s="12" customFormat="1" ht="48" thickBot="1">
      <c r="A2" s="5"/>
      <c r="B2" s="6" t="s">
        <v>2</v>
      </c>
      <c r="C2" s="7" t="s">
        <v>8</v>
      </c>
      <c r="D2" s="8" t="s">
        <v>3</v>
      </c>
      <c r="E2" s="8" t="s">
        <v>4</v>
      </c>
      <c r="F2" s="9" t="s">
        <v>0</v>
      </c>
      <c r="G2" s="9" t="s">
        <v>5</v>
      </c>
      <c r="H2" s="9" t="s">
        <v>1</v>
      </c>
      <c r="I2" s="10" t="s">
        <v>7</v>
      </c>
      <c r="J2" s="11" t="s">
        <v>6</v>
      </c>
      <c r="K2" s="11"/>
    </row>
    <row r="3" spans="1:11" ht="60.75" thickTop="1">
      <c r="A3" s="13">
        <v>1</v>
      </c>
      <c r="B3" s="48">
        <v>9998</v>
      </c>
      <c r="C3" s="24" t="s">
        <v>14</v>
      </c>
      <c r="D3" s="33">
        <v>43823</v>
      </c>
      <c r="E3" s="33">
        <v>43838</v>
      </c>
      <c r="F3" s="25" t="s">
        <v>15</v>
      </c>
      <c r="G3" s="25" t="s">
        <v>12</v>
      </c>
      <c r="H3" s="25" t="s">
        <v>93</v>
      </c>
      <c r="I3" s="18">
        <v>39000000</v>
      </c>
      <c r="J3" s="19">
        <v>0.65</v>
      </c>
      <c r="K3" s="20" t="s">
        <v>13</v>
      </c>
    </row>
    <row r="4" spans="1:11">
      <c r="B4" s="42" t="s">
        <v>9</v>
      </c>
      <c r="C4" s="17" t="s">
        <v>9</v>
      </c>
      <c r="D4" s="33" t="s">
        <v>9</v>
      </c>
      <c r="E4" s="33" t="s">
        <v>9</v>
      </c>
      <c r="F4" s="25" t="s">
        <v>9</v>
      </c>
      <c r="G4" s="25" t="s">
        <v>9</v>
      </c>
      <c r="H4" s="25" t="s">
        <v>9</v>
      </c>
      <c r="I4" s="18">
        <v>91000000</v>
      </c>
      <c r="J4" s="19">
        <v>0.65</v>
      </c>
      <c r="K4" s="20" t="s">
        <v>10</v>
      </c>
    </row>
    <row r="5" spans="1:11" ht="48">
      <c r="A5" s="21">
        <v>2</v>
      </c>
      <c r="B5" s="40">
        <v>9918</v>
      </c>
      <c r="C5" s="24" t="s">
        <v>17</v>
      </c>
      <c r="D5" s="33">
        <v>43826</v>
      </c>
      <c r="E5" s="33">
        <v>43840</v>
      </c>
      <c r="F5" s="25" t="s">
        <v>18</v>
      </c>
      <c r="G5" s="25" t="s">
        <v>19</v>
      </c>
      <c r="H5" s="25" t="s">
        <v>20</v>
      </c>
      <c r="I5" s="18">
        <v>37500000</v>
      </c>
      <c r="J5" s="19">
        <v>0.25</v>
      </c>
      <c r="K5" s="20" t="s">
        <v>16</v>
      </c>
    </row>
    <row r="6" spans="1:11">
      <c r="B6" s="42" t="s">
        <v>9</v>
      </c>
      <c r="C6" s="17" t="s">
        <v>9</v>
      </c>
      <c r="D6" s="33" t="s">
        <v>9</v>
      </c>
      <c r="E6" s="33" t="s">
        <v>9</v>
      </c>
      <c r="F6" s="25" t="s">
        <v>9</v>
      </c>
      <c r="G6" s="25" t="s">
        <v>9</v>
      </c>
      <c r="H6" s="25" t="s">
        <v>9</v>
      </c>
      <c r="I6" s="18">
        <v>87500000</v>
      </c>
      <c r="J6" s="19">
        <v>0.25</v>
      </c>
      <c r="K6" s="20" t="s">
        <v>10</v>
      </c>
    </row>
    <row r="7" spans="1:11" ht="48">
      <c r="A7" s="21">
        <v>3</v>
      </c>
      <c r="B7" s="40">
        <v>2528</v>
      </c>
      <c r="C7" s="24" t="s">
        <v>22</v>
      </c>
      <c r="D7" s="33">
        <v>43829</v>
      </c>
      <c r="E7" s="33">
        <v>43843</v>
      </c>
      <c r="F7" s="25" t="s">
        <v>23</v>
      </c>
      <c r="G7" s="25" t="s">
        <v>19</v>
      </c>
      <c r="H7" s="25" t="s">
        <v>20</v>
      </c>
      <c r="I7" s="18">
        <v>60000000</v>
      </c>
      <c r="J7" s="19">
        <v>2</v>
      </c>
      <c r="K7" s="20" t="s">
        <v>21</v>
      </c>
    </row>
    <row r="8" spans="1:11">
      <c r="B8" s="42" t="s">
        <v>9</v>
      </c>
      <c r="C8" s="17" t="s">
        <v>9</v>
      </c>
      <c r="D8" s="33" t="s">
        <v>9</v>
      </c>
      <c r="E8" s="33" t="s">
        <v>9</v>
      </c>
      <c r="F8" s="25" t="s">
        <v>9</v>
      </c>
      <c r="G8" s="25" t="s">
        <v>9</v>
      </c>
      <c r="H8" s="25" t="s">
        <v>9</v>
      </c>
      <c r="I8" s="18">
        <v>140000000</v>
      </c>
      <c r="J8" s="19">
        <v>2</v>
      </c>
      <c r="K8" s="20" t="s">
        <v>10</v>
      </c>
    </row>
    <row r="9" spans="1:11" ht="45">
      <c r="A9" s="21">
        <v>4</v>
      </c>
      <c r="B9" s="42">
        <v>1802</v>
      </c>
      <c r="C9" s="24" t="s">
        <v>25</v>
      </c>
      <c r="D9" s="33">
        <v>43830</v>
      </c>
      <c r="E9" s="33">
        <v>43844</v>
      </c>
      <c r="F9" s="25" t="s">
        <v>356</v>
      </c>
      <c r="G9" s="25" t="s">
        <v>98</v>
      </c>
      <c r="H9" s="25" t="s">
        <v>20</v>
      </c>
      <c r="I9" s="18">
        <v>31486240</v>
      </c>
      <c r="J9" s="19">
        <v>1.06</v>
      </c>
      <c r="K9" s="20" t="s">
        <v>21</v>
      </c>
    </row>
    <row r="10" spans="1:11">
      <c r="B10" s="42" t="s">
        <v>9</v>
      </c>
      <c r="C10" s="17" t="s">
        <v>9</v>
      </c>
      <c r="D10" s="33" t="s">
        <v>9</v>
      </c>
      <c r="E10" s="33" t="s">
        <v>9</v>
      </c>
      <c r="F10" s="25" t="s">
        <v>9</v>
      </c>
      <c r="G10" s="25" t="s">
        <v>9</v>
      </c>
      <c r="H10" s="25" t="s">
        <v>9</v>
      </c>
      <c r="I10" s="18">
        <v>125923760</v>
      </c>
      <c r="J10" s="19">
        <v>1.06</v>
      </c>
      <c r="K10" s="20" t="s">
        <v>10</v>
      </c>
    </row>
    <row r="11" spans="1:11" ht="45">
      <c r="A11" s="21">
        <v>5</v>
      </c>
      <c r="B11" s="51">
        <v>3718</v>
      </c>
      <c r="C11" s="15" t="s">
        <v>30</v>
      </c>
      <c r="D11" s="33">
        <v>43829</v>
      </c>
      <c r="E11" s="33">
        <v>43845</v>
      </c>
      <c r="F11" s="25" t="s">
        <v>31</v>
      </c>
      <c r="G11" s="25" t="s">
        <v>12</v>
      </c>
      <c r="H11" s="25" t="s">
        <v>20</v>
      </c>
      <c r="I11" s="18">
        <v>62099999.999999993</v>
      </c>
      <c r="J11" s="19">
        <v>0.69</v>
      </c>
      <c r="K11" s="20" t="s">
        <v>26</v>
      </c>
    </row>
    <row r="12" spans="1:11">
      <c r="B12" s="42" t="s">
        <v>9</v>
      </c>
      <c r="C12" s="17" t="s">
        <v>9</v>
      </c>
      <c r="D12" s="33" t="s">
        <v>9</v>
      </c>
      <c r="E12" s="33" t="s">
        <v>9</v>
      </c>
      <c r="F12" s="25" t="s">
        <v>9</v>
      </c>
      <c r="G12" s="25" t="s">
        <v>9</v>
      </c>
      <c r="H12" s="25" t="s">
        <v>9</v>
      </c>
      <c r="I12" s="18">
        <v>558900000</v>
      </c>
      <c r="J12" s="19">
        <v>0.69</v>
      </c>
      <c r="K12" s="20" t="s">
        <v>10</v>
      </c>
    </row>
    <row r="13" spans="1:11" ht="60">
      <c r="A13" s="21">
        <v>6</v>
      </c>
      <c r="B13" s="40">
        <v>1416</v>
      </c>
      <c r="C13" s="24" t="s">
        <v>27</v>
      </c>
      <c r="D13" s="33">
        <v>43829</v>
      </c>
      <c r="E13" s="33">
        <v>43845</v>
      </c>
      <c r="F13" s="25" t="s">
        <v>33</v>
      </c>
      <c r="G13" s="25" t="s">
        <v>12</v>
      </c>
      <c r="H13" s="25" t="s">
        <v>32</v>
      </c>
      <c r="I13" s="18">
        <v>37800000</v>
      </c>
      <c r="J13" s="19">
        <v>0.36</v>
      </c>
      <c r="K13" s="20" t="s">
        <v>26</v>
      </c>
    </row>
    <row r="14" spans="1:11">
      <c r="B14" s="42" t="s">
        <v>9</v>
      </c>
      <c r="C14" s="17" t="s">
        <v>9</v>
      </c>
      <c r="D14" s="33" t="s">
        <v>9</v>
      </c>
      <c r="E14" s="33" t="s">
        <v>9</v>
      </c>
      <c r="F14" s="25" t="s">
        <v>9</v>
      </c>
      <c r="G14" s="25" t="s">
        <v>9</v>
      </c>
      <c r="H14" s="25" t="s">
        <v>9</v>
      </c>
      <c r="I14" s="18">
        <v>88200000</v>
      </c>
      <c r="J14" s="19">
        <v>0.36</v>
      </c>
      <c r="K14" s="20" t="s">
        <v>10</v>
      </c>
    </row>
    <row r="15" spans="1:11" ht="45">
      <c r="A15" s="21">
        <v>7</v>
      </c>
      <c r="B15" s="51">
        <v>9922</v>
      </c>
      <c r="C15" s="15" t="s">
        <v>34</v>
      </c>
      <c r="D15" s="33">
        <v>43829</v>
      </c>
      <c r="E15" s="33">
        <v>43845</v>
      </c>
      <c r="F15" s="25" t="s">
        <v>35</v>
      </c>
      <c r="G15" s="25" t="s">
        <v>36</v>
      </c>
      <c r="H15" s="25" t="s">
        <v>20</v>
      </c>
      <c r="I15" s="18">
        <v>1100220000</v>
      </c>
      <c r="J15" s="19">
        <v>6.6</v>
      </c>
      <c r="K15" s="20" t="s">
        <v>26</v>
      </c>
    </row>
    <row r="16" spans="1:11">
      <c r="B16" s="42" t="s">
        <v>9</v>
      </c>
      <c r="C16" s="17" t="s">
        <v>9</v>
      </c>
      <c r="D16" s="33" t="s">
        <v>9</v>
      </c>
      <c r="E16" s="33" t="s">
        <v>9</v>
      </c>
      <c r="F16" s="25" t="s">
        <v>9</v>
      </c>
      <c r="G16" s="25" t="s">
        <v>9</v>
      </c>
      <c r="H16" s="25" t="s">
        <v>9</v>
      </c>
      <c r="I16" s="18">
        <v>1430286000</v>
      </c>
      <c r="J16" s="19">
        <v>6.6</v>
      </c>
      <c r="K16" s="20" t="s">
        <v>10</v>
      </c>
    </row>
    <row r="17" spans="1:11" ht="45">
      <c r="A17" s="21">
        <v>8</v>
      </c>
      <c r="B17" s="42">
        <v>9919</v>
      </c>
      <c r="C17" s="24" t="s">
        <v>38</v>
      </c>
      <c r="D17" s="33">
        <v>43830</v>
      </c>
      <c r="E17" s="33">
        <v>43846</v>
      </c>
      <c r="F17" s="25" t="s">
        <v>37</v>
      </c>
      <c r="G17" s="25" t="s">
        <v>12</v>
      </c>
      <c r="H17" s="25" t="s">
        <v>20</v>
      </c>
      <c r="I17" s="18">
        <v>202000000</v>
      </c>
      <c r="J17" s="19">
        <v>2.02</v>
      </c>
      <c r="K17" s="46" t="s">
        <v>16</v>
      </c>
    </row>
    <row r="18" spans="1:11">
      <c r="B18" s="42" t="s">
        <v>9</v>
      </c>
      <c r="C18" s="17" t="s">
        <v>9</v>
      </c>
      <c r="D18" s="33" t="s">
        <v>9</v>
      </c>
      <c r="E18" s="33" t="s">
        <v>9</v>
      </c>
      <c r="F18" s="25" t="s">
        <v>9</v>
      </c>
      <c r="G18" s="25" t="s">
        <v>9</v>
      </c>
      <c r="H18" s="25" t="s">
        <v>9</v>
      </c>
      <c r="I18" s="18">
        <v>202000000</v>
      </c>
      <c r="J18" s="19">
        <v>2.02</v>
      </c>
      <c r="K18" s="20" t="s">
        <v>10</v>
      </c>
    </row>
    <row r="19" spans="1:11" ht="69.75" customHeight="1">
      <c r="A19" s="21">
        <v>9</v>
      </c>
      <c r="B19" s="42">
        <v>9968</v>
      </c>
      <c r="C19" s="24" t="s">
        <v>39</v>
      </c>
      <c r="D19" s="33">
        <v>43830</v>
      </c>
      <c r="E19" s="33">
        <v>43846</v>
      </c>
      <c r="F19" s="25" t="s">
        <v>40</v>
      </c>
      <c r="G19" s="25" t="s">
        <v>12</v>
      </c>
      <c r="H19" s="25" t="s">
        <v>28</v>
      </c>
      <c r="I19" s="18">
        <v>48933220</v>
      </c>
      <c r="J19" s="19">
        <v>1.93</v>
      </c>
      <c r="K19" s="46" t="s">
        <v>16</v>
      </c>
    </row>
    <row r="20" spans="1:11">
      <c r="B20" s="42" t="s">
        <v>9</v>
      </c>
      <c r="C20" s="17" t="s">
        <v>9</v>
      </c>
      <c r="D20" s="33" t="s">
        <v>9</v>
      </c>
      <c r="E20" s="33" t="s">
        <v>9</v>
      </c>
      <c r="F20" s="25" t="s">
        <v>9</v>
      </c>
      <c r="G20" s="25" t="s">
        <v>9</v>
      </c>
      <c r="H20" s="25" t="s">
        <v>9</v>
      </c>
      <c r="I20" s="18">
        <v>1472099780</v>
      </c>
      <c r="J20" s="19">
        <v>1.93</v>
      </c>
      <c r="K20" s="20" t="s">
        <v>10</v>
      </c>
    </row>
    <row r="21" spans="1:11" ht="48">
      <c r="A21" s="21">
        <v>10</v>
      </c>
      <c r="B21" s="51">
        <v>1925</v>
      </c>
      <c r="C21" s="15" t="s">
        <v>41</v>
      </c>
      <c r="D21" s="33">
        <v>43829</v>
      </c>
      <c r="E21" s="33">
        <v>43846</v>
      </c>
      <c r="F21" s="25" t="s">
        <v>23</v>
      </c>
      <c r="G21" s="25" t="s">
        <v>19</v>
      </c>
      <c r="H21" s="25" t="s">
        <v>20</v>
      </c>
      <c r="I21" s="18">
        <v>38400000</v>
      </c>
      <c r="J21" s="19">
        <v>1.28</v>
      </c>
      <c r="K21" s="20" t="s">
        <v>26</v>
      </c>
    </row>
    <row r="22" spans="1:11">
      <c r="B22" s="42" t="s">
        <v>9</v>
      </c>
      <c r="C22" s="17" t="s">
        <v>9</v>
      </c>
      <c r="D22" s="33" t="s">
        <v>9</v>
      </c>
      <c r="E22" s="33" t="s">
        <v>9</v>
      </c>
      <c r="F22" s="25" t="s">
        <v>9</v>
      </c>
      <c r="G22" s="25" t="s">
        <v>9</v>
      </c>
      <c r="H22" s="25" t="s">
        <v>9</v>
      </c>
      <c r="I22" s="18">
        <v>96053760</v>
      </c>
      <c r="J22" s="19">
        <v>1.28</v>
      </c>
      <c r="K22" s="20" t="s">
        <v>10</v>
      </c>
    </row>
    <row r="23" spans="1:11" ht="48">
      <c r="A23" s="21">
        <v>11</v>
      </c>
      <c r="B23" s="42">
        <v>1412</v>
      </c>
      <c r="C23" s="15" t="s">
        <v>43</v>
      </c>
      <c r="D23" s="33">
        <v>43830</v>
      </c>
      <c r="E23" s="33">
        <v>43846</v>
      </c>
      <c r="F23" s="25" t="s">
        <v>42</v>
      </c>
      <c r="G23" s="25" t="s">
        <v>19</v>
      </c>
      <c r="H23" s="25" t="s">
        <v>29</v>
      </c>
      <c r="I23" s="18">
        <v>15694000</v>
      </c>
      <c r="J23" s="19">
        <v>1.18</v>
      </c>
      <c r="K23" s="46" t="s">
        <v>16</v>
      </c>
    </row>
    <row r="24" spans="1:11">
      <c r="B24" s="42" t="s">
        <v>9</v>
      </c>
      <c r="C24" s="17" t="s">
        <v>9</v>
      </c>
      <c r="D24" s="33" t="s">
        <v>9</v>
      </c>
      <c r="E24" s="33" t="s">
        <v>9</v>
      </c>
      <c r="F24" s="25" t="s">
        <v>9</v>
      </c>
      <c r="G24" s="25" t="s">
        <v>9</v>
      </c>
      <c r="H24" s="25" t="s">
        <v>9</v>
      </c>
      <c r="I24" s="18">
        <v>141246000</v>
      </c>
      <c r="J24" s="19">
        <v>1.18</v>
      </c>
      <c r="K24" s="20" t="s">
        <v>10</v>
      </c>
    </row>
    <row r="25" spans="1:11" ht="45">
      <c r="A25" s="21">
        <v>12</v>
      </c>
      <c r="B25" s="40">
        <v>301</v>
      </c>
      <c r="C25" s="24" t="s">
        <v>44</v>
      </c>
      <c r="D25" s="33">
        <v>43826</v>
      </c>
      <c r="E25" s="33">
        <v>43846</v>
      </c>
      <c r="F25" s="25" t="s">
        <v>47</v>
      </c>
      <c r="G25" s="25" t="s">
        <v>50</v>
      </c>
      <c r="H25" s="25" t="s">
        <v>51</v>
      </c>
      <c r="I25" s="18">
        <v>39000000</v>
      </c>
      <c r="J25" s="19">
        <v>1.3</v>
      </c>
      <c r="K25" s="20" t="s">
        <v>26</v>
      </c>
    </row>
    <row r="26" spans="1:11">
      <c r="B26" s="42" t="s">
        <v>9</v>
      </c>
      <c r="C26" s="17" t="s">
        <v>9</v>
      </c>
      <c r="D26" s="33" t="s">
        <v>9</v>
      </c>
      <c r="E26" s="33" t="s">
        <v>9</v>
      </c>
      <c r="F26" s="25" t="s">
        <v>9</v>
      </c>
      <c r="G26" s="25" t="s">
        <v>9</v>
      </c>
      <c r="H26" s="25" t="s">
        <v>9</v>
      </c>
      <c r="I26" s="18">
        <v>91000000</v>
      </c>
      <c r="J26" s="19">
        <v>1.3</v>
      </c>
      <c r="K26" s="20" t="s">
        <v>10</v>
      </c>
    </row>
    <row r="27" spans="1:11" ht="30">
      <c r="A27" s="21">
        <v>13</v>
      </c>
      <c r="B27" s="42">
        <v>1525</v>
      </c>
      <c r="C27" s="24" t="s">
        <v>45</v>
      </c>
      <c r="D27" s="33">
        <v>43830</v>
      </c>
      <c r="E27" s="33">
        <v>43846</v>
      </c>
      <c r="F27" s="25" t="s">
        <v>48</v>
      </c>
      <c r="G27" s="25" t="s">
        <v>12</v>
      </c>
      <c r="H27" s="25" t="s">
        <v>29</v>
      </c>
      <c r="I27" s="18">
        <v>60500000</v>
      </c>
      <c r="J27" s="19">
        <v>6.05</v>
      </c>
      <c r="K27" s="20" t="s">
        <v>26</v>
      </c>
    </row>
    <row r="28" spans="1:11">
      <c r="B28" s="42" t="s">
        <v>9</v>
      </c>
      <c r="C28" s="17" t="s">
        <v>9</v>
      </c>
      <c r="D28" s="33" t="s">
        <v>9</v>
      </c>
      <c r="E28" s="33" t="s">
        <v>9</v>
      </c>
      <c r="F28" s="25" t="s">
        <v>9</v>
      </c>
      <c r="G28" s="25" t="s">
        <v>9</v>
      </c>
      <c r="H28" s="25" t="s">
        <v>9</v>
      </c>
      <c r="I28" s="18">
        <v>635250000</v>
      </c>
      <c r="J28" s="19">
        <v>6.05</v>
      </c>
      <c r="K28" s="20" t="s">
        <v>10</v>
      </c>
    </row>
    <row r="29" spans="1:11" ht="45">
      <c r="A29" s="21">
        <v>14</v>
      </c>
      <c r="B29" s="51">
        <v>1740</v>
      </c>
      <c r="C29" s="15" t="s">
        <v>46</v>
      </c>
      <c r="D29" s="33">
        <v>43829</v>
      </c>
      <c r="E29" s="33">
        <v>43846</v>
      </c>
      <c r="F29" s="25" t="s">
        <v>49</v>
      </c>
      <c r="G29" s="25" t="s">
        <v>12</v>
      </c>
      <c r="H29" s="25" t="s">
        <v>20</v>
      </c>
      <c r="I29" s="18">
        <v>62500000</v>
      </c>
      <c r="J29" s="19">
        <v>0.5</v>
      </c>
      <c r="K29" s="20" t="s">
        <v>26</v>
      </c>
    </row>
    <row r="30" spans="1:11">
      <c r="B30" s="42" t="s">
        <v>9</v>
      </c>
      <c r="C30" s="17" t="s">
        <v>9</v>
      </c>
      <c r="D30" s="33" t="s">
        <v>9</v>
      </c>
      <c r="E30" s="33" t="s">
        <v>9</v>
      </c>
      <c r="F30" s="25" t="s">
        <v>9</v>
      </c>
      <c r="G30" s="25" t="s">
        <v>9</v>
      </c>
      <c r="H30" s="25" t="s">
        <v>9</v>
      </c>
      <c r="I30" s="18">
        <v>81250000</v>
      </c>
      <c r="J30" s="19">
        <v>0.5</v>
      </c>
      <c r="K30" s="20" t="s">
        <v>10</v>
      </c>
    </row>
    <row r="31" spans="1:11" ht="45">
      <c r="A31" s="21">
        <v>15</v>
      </c>
      <c r="B31" s="42">
        <v>1937</v>
      </c>
      <c r="C31" s="15" t="s">
        <v>53</v>
      </c>
      <c r="D31" s="33">
        <v>43830</v>
      </c>
      <c r="E31" s="33">
        <v>43847</v>
      </c>
      <c r="F31" s="25" t="s">
        <v>56</v>
      </c>
      <c r="G31" s="25" t="s">
        <v>59</v>
      </c>
      <c r="H31" s="25" t="s">
        <v>20</v>
      </c>
      <c r="I31" s="18">
        <v>26500000</v>
      </c>
      <c r="J31" s="19">
        <v>0.53</v>
      </c>
      <c r="K31" s="20" t="s">
        <v>52</v>
      </c>
    </row>
    <row r="32" spans="1:11">
      <c r="B32" s="42" t="s">
        <v>9</v>
      </c>
      <c r="C32" s="17" t="s">
        <v>9</v>
      </c>
      <c r="D32" s="33" t="s">
        <v>9</v>
      </c>
      <c r="E32" s="33" t="s">
        <v>9</v>
      </c>
      <c r="F32" s="25" t="s">
        <v>9</v>
      </c>
      <c r="G32" s="25" t="s">
        <v>9</v>
      </c>
      <c r="H32" s="25" t="s">
        <v>9</v>
      </c>
      <c r="I32" s="18">
        <v>106000000</v>
      </c>
      <c r="J32" s="19">
        <v>0.53</v>
      </c>
      <c r="K32" s="20" t="s">
        <v>10</v>
      </c>
    </row>
    <row r="33" spans="1:11" ht="45">
      <c r="A33" s="21">
        <v>16</v>
      </c>
      <c r="B33" s="42">
        <v>1745</v>
      </c>
      <c r="C33" s="15" t="s">
        <v>54</v>
      </c>
      <c r="D33" s="33">
        <v>43830</v>
      </c>
      <c r="E33" s="33">
        <v>43847</v>
      </c>
      <c r="F33" s="25" t="s">
        <v>57</v>
      </c>
      <c r="G33" s="25" t="s">
        <v>12</v>
      </c>
      <c r="H33" s="25" t="s">
        <v>20</v>
      </c>
      <c r="I33" s="18">
        <v>299089600</v>
      </c>
      <c r="J33" s="19">
        <v>2.12</v>
      </c>
      <c r="K33" s="20" t="s">
        <v>52</v>
      </c>
    </row>
    <row r="34" spans="1:11">
      <c r="B34" s="42" t="s">
        <v>9</v>
      </c>
      <c r="C34" s="17" t="s">
        <v>9</v>
      </c>
      <c r="D34" s="33" t="s">
        <v>9</v>
      </c>
      <c r="E34" s="33" t="s">
        <v>9</v>
      </c>
      <c r="F34" s="25" t="s">
        <v>9</v>
      </c>
      <c r="G34" s="25" t="s">
        <v>9</v>
      </c>
      <c r="H34" s="25" t="s">
        <v>9</v>
      </c>
      <c r="I34" s="18">
        <v>448634400</v>
      </c>
      <c r="J34" s="19">
        <v>2.12</v>
      </c>
      <c r="K34" s="20" t="s">
        <v>10</v>
      </c>
    </row>
    <row r="35" spans="1:11" ht="45">
      <c r="A35" s="21">
        <v>17</v>
      </c>
      <c r="B35" s="42">
        <v>9938</v>
      </c>
      <c r="C35" s="15" t="s">
        <v>55</v>
      </c>
      <c r="D35" s="33">
        <v>43830</v>
      </c>
      <c r="E35" s="33">
        <v>43847</v>
      </c>
      <c r="F35" s="25" t="s">
        <v>58</v>
      </c>
      <c r="G35" s="25" t="s">
        <v>12</v>
      </c>
      <c r="H35" s="25" t="s">
        <v>20</v>
      </c>
      <c r="I35" s="18">
        <v>22500000</v>
      </c>
      <c r="J35" s="19">
        <v>0.5</v>
      </c>
      <c r="K35" s="20" t="s">
        <v>52</v>
      </c>
    </row>
    <row r="36" spans="1:11">
      <c r="B36" s="42" t="s">
        <v>9</v>
      </c>
      <c r="C36" s="17" t="s">
        <v>9</v>
      </c>
      <c r="D36" s="33" t="s">
        <v>9</v>
      </c>
      <c r="E36" s="33" t="s">
        <v>9</v>
      </c>
      <c r="F36" s="25" t="s">
        <v>9</v>
      </c>
      <c r="G36" s="25" t="s">
        <v>9</v>
      </c>
      <c r="H36" s="25" t="s">
        <v>9</v>
      </c>
      <c r="I36" s="18">
        <v>102500000</v>
      </c>
      <c r="J36" s="19">
        <v>0.5</v>
      </c>
      <c r="K36" s="20" t="s">
        <v>10</v>
      </c>
    </row>
    <row r="37" spans="1:11" ht="45">
      <c r="A37" s="21">
        <v>18</v>
      </c>
      <c r="B37" s="42">
        <v>9933</v>
      </c>
      <c r="C37" s="15" t="s">
        <v>60</v>
      </c>
      <c r="D37" s="33">
        <v>43830</v>
      </c>
      <c r="E37" s="33">
        <v>43851</v>
      </c>
      <c r="F37" s="25" t="s">
        <v>24</v>
      </c>
      <c r="G37" s="17" t="s">
        <v>65</v>
      </c>
      <c r="H37" s="25" t="s">
        <v>20</v>
      </c>
      <c r="I37" s="18">
        <v>38250000</v>
      </c>
      <c r="J37" s="19">
        <v>0.51</v>
      </c>
      <c r="K37" s="20" t="s">
        <v>61</v>
      </c>
    </row>
    <row r="38" spans="1:11">
      <c r="B38" s="42" t="s">
        <v>9</v>
      </c>
      <c r="C38" s="17" t="s">
        <v>9</v>
      </c>
      <c r="D38" s="33" t="s">
        <v>9</v>
      </c>
      <c r="E38" s="33" t="s">
        <v>9</v>
      </c>
      <c r="F38" s="25" t="s">
        <v>9</v>
      </c>
      <c r="G38" s="25" t="s">
        <v>9</v>
      </c>
      <c r="H38" s="25" t="s">
        <v>9</v>
      </c>
      <c r="I38" s="18">
        <v>89250000</v>
      </c>
      <c r="J38" s="19">
        <v>0.51</v>
      </c>
      <c r="K38" s="20" t="s">
        <v>10</v>
      </c>
    </row>
    <row r="39" spans="1:11" ht="45">
      <c r="A39" s="21">
        <v>19</v>
      </c>
      <c r="B39" s="42">
        <v>1442</v>
      </c>
      <c r="C39" s="15" t="s">
        <v>62</v>
      </c>
      <c r="D39" s="33">
        <v>43829</v>
      </c>
      <c r="E39" s="33">
        <v>43851</v>
      </c>
      <c r="F39" s="25" t="s">
        <v>47</v>
      </c>
      <c r="G39" s="25" t="s">
        <v>66</v>
      </c>
      <c r="H39" s="25" t="s">
        <v>63</v>
      </c>
      <c r="I39" s="18">
        <v>15500000</v>
      </c>
      <c r="J39" s="19">
        <v>0.31</v>
      </c>
      <c r="K39" s="20" t="s">
        <v>61</v>
      </c>
    </row>
    <row r="40" spans="1:11">
      <c r="B40" s="42" t="s">
        <v>9</v>
      </c>
      <c r="C40" s="17" t="s">
        <v>9</v>
      </c>
      <c r="D40" s="33" t="s">
        <v>9</v>
      </c>
      <c r="E40" s="33" t="s">
        <v>9</v>
      </c>
      <c r="F40" s="25" t="s">
        <v>9</v>
      </c>
      <c r="G40" s="25" t="s">
        <v>9</v>
      </c>
      <c r="H40" s="25" t="s">
        <v>9</v>
      </c>
      <c r="I40" s="18">
        <v>139500000</v>
      </c>
      <c r="J40" s="19">
        <v>0.31</v>
      </c>
      <c r="K40" s="20" t="s">
        <v>10</v>
      </c>
    </row>
    <row r="41" spans="1:11" ht="45">
      <c r="A41" s="21">
        <v>20</v>
      </c>
      <c r="B41" s="42">
        <v>1601</v>
      </c>
      <c r="C41" s="15" t="s">
        <v>64</v>
      </c>
      <c r="D41" s="33">
        <v>43830</v>
      </c>
      <c r="E41" s="33">
        <v>43851</v>
      </c>
      <c r="F41" s="25" t="s">
        <v>42</v>
      </c>
      <c r="G41" s="25" t="s">
        <v>67</v>
      </c>
      <c r="H41" s="25" t="s">
        <v>20</v>
      </c>
      <c r="I41" s="18">
        <v>50667680</v>
      </c>
      <c r="J41" s="19">
        <v>1.52</v>
      </c>
      <c r="K41" s="20" t="s">
        <v>61</v>
      </c>
    </row>
    <row r="42" spans="1:11">
      <c r="B42" s="42" t="s">
        <v>9</v>
      </c>
      <c r="C42" s="17" t="s">
        <v>9</v>
      </c>
      <c r="D42" s="33" t="s">
        <v>9</v>
      </c>
      <c r="E42" s="33" t="s">
        <v>9</v>
      </c>
      <c r="F42" s="25" t="s">
        <v>9</v>
      </c>
      <c r="G42" s="25" t="s">
        <v>9</v>
      </c>
      <c r="H42" s="25" t="s">
        <v>9</v>
      </c>
      <c r="I42" s="18">
        <v>456000000</v>
      </c>
      <c r="J42" s="19">
        <v>1.52</v>
      </c>
      <c r="K42" s="20" t="s">
        <v>10</v>
      </c>
    </row>
    <row r="43" spans="1:11" ht="30">
      <c r="A43" s="21">
        <v>21</v>
      </c>
      <c r="B43" s="51">
        <v>9929</v>
      </c>
      <c r="C43" s="15" t="s">
        <v>69</v>
      </c>
      <c r="D43" s="33">
        <v>43861</v>
      </c>
      <c r="E43" s="33">
        <v>43875</v>
      </c>
      <c r="F43" s="25" t="s">
        <v>70</v>
      </c>
      <c r="G43" s="17" t="s">
        <v>71</v>
      </c>
      <c r="H43" s="25" t="s">
        <v>72</v>
      </c>
      <c r="I43" s="18">
        <v>12500000</v>
      </c>
      <c r="J43" s="19">
        <v>0.25</v>
      </c>
      <c r="K43" s="20" t="s">
        <v>68</v>
      </c>
    </row>
    <row r="44" spans="1:11">
      <c r="B44" s="42" t="s">
        <v>9</v>
      </c>
      <c r="C44" s="17" t="s">
        <v>9</v>
      </c>
      <c r="D44" s="33" t="s">
        <v>9</v>
      </c>
      <c r="E44" s="33" t="s">
        <v>9</v>
      </c>
      <c r="F44" s="25" t="s">
        <v>9</v>
      </c>
      <c r="G44" s="25" t="s">
        <v>9</v>
      </c>
      <c r="H44" s="25" t="s">
        <v>9</v>
      </c>
      <c r="I44" s="18">
        <v>112500000</v>
      </c>
      <c r="J44" s="19">
        <v>0.25</v>
      </c>
      <c r="K44" s="20" t="s">
        <v>10</v>
      </c>
    </row>
    <row r="45" spans="1:11" ht="45">
      <c r="A45" s="21">
        <v>22</v>
      </c>
      <c r="B45" s="48">
        <v>2263</v>
      </c>
      <c r="C45" s="24" t="s">
        <v>74</v>
      </c>
      <c r="D45" s="33">
        <v>43861</v>
      </c>
      <c r="E45" s="33">
        <v>43880</v>
      </c>
      <c r="F45" s="25" t="s">
        <v>75</v>
      </c>
      <c r="G45" s="17" t="s">
        <v>65</v>
      </c>
      <c r="H45" s="25" t="s">
        <v>20</v>
      </c>
      <c r="I45" s="22">
        <v>62500000</v>
      </c>
      <c r="J45" s="26">
        <v>0.5</v>
      </c>
      <c r="K45" s="20" t="s">
        <v>73</v>
      </c>
    </row>
    <row r="46" spans="1:11">
      <c r="B46" s="42" t="s">
        <v>9</v>
      </c>
      <c r="C46" s="17" t="s">
        <v>9</v>
      </c>
      <c r="D46" s="33" t="s">
        <v>9</v>
      </c>
      <c r="E46" s="33" t="s">
        <v>9</v>
      </c>
      <c r="F46" s="25" t="s">
        <v>9</v>
      </c>
      <c r="G46" s="25" t="s">
        <v>9</v>
      </c>
      <c r="H46" s="25" t="s">
        <v>9</v>
      </c>
      <c r="I46" s="22">
        <v>62500000</v>
      </c>
      <c r="J46" s="26">
        <v>0.5</v>
      </c>
      <c r="K46" s="20" t="s">
        <v>10</v>
      </c>
    </row>
    <row r="47" spans="1:11" ht="45">
      <c r="A47" s="21">
        <v>23</v>
      </c>
      <c r="B47" s="48">
        <v>9916</v>
      </c>
      <c r="C47" s="24" t="s">
        <v>77</v>
      </c>
      <c r="D47" s="33">
        <v>43886</v>
      </c>
      <c r="E47" s="33">
        <v>43899</v>
      </c>
      <c r="F47" s="25" t="s">
        <v>49</v>
      </c>
      <c r="G47" s="25" t="s">
        <v>12</v>
      </c>
      <c r="H47" s="25" t="s">
        <v>20</v>
      </c>
      <c r="I47" s="22">
        <v>99500000</v>
      </c>
      <c r="J47" s="26">
        <v>1.99</v>
      </c>
      <c r="K47" s="20" t="s">
        <v>76</v>
      </c>
    </row>
    <row r="48" spans="1:11">
      <c r="B48" s="42" t="s">
        <v>9</v>
      </c>
      <c r="C48" s="17" t="s">
        <v>9</v>
      </c>
      <c r="D48" s="33" t="s">
        <v>9</v>
      </c>
      <c r="E48" s="33" t="s">
        <v>9</v>
      </c>
      <c r="F48" s="25" t="s">
        <v>9</v>
      </c>
      <c r="G48" s="25" t="s">
        <v>9</v>
      </c>
      <c r="H48" s="25" t="s">
        <v>9</v>
      </c>
      <c r="I48" s="22">
        <v>99500000</v>
      </c>
      <c r="J48" s="26">
        <v>1.99</v>
      </c>
      <c r="K48" s="20" t="s">
        <v>10</v>
      </c>
    </row>
    <row r="49" spans="1:11" ht="45">
      <c r="A49" s="21">
        <v>24</v>
      </c>
      <c r="B49" s="48">
        <v>1433</v>
      </c>
      <c r="C49" s="24" t="s">
        <v>79</v>
      </c>
      <c r="D49" s="33">
        <v>43889</v>
      </c>
      <c r="E49" s="33">
        <v>43902</v>
      </c>
      <c r="F49" s="25" t="s">
        <v>85</v>
      </c>
      <c r="G49" s="25" t="s">
        <v>12</v>
      </c>
      <c r="H49" s="25" t="s">
        <v>20</v>
      </c>
      <c r="I49" s="22">
        <v>50000000</v>
      </c>
      <c r="J49" s="26">
        <v>0.25</v>
      </c>
      <c r="K49" s="20" t="s">
        <v>78</v>
      </c>
    </row>
    <row r="50" spans="1:11">
      <c r="B50" s="42" t="s">
        <v>9</v>
      </c>
      <c r="C50" s="17" t="s">
        <v>9</v>
      </c>
      <c r="D50" s="33" t="s">
        <v>9</v>
      </c>
      <c r="E50" s="33" t="s">
        <v>9</v>
      </c>
      <c r="F50" s="25" t="s">
        <v>9</v>
      </c>
      <c r="G50" s="25" t="s">
        <v>9</v>
      </c>
      <c r="H50" s="25" t="s">
        <v>9</v>
      </c>
      <c r="I50" s="22">
        <v>75000000</v>
      </c>
      <c r="J50" s="26">
        <v>0.25</v>
      </c>
      <c r="K50" s="20" t="s">
        <v>10</v>
      </c>
    </row>
    <row r="51" spans="1:11" ht="60">
      <c r="A51" s="21">
        <v>25</v>
      </c>
      <c r="B51" s="48">
        <v>1950</v>
      </c>
      <c r="C51" s="24" t="s">
        <v>80</v>
      </c>
      <c r="D51" s="33">
        <v>43888</v>
      </c>
      <c r="E51" s="33">
        <v>43902</v>
      </c>
      <c r="F51" s="25" t="s">
        <v>86</v>
      </c>
      <c r="G51" s="25" t="s">
        <v>90</v>
      </c>
      <c r="H51" s="25" t="s">
        <v>91</v>
      </c>
      <c r="I51" s="22">
        <v>13000000</v>
      </c>
      <c r="J51" s="26">
        <v>0.52</v>
      </c>
      <c r="K51" s="20" t="s">
        <v>78</v>
      </c>
    </row>
    <row r="52" spans="1:11">
      <c r="B52" s="42" t="s">
        <v>9</v>
      </c>
      <c r="C52" s="17" t="s">
        <v>9</v>
      </c>
      <c r="D52" s="33" t="s">
        <v>9</v>
      </c>
      <c r="E52" s="33" t="s">
        <v>9</v>
      </c>
      <c r="F52" s="25" t="s">
        <v>9</v>
      </c>
      <c r="G52" s="25" t="s">
        <v>9</v>
      </c>
      <c r="H52" s="25" t="s">
        <v>9</v>
      </c>
      <c r="I52" s="22">
        <v>117000000</v>
      </c>
      <c r="J52" s="26">
        <v>0.52</v>
      </c>
      <c r="K52" s="20" t="s">
        <v>10</v>
      </c>
    </row>
    <row r="53" spans="1:11" ht="48">
      <c r="A53" s="21">
        <v>26</v>
      </c>
      <c r="B53" s="48">
        <v>1343</v>
      </c>
      <c r="C53" s="24" t="s">
        <v>81</v>
      </c>
      <c r="D53" s="33">
        <v>43886</v>
      </c>
      <c r="E53" s="33">
        <v>43902</v>
      </c>
      <c r="F53" s="25" t="s">
        <v>33</v>
      </c>
      <c r="G53" s="25" t="s">
        <v>19</v>
      </c>
      <c r="H53" s="25" t="s">
        <v>92</v>
      </c>
      <c r="I53" s="22">
        <v>12768000</v>
      </c>
      <c r="J53" s="26">
        <v>0.48</v>
      </c>
      <c r="K53" s="20" t="s">
        <v>78</v>
      </c>
    </row>
    <row r="54" spans="1:11">
      <c r="B54" s="42" t="s">
        <v>9</v>
      </c>
      <c r="C54" s="17" t="s">
        <v>9</v>
      </c>
      <c r="D54" s="33" t="s">
        <v>9</v>
      </c>
      <c r="E54" s="33" t="s">
        <v>9</v>
      </c>
      <c r="F54" s="25" t="s">
        <v>9</v>
      </c>
      <c r="G54" s="25" t="s">
        <v>9</v>
      </c>
      <c r="H54" s="25" t="s">
        <v>9</v>
      </c>
      <c r="I54" s="22">
        <v>114912000</v>
      </c>
      <c r="J54" s="26">
        <v>0.48</v>
      </c>
      <c r="K54" s="20" t="s">
        <v>10</v>
      </c>
    </row>
    <row r="55" spans="1:11" ht="60">
      <c r="A55" s="21">
        <v>27</v>
      </c>
      <c r="B55" s="48">
        <v>9936</v>
      </c>
      <c r="C55" s="24" t="s">
        <v>82</v>
      </c>
      <c r="D55" s="33">
        <v>43887</v>
      </c>
      <c r="E55" s="33">
        <v>43902</v>
      </c>
      <c r="F55" s="25" t="s">
        <v>87</v>
      </c>
      <c r="G55" s="25" t="s">
        <v>12</v>
      </c>
      <c r="H55" s="25" t="s">
        <v>93</v>
      </c>
      <c r="I55" s="22">
        <v>50175000</v>
      </c>
      <c r="J55" s="26">
        <v>2.23</v>
      </c>
      <c r="K55" s="20" t="s">
        <v>78</v>
      </c>
    </row>
    <row r="56" spans="1:11">
      <c r="B56" s="42" t="s">
        <v>9</v>
      </c>
      <c r="C56" s="17" t="s">
        <v>9</v>
      </c>
      <c r="D56" s="33" t="s">
        <v>9</v>
      </c>
      <c r="E56" s="33" t="s">
        <v>9</v>
      </c>
      <c r="F56" s="25" t="s">
        <v>9</v>
      </c>
      <c r="G56" s="25" t="s">
        <v>9</v>
      </c>
      <c r="H56" s="25" t="s">
        <v>9</v>
      </c>
      <c r="I56" s="22">
        <v>117075000</v>
      </c>
      <c r="J56" s="26">
        <v>2.23</v>
      </c>
      <c r="K56" s="20" t="s">
        <v>10</v>
      </c>
    </row>
    <row r="57" spans="1:11" ht="45">
      <c r="A57" s="21">
        <v>28</v>
      </c>
      <c r="B57" s="48">
        <v>1859</v>
      </c>
      <c r="C57" s="24" t="s">
        <v>83</v>
      </c>
      <c r="D57" s="33">
        <v>43889</v>
      </c>
      <c r="E57" s="33">
        <v>43903</v>
      </c>
      <c r="F57" s="25" t="s">
        <v>88</v>
      </c>
      <c r="G57" s="25" t="s">
        <v>36</v>
      </c>
      <c r="H57" s="25" t="s">
        <v>20</v>
      </c>
      <c r="I57" s="22">
        <v>72405880</v>
      </c>
      <c r="J57" s="26">
        <v>2.2599999999999998</v>
      </c>
      <c r="K57" s="20" t="s">
        <v>78</v>
      </c>
    </row>
    <row r="58" spans="1:11">
      <c r="B58" s="42" t="s">
        <v>9</v>
      </c>
      <c r="C58" s="17" t="s">
        <v>9</v>
      </c>
      <c r="D58" s="33" t="s">
        <v>9</v>
      </c>
      <c r="E58" s="33" t="s">
        <v>9</v>
      </c>
      <c r="F58" s="25" t="s">
        <v>9</v>
      </c>
      <c r="G58" s="25" t="s">
        <v>9</v>
      </c>
      <c r="H58" s="25" t="s">
        <v>9</v>
      </c>
      <c r="I58" s="22">
        <v>831594119.99999988</v>
      </c>
      <c r="J58" s="26">
        <v>2.2599999999999998</v>
      </c>
      <c r="K58" s="20" t="s">
        <v>10</v>
      </c>
    </row>
    <row r="59" spans="1:11" ht="45">
      <c r="A59" s="21">
        <v>29</v>
      </c>
      <c r="B59" s="48">
        <v>1941</v>
      </c>
      <c r="C59" s="24" t="s">
        <v>84</v>
      </c>
      <c r="D59" s="33">
        <v>43889</v>
      </c>
      <c r="E59" s="33">
        <v>43903</v>
      </c>
      <c r="F59" s="25" t="s">
        <v>89</v>
      </c>
      <c r="G59" s="17" t="s">
        <v>65</v>
      </c>
      <c r="H59" s="25" t="s">
        <v>20</v>
      </c>
      <c r="I59" s="22">
        <v>78000000</v>
      </c>
      <c r="J59" s="26">
        <v>1.56</v>
      </c>
      <c r="K59" s="20" t="s">
        <v>78</v>
      </c>
    </row>
    <row r="60" spans="1:11">
      <c r="B60" s="42" t="s">
        <v>9</v>
      </c>
      <c r="C60" s="17" t="s">
        <v>9</v>
      </c>
      <c r="D60" s="33" t="s">
        <v>9</v>
      </c>
      <c r="E60" s="33" t="s">
        <v>9</v>
      </c>
      <c r="F60" s="25" t="s">
        <v>9</v>
      </c>
      <c r="G60" s="25" t="s">
        <v>9</v>
      </c>
      <c r="H60" s="25" t="s">
        <v>9</v>
      </c>
      <c r="I60" s="22">
        <v>86283600</v>
      </c>
      <c r="J60" s="26">
        <v>1.56</v>
      </c>
      <c r="K60" s="20" t="s">
        <v>10</v>
      </c>
    </row>
    <row r="61" spans="1:11" ht="45">
      <c r="A61" s="21">
        <v>30</v>
      </c>
      <c r="B61" s="42">
        <v>1961</v>
      </c>
      <c r="C61" s="24" t="s">
        <v>95</v>
      </c>
      <c r="D61" s="33">
        <v>43888</v>
      </c>
      <c r="E61" s="33">
        <v>43907</v>
      </c>
      <c r="F61" s="25" t="s">
        <v>96</v>
      </c>
      <c r="G61" s="25" t="s">
        <v>12</v>
      </c>
      <c r="H61" s="25" t="s">
        <v>20</v>
      </c>
      <c r="I61" s="22">
        <v>51030000</v>
      </c>
      <c r="J61" s="26">
        <v>1.35</v>
      </c>
      <c r="K61" s="20" t="s">
        <v>94</v>
      </c>
    </row>
    <row r="62" spans="1:11">
      <c r="B62" s="42" t="s">
        <v>9</v>
      </c>
      <c r="C62" s="17" t="s">
        <v>9</v>
      </c>
      <c r="D62" s="33" t="s">
        <v>9</v>
      </c>
      <c r="E62" s="33" t="s">
        <v>9</v>
      </c>
      <c r="F62" s="25" t="s">
        <v>9</v>
      </c>
      <c r="G62" s="25" t="s">
        <v>9</v>
      </c>
      <c r="H62" s="25" t="s">
        <v>9</v>
      </c>
      <c r="I62" s="22">
        <v>119070000.00000001</v>
      </c>
      <c r="J62" s="26">
        <v>1.35</v>
      </c>
      <c r="K62" s="20" t="s">
        <v>10</v>
      </c>
    </row>
    <row r="63" spans="1:11" ht="45">
      <c r="A63" s="21">
        <v>31</v>
      </c>
      <c r="B63" s="42">
        <v>1472</v>
      </c>
      <c r="C63" s="24" t="s">
        <v>101</v>
      </c>
      <c r="D63" s="33">
        <v>43889</v>
      </c>
      <c r="E63" s="33">
        <v>43907</v>
      </c>
      <c r="F63" s="25" t="s">
        <v>87</v>
      </c>
      <c r="G63" s="25" t="s">
        <v>90</v>
      </c>
      <c r="H63" s="25" t="s">
        <v>20</v>
      </c>
      <c r="I63" s="22">
        <v>12500000</v>
      </c>
      <c r="J63" s="26">
        <v>0.5</v>
      </c>
      <c r="K63" s="20" t="s">
        <v>94</v>
      </c>
    </row>
    <row r="64" spans="1:11">
      <c r="B64" s="42" t="s">
        <v>9</v>
      </c>
      <c r="C64" s="17" t="s">
        <v>9</v>
      </c>
      <c r="D64" s="33" t="s">
        <v>9</v>
      </c>
      <c r="E64" s="33" t="s">
        <v>9</v>
      </c>
      <c r="F64" s="25" t="s">
        <v>9</v>
      </c>
      <c r="G64" s="25" t="s">
        <v>9</v>
      </c>
      <c r="H64" s="25" t="s">
        <v>9</v>
      </c>
      <c r="I64" s="22">
        <v>112500000</v>
      </c>
      <c r="J64" s="26">
        <v>0.5</v>
      </c>
      <c r="K64" s="20" t="s">
        <v>10</v>
      </c>
    </row>
    <row r="65" spans="1:11" ht="60">
      <c r="A65" s="21">
        <v>32</v>
      </c>
      <c r="B65" s="42">
        <v>3991</v>
      </c>
      <c r="C65" s="24" t="s">
        <v>102</v>
      </c>
      <c r="D65" s="33" t="s">
        <v>20</v>
      </c>
      <c r="E65" s="33">
        <v>43908</v>
      </c>
      <c r="F65" s="25" t="s">
        <v>37</v>
      </c>
      <c r="G65" s="17" t="s">
        <v>65</v>
      </c>
      <c r="H65" s="25" t="s">
        <v>20</v>
      </c>
      <c r="I65" s="18" t="s">
        <v>97</v>
      </c>
      <c r="J65" s="18" t="s">
        <v>214</v>
      </c>
      <c r="K65" s="20"/>
    </row>
    <row r="66" spans="1:11" ht="45">
      <c r="A66" s="21">
        <v>33</v>
      </c>
      <c r="B66" s="42">
        <v>589</v>
      </c>
      <c r="C66" s="24" t="s">
        <v>103</v>
      </c>
      <c r="D66" s="33">
        <v>43890</v>
      </c>
      <c r="E66" s="33">
        <v>43908</v>
      </c>
      <c r="F66" s="25" t="s">
        <v>99</v>
      </c>
      <c r="G66" s="25" t="s">
        <v>36</v>
      </c>
      <c r="H66" s="25" t="s">
        <v>20</v>
      </c>
      <c r="I66" s="18">
        <v>103125000</v>
      </c>
      <c r="J66" s="26">
        <v>1.65</v>
      </c>
      <c r="K66" s="20" t="s">
        <v>94</v>
      </c>
    </row>
    <row r="67" spans="1:11">
      <c r="B67" s="42" t="s">
        <v>9</v>
      </c>
      <c r="C67" s="17" t="s">
        <v>9</v>
      </c>
      <c r="D67" s="33" t="s">
        <v>9</v>
      </c>
      <c r="E67" s="33" t="s">
        <v>9</v>
      </c>
      <c r="F67" s="25" t="s">
        <v>9</v>
      </c>
      <c r="G67" s="25" t="s">
        <v>9</v>
      </c>
      <c r="H67" s="25" t="s">
        <v>9</v>
      </c>
      <c r="I67" s="18">
        <v>154687500</v>
      </c>
      <c r="J67" s="26">
        <v>1.65</v>
      </c>
      <c r="K67" s="20" t="s">
        <v>10</v>
      </c>
    </row>
    <row r="68" spans="1:11" ht="45">
      <c r="A68" s="21">
        <v>34</v>
      </c>
      <c r="B68" s="42">
        <v>6918</v>
      </c>
      <c r="C68" s="24" t="s">
        <v>104</v>
      </c>
      <c r="D68" s="33">
        <v>43889</v>
      </c>
      <c r="E68" s="33">
        <v>43908</v>
      </c>
      <c r="F68" s="25" t="s">
        <v>100</v>
      </c>
      <c r="G68" s="25" t="s">
        <v>98</v>
      </c>
      <c r="H68" s="25" t="s">
        <v>20</v>
      </c>
      <c r="I68" s="22">
        <v>36597600</v>
      </c>
      <c r="J68" s="26">
        <v>1.38</v>
      </c>
      <c r="K68" s="20" t="s">
        <v>94</v>
      </c>
    </row>
    <row r="69" spans="1:11">
      <c r="B69" s="42" t="s">
        <v>9</v>
      </c>
      <c r="C69" s="17" t="s">
        <v>9</v>
      </c>
      <c r="D69" s="33" t="s">
        <v>9</v>
      </c>
      <c r="E69" s="33" t="s">
        <v>9</v>
      </c>
      <c r="F69" s="25" t="s">
        <v>9</v>
      </c>
      <c r="G69" s="25" t="s">
        <v>9</v>
      </c>
      <c r="H69" s="25" t="s">
        <v>9</v>
      </c>
      <c r="I69" s="22">
        <v>86617080</v>
      </c>
      <c r="J69" s="26">
        <v>1.38</v>
      </c>
      <c r="K69" s="20" t="s">
        <v>10</v>
      </c>
    </row>
    <row r="70" spans="1:11" ht="60">
      <c r="A70" s="21">
        <v>35</v>
      </c>
      <c r="B70" s="42">
        <v>1657</v>
      </c>
      <c r="C70" s="24" t="s">
        <v>105</v>
      </c>
      <c r="D70" s="33" t="s">
        <v>20</v>
      </c>
      <c r="E70" s="33">
        <v>43910</v>
      </c>
      <c r="F70" s="25" t="s">
        <v>47</v>
      </c>
      <c r="G70" s="17" t="s">
        <v>65</v>
      </c>
      <c r="H70" s="25" t="s">
        <v>20</v>
      </c>
      <c r="I70" s="18" t="s">
        <v>97</v>
      </c>
      <c r="J70" s="18" t="s">
        <v>97</v>
      </c>
      <c r="K70" s="20"/>
    </row>
    <row r="71" spans="1:11" ht="45">
      <c r="A71" s="21">
        <v>36</v>
      </c>
      <c r="B71" s="42">
        <v>9969</v>
      </c>
      <c r="C71" s="24" t="s">
        <v>142</v>
      </c>
      <c r="D71" s="33">
        <v>43901</v>
      </c>
      <c r="E71" s="33">
        <v>43913</v>
      </c>
      <c r="F71" s="25" t="s">
        <v>107</v>
      </c>
      <c r="G71" s="25" t="s">
        <v>12</v>
      </c>
      <c r="H71" s="25" t="s">
        <v>20</v>
      </c>
      <c r="I71" s="18">
        <v>1120199900</v>
      </c>
      <c r="J71" s="26">
        <v>8.9499999999999993</v>
      </c>
      <c r="K71" s="20" t="s">
        <v>106</v>
      </c>
    </row>
    <row r="72" spans="1:11">
      <c r="B72" s="42" t="s">
        <v>9</v>
      </c>
      <c r="C72" s="17" t="s">
        <v>9</v>
      </c>
      <c r="D72" s="33" t="s">
        <v>9</v>
      </c>
      <c r="E72" s="33" t="s">
        <v>9</v>
      </c>
      <c r="F72" s="25" t="s">
        <v>9</v>
      </c>
      <c r="G72" s="25" t="s">
        <v>9</v>
      </c>
      <c r="H72" s="25" t="s">
        <v>9</v>
      </c>
      <c r="I72" s="18">
        <v>1456254500</v>
      </c>
      <c r="J72" s="26">
        <v>8.9499999999999993</v>
      </c>
      <c r="K72" s="20" t="s">
        <v>10</v>
      </c>
    </row>
    <row r="73" spans="1:11" ht="30">
      <c r="A73" s="21">
        <v>37</v>
      </c>
      <c r="B73" s="42">
        <v>1463</v>
      </c>
      <c r="C73" s="24" t="s">
        <v>108</v>
      </c>
      <c r="D73" s="33">
        <v>43907</v>
      </c>
      <c r="E73" s="33">
        <v>43917</v>
      </c>
      <c r="F73" s="25" t="s">
        <v>110</v>
      </c>
      <c r="G73" s="25" t="s">
        <v>12</v>
      </c>
      <c r="H73" s="25" t="s">
        <v>72</v>
      </c>
      <c r="I73" s="18">
        <v>12600000</v>
      </c>
      <c r="J73" s="26">
        <v>0.63</v>
      </c>
      <c r="K73" s="20" t="s">
        <v>109</v>
      </c>
    </row>
    <row r="74" spans="1:11">
      <c r="B74" s="42" t="s">
        <v>9</v>
      </c>
      <c r="C74" s="17" t="s">
        <v>9</v>
      </c>
      <c r="D74" s="33" t="s">
        <v>9</v>
      </c>
      <c r="E74" s="33" t="s">
        <v>9</v>
      </c>
      <c r="F74" s="25" t="s">
        <v>9</v>
      </c>
      <c r="G74" s="25" t="s">
        <v>9</v>
      </c>
      <c r="H74" s="25" t="s">
        <v>9</v>
      </c>
      <c r="I74" s="18">
        <v>113400000</v>
      </c>
      <c r="J74" s="26">
        <v>0.63</v>
      </c>
      <c r="K74" s="20" t="s">
        <v>10</v>
      </c>
    </row>
    <row r="75" spans="1:11" s="13" customFormat="1" ht="30">
      <c r="A75" s="13">
        <v>38</v>
      </c>
      <c r="B75" s="42">
        <v>6063</v>
      </c>
      <c r="C75" s="24" t="s">
        <v>113</v>
      </c>
      <c r="D75" s="33">
        <v>43920</v>
      </c>
      <c r="E75" s="33">
        <v>43936</v>
      </c>
      <c r="F75" s="25" t="s">
        <v>115</v>
      </c>
      <c r="G75" s="17" t="s">
        <v>65</v>
      </c>
      <c r="H75" s="25" t="s">
        <v>72</v>
      </c>
      <c r="I75" s="18">
        <v>12500000</v>
      </c>
      <c r="J75" s="26">
        <v>0.25</v>
      </c>
      <c r="K75" s="20" t="s">
        <v>111</v>
      </c>
    </row>
    <row r="76" spans="1:11" s="13" customFormat="1">
      <c r="B76" s="42" t="s">
        <v>9</v>
      </c>
      <c r="C76" s="17" t="s">
        <v>9</v>
      </c>
      <c r="D76" s="33" t="s">
        <v>9</v>
      </c>
      <c r="E76" s="33" t="s">
        <v>9</v>
      </c>
      <c r="F76" s="17" t="s">
        <v>9</v>
      </c>
      <c r="G76" s="17" t="s">
        <v>9</v>
      </c>
      <c r="H76" s="25" t="s">
        <v>9</v>
      </c>
      <c r="I76" s="18">
        <v>112500000</v>
      </c>
      <c r="J76" s="26">
        <v>0.25</v>
      </c>
      <c r="K76" s="20" t="s">
        <v>10</v>
      </c>
    </row>
    <row r="77" spans="1:11" s="13" customFormat="1" ht="30">
      <c r="A77" s="13">
        <v>39</v>
      </c>
      <c r="B77" s="42">
        <v>1942</v>
      </c>
      <c r="C77" s="24" t="s">
        <v>112</v>
      </c>
      <c r="D77" s="33">
        <v>43918</v>
      </c>
      <c r="E77" s="33">
        <v>43936</v>
      </c>
      <c r="F77" s="25" t="s">
        <v>49</v>
      </c>
      <c r="G77" s="17" t="s">
        <v>117</v>
      </c>
      <c r="H77" s="25" t="s">
        <v>72</v>
      </c>
      <c r="I77" s="18">
        <f>12500000+25000000</f>
        <v>37500000</v>
      </c>
      <c r="J77" s="26">
        <v>1</v>
      </c>
      <c r="K77" s="20" t="s">
        <v>111</v>
      </c>
    </row>
    <row r="78" spans="1:11" s="13" customFormat="1">
      <c r="B78" s="42" t="s">
        <v>9</v>
      </c>
      <c r="C78" s="17" t="s">
        <v>9</v>
      </c>
      <c r="D78" s="33" t="s">
        <v>9</v>
      </c>
      <c r="E78" s="33" t="s">
        <v>9</v>
      </c>
      <c r="F78" s="17" t="s">
        <v>9</v>
      </c>
      <c r="G78" s="17" t="s">
        <v>9</v>
      </c>
      <c r="H78" s="25" t="s">
        <v>9</v>
      </c>
      <c r="I78" s="18">
        <f>112500000-25000000</f>
        <v>87500000</v>
      </c>
      <c r="J78" s="26">
        <v>1</v>
      </c>
      <c r="K78" s="20" t="s">
        <v>10</v>
      </c>
    </row>
    <row r="79" spans="1:11" s="13" customFormat="1" ht="30" customHeight="1">
      <c r="A79" s="13">
        <v>40</v>
      </c>
      <c r="B79" s="42">
        <v>3390</v>
      </c>
      <c r="C79" s="24" t="s">
        <v>114</v>
      </c>
      <c r="D79" s="33">
        <v>43920</v>
      </c>
      <c r="E79" s="33">
        <v>43936</v>
      </c>
      <c r="F79" s="25" t="s">
        <v>116</v>
      </c>
      <c r="G79" s="17" t="s">
        <v>12</v>
      </c>
      <c r="H79" s="25" t="s">
        <v>72</v>
      </c>
      <c r="I79" s="18">
        <v>28670580</v>
      </c>
      <c r="J79" s="26">
        <v>1.49</v>
      </c>
      <c r="K79" s="20" t="s">
        <v>111</v>
      </c>
    </row>
    <row r="80" spans="1:11" s="13" customFormat="1">
      <c r="B80" s="42" t="s">
        <v>9</v>
      </c>
      <c r="C80" s="17" t="s">
        <v>9</v>
      </c>
      <c r="D80" s="33" t="s">
        <v>9</v>
      </c>
      <c r="E80" s="33" t="s">
        <v>9</v>
      </c>
      <c r="F80" s="17" t="s">
        <v>9</v>
      </c>
      <c r="G80" s="17" t="s">
        <v>9</v>
      </c>
      <c r="H80" s="25" t="s">
        <v>9</v>
      </c>
      <c r="I80" s="18">
        <v>258035220</v>
      </c>
      <c r="J80" s="26">
        <v>1.49</v>
      </c>
      <c r="K80" s="20" t="s">
        <v>10</v>
      </c>
    </row>
    <row r="81" spans="1:12" ht="60">
      <c r="A81" s="21">
        <v>41</v>
      </c>
      <c r="B81" s="42">
        <v>1162</v>
      </c>
      <c r="C81" s="24" t="s">
        <v>118</v>
      </c>
      <c r="D81" s="33" t="s">
        <v>20</v>
      </c>
      <c r="E81" s="33">
        <v>43941</v>
      </c>
      <c r="F81" s="25" t="s">
        <v>119</v>
      </c>
      <c r="G81" s="17" t="s">
        <v>120</v>
      </c>
      <c r="H81" s="25" t="s">
        <v>72</v>
      </c>
      <c r="I81" s="18" t="s">
        <v>121</v>
      </c>
      <c r="J81" s="18" t="s">
        <v>97</v>
      </c>
      <c r="K81" s="20"/>
    </row>
    <row r="82" spans="1:12" s="13" customFormat="1" ht="30" customHeight="1">
      <c r="A82" s="13">
        <v>42</v>
      </c>
      <c r="B82" s="42">
        <v>9926</v>
      </c>
      <c r="C82" s="24" t="s">
        <v>129</v>
      </c>
      <c r="D82" s="33">
        <v>43935</v>
      </c>
      <c r="E82" s="33">
        <v>43945</v>
      </c>
      <c r="F82" s="25" t="s">
        <v>122</v>
      </c>
      <c r="G82" s="17" t="s">
        <v>12</v>
      </c>
      <c r="H82" s="25" t="s">
        <v>20</v>
      </c>
      <c r="I82" s="18">
        <v>1290322640</v>
      </c>
      <c r="J82" s="26">
        <v>16.18</v>
      </c>
      <c r="K82" s="20" t="s">
        <v>111</v>
      </c>
    </row>
    <row r="83" spans="1:12" s="13" customFormat="1">
      <c r="B83" s="42" t="s">
        <v>9</v>
      </c>
      <c r="C83" s="17" t="s">
        <v>9</v>
      </c>
      <c r="D83" s="33" t="s">
        <v>9</v>
      </c>
      <c r="E83" s="33" t="s">
        <v>9</v>
      </c>
      <c r="F83" s="17" t="s">
        <v>9</v>
      </c>
      <c r="G83" s="17" t="s">
        <v>9</v>
      </c>
      <c r="H83" s="25" t="s">
        <v>9</v>
      </c>
      <c r="I83" s="18">
        <v>1677396780</v>
      </c>
      <c r="J83" s="26">
        <v>16.18</v>
      </c>
      <c r="K83" s="20" t="s">
        <v>10</v>
      </c>
    </row>
    <row r="84" spans="1:12" s="13" customFormat="1" ht="48.75" customHeight="1">
      <c r="A84" s="13">
        <v>43</v>
      </c>
      <c r="B84" s="42">
        <v>1953</v>
      </c>
      <c r="C84" s="24" t="s">
        <v>123</v>
      </c>
      <c r="D84" s="33">
        <v>43935</v>
      </c>
      <c r="E84" s="33">
        <v>43949</v>
      </c>
      <c r="F84" s="25" t="s">
        <v>124</v>
      </c>
      <c r="G84" s="17" t="s">
        <v>65</v>
      </c>
      <c r="H84" s="25" t="s">
        <v>125</v>
      </c>
      <c r="I84" s="18">
        <v>25200000</v>
      </c>
      <c r="J84" s="26">
        <v>0.4</v>
      </c>
      <c r="K84" s="20" t="s">
        <v>111</v>
      </c>
    </row>
    <row r="85" spans="1:12">
      <c r="B85" s="42" t="s">
        <v>9</v>
      </c>
      <c r="C85" s="17" t="s">
        <v>9</v>
      </c>
      <c r="D85" s="33" t="s">
        <v>9</v>
      </c>
      <c r="E85" s="33" t="s">
        <v>9</v>
      </c>
      <c r="F85" s="17" t="s">
        <v>9</v>
      </c>
      <c r="G85" s="17" t="s">
        <v>9</v>
      </c>
      <c r="H85" s="25" t="s">
        <v>9</v>
      </c>
      <c r="I85" s="18">
        <v>100800000</v>
      </c>
      <c r="J85" s="26">
        <v>0.4</v>
      </c>
      <c r="K85" s="20" t="s">
        <v>10</v>
      </c>
    </row>
    <row r="86" spans="1:12" s="13" customFormat="1" ht="30" customHeight="1">
      <c r="A86" s="13">
        <v>44</v>
      </c>
      <c r="B86" s="42">
        <v>1376</v>
      </c>
      <c r="C86" s="24" t="s">
        <v>126</v>
      </c>
      <c r="D86" s="33">
        <v>43942</v>
      </c>
      <c r="E86" s="33">
        <v>43958</v>
      </c>
      <c r="F86" s="25" t="s">
        <v>128</v>
      </c>
      <c r="G86" s="17" t="s">
        <v>127</v>
      </c>
      <c r="H86" s="25" t="s">
        <v>20</v>
      </c>
      <c r="I86" s="18">
        <v>12500000</v>
      </c>
      <c r="J86" s="26">
        <v>0.5</v>
      </c>
      <c r="K86" s="20" t="s">
        <v>111</v>
      </c>
    </row>
    <row r="87" spans="1:12">
      <c r="B87" s="42" t="s">
        <v>9</v>
      </c>
      <c r="C87" s="17" t="s">
        <v>9</v>
      </c>
      <c r="D87" s="33" t="s">
        <v>9</v>
      </c>
      <c r="E87" s="33" t="s">
        <v>9</v>
      </c>
      <c r="F87" s="17" t="s">
        <v>9</v>
      </c>
      <c r="G87" s="17" t="s">
        <v>9</v>
      </c>
      <c r="H87" s="25" t="s">
        <v>9</v>
      </c>
      <c r="I87" s="18">
        <v>112500000</v>
      </c>
      <c r="J87" s="26">
        <v>0.5</v>
      </c>
      <c r="K87" s="20" t="s">
        <v>10</v>
      </c>
    </row>
    <row r="88" spans="1:12" ht="30">
      <c r="A88" s="21">
        <v>45</v>
      </c>
      <c r="B88" s="51">
        <v>1147</v>
      </c>
      <c r="C88" s="24" t="s">
        <v>131</v>
      </c>
      <c r="D88" s="33">
        <v>43944</v>
      </c>
      <c r="E88" s="33">
        <v>43964</v>
      </c>
      <c r="F88" s="17" t="s">
        <v>87</v>
      </c>
      <c r="G88" s="17" t="s">
        <v>12</v>
      </c>
      <c r="H88" s="25" t="s">
        <v>134</v>
      </c>
      <c r="I88" s="18">
        <v>62500000</v>
      </c>
      <c r="J88" s="26">
        <v>0.25</v>
      </c>
      <c r="K88" s="20" t="s">
        <v>111</v>
      </c>
    </row>
    <row r="89" spans="1:12">
      <c r="B89" s="42" t="s">
        <v>9</v>
      </c>
      <c r="C89" s="17" t="s">
        <v>9</v>
      </c>
      <c r="D89" s="33" t="s">
        <v>9</v>
      </c>
      <c r="E89" s="33" t="s">
        <v>9</v>
      </c>
      <c r="F89" s="17" t="s">
        <v>9</v>
      </c>
      <c r="G89" s="17" t="s">
        <v>9</v>
      </c>
      <c r="H89" s="25" t="s">
        <v>9</v>
      </c>
      <c r="I89" s="18">
        <v>62500000</v>
      </c>
      <c r="J89" s="26">
        <v>0.25</v>
      </c>
      <c r="K89" s="20" t="s">
        <v>10</v>
      </c>
    </row>
    <row r="90" spans="1:12" ht="60">
      <c r="A90" s="21">
        <v>46</v>
      </c>
      <c r="B90" s="51">
        <v>1936</v>
      </c>
      <c r="C90" s="24" t="s">
        <v>130</v>
      </c>
      <c r="D90" s="33">
        <v>43945</v>
      </c>
      <c r="E90" s="33">
        <v>43964</v>
      </c>
      <c r="F90" s="17" t="s">
        <v>132</v>
      </c>
      <c r="G90" s="17" t="s">
        <v>133</v>
      </c>
      <c r="H90" s="25" t="s">
        <v>135</v>
      </c>
      <c r="I90" s="18">
        <v>12500000</v>
      </c>
      <c r="J90" s="26">
        <v>1</v>
      </c>
      <c r="K90" s="20" t="s">
        <v>111</v>
      </c>
    </row>
    <row r="91" spans="1:12">
      <c r="B91" s="42" t="s">
        <v>9</v>
      </c>
      <c r="C91" s="17" t="s">
        <v>9</v>
      </c>
      <c r="D91" s="33" t="s">
        <v>9</v>
      </c>
      <c r="E91" s="33" t="s">
        <v>9</v>
      </c>
      <c r="F91" s="17" t="s">
        <v>9</v>
      </c>
      <c r="G91" s="17" t="s">
        <v>9</v>
      </c>
      <c r="H91" s="25" t="s">
        <v>9</v>
      </c>
      <c r="I91" s="18">
        <v>112500000</v>
      </c>
      <c r="J91" s="26">
        <v>1</v>
      </c>
      <c r="K91" s="20" t="s">
        <v>10</v>
      </c>
    </row>
    <row r="92" spans="1:12" ht="45">
      <c r="A92" s="21">
        <v>47</v>
      </c>
      <c r="B92" s="49">
        <v>9983</v>
      </c>
      <c r="C92" s="24" t="s">
        <v>137</v>
      </c>
      <c r="D92" s="33">
        <v>43956</v>
      </c>
      <c r="E92" s="33">
        <v>43966</v>
      </c>
      <c r="F92" s="17" t="s">
        <v>139</v>
      </c>
      <c r="G92" s="17" t="s">
        <v>141</v>
      </c>
      <c r="H92" s="25" t="s">
        <v>134</v>
      </c>
      <c r="I92" s="18">
        <v>1027500000</v>
      </c>
      <c r="J92" s="26">
        <v>6.85</v>
      </c>
      <c r="K92" s="20" t="s">
        <v>136</v>
      </c>
    </row>
    <row r="93" spans="1:12">
      <c r="B93" s="42" t="s">
        <v>9</v>
      </c>
      <c r="C93" s="17" t="s">
        <v>9</v>
      </c>
      <c r="D93" s="33" t="s">
        <v>9</v>
      </c>
      <c r="E93" s="33" t="s">
        <v>9</v>
      </c>
      <c r="F93" s="17" t="s">
        <v>9</v>
      </c>
      <c r="G93" s="17" t="s">
        <v>9</v>
      </c>
      <c r="H93" s="25" t="s">
        <v>9</v>
      </c>
      <c r="I93" s="18">
        <v>1335750000</v>
      </c>
      <c r="J93" s="26">
        <v>6.85</v>
      </c>
      <c r="K93" s="20" t="s">
        <v>10</v>
      </c>
    </row>
    <row r="94" spans="1:12" ht="60">
      <c r="A94" s="21">
        <v>48</v>
      </c>
      <c r="B94" s="49">
        <v>9996</v>
      </c>
      <c r="C94" s="24" t="s">
        <v>138</v>
      </c>
      <c r="D94" s="33">
        <v>43956</v>
      </c>
      <c r="E94" s="33">
        <v>43966</v>
      </c>
      <c r="F94" s="17" t="s">
        <v>140</v>
      </c>
      <c r="G94" s="17" t="s">
        <v>141</v>
      </c>
      <c r="H94" s="25" t="s">
        <v>134</v>
      </c>
      <c r="I94" s="18">
        <v>1171292160</v>
      </c>
      <c r="J94" s="26">
        <v>15.36</v>
      </c>
      <c r="K94" s="20" t="s">
        <v>136</v>
      </c>
    </row>
    <row r="95" spans="1:12">
      <c r="B95" s="42" t="s">
        <v>9</v>
      </c>
      <c r="C95" s="17" t="s">
        <v>9</v>
      </c>
      <c r="D95" s="33" t="s">
        <v>9</v>
      </c>
      <c r="E95" s="33" t="s">
        <v>9</v>
      </c>
      <c r="F95" s="17" t="s">
        <v>9</v>
      </c>
      <c r="G95" s="17" t="s">
        <v>9</v>
      </c>
      <c r="H95" s="25" t="s">
        <v>9</v>
      </c>
      <c r="I95" s="18">
        <v>1522652160</v>
      </c>
      <c r="J95" s="26">
        <v>15.36</v>
      </c>
      <c r="K95" s="20" t="s">
        <v>10</v>
      </c>
    </row>
    <row r="96" spans="1:12" ht="47.25" customHeight="1">
      <c r="A96" s="21">
        <v>49</v>
      </c>
      <c r="B96" s="49">
        <v>9939</v>
      </c>
      <c r="C96" s="24" t="s">
        <v>143</v>
      </c>
      <c r="D96" s="33">
        <v>43963</v>
      </c>
      <c r="E96" s="33">
        <v>43973</v>
      </c>
      <c r="F96" s="17" t="s">
        <v>229</v>
      </c>
      <c r="G96" s="17" t="s">
        <v>127</v>
      </c>
      <c r="H96" s="17" t="s">
        <v>144</v>
      </c>
      <c r="I96" s="18">
        <v>930406099.99999988</v>
      </c>
      <c r="J96" s="26">
        <v>20.149999999999999</v>
      </c>
      <c r="K96" s="20" t="s">
        <v>111</v>
      </c>
      <c r="L96" s="13"/>
    </row>
    <row r="97" spans="1:12">
      <c r="B97" s="42" t="s">
        <v>9</v>
      </c>
      <c r="C97" s="17" t="s">
        <v>9</v>
      </c>
      <c r="D97" s="33" t="s">
        <v>9</v>
      </c>
      <c r="E97" s="33" t="s">
        <v>9</v>
      </c>
      <c r="F97" s="17" t="s">
        <v>9</v>
      </c>
      <c r="G97" s="17" t="s">
        <v>9</v>
      </c>
      <c r="H97" s="25" t="s">
        <v>9</v>
      </c>
      <c r="I97" s="18">
        <v>930396024.99999988</v>
      </c>
      <c r="J97" s="26">
        <v>20.149999999999999</v>
      </c>
      <c r="K97" s="20" t="s">
        <v>10</v>
      </c>
      <c r="L97" s="13"/>
    </row>
    <row r="98" spans="1:12" s="13" customFormat="1" ht="60">
      <c r="A98" s="13">
        <v>50</v>
      </c>
      <c r="B98" s="42">
        <v>9978</v>
      </c>
      <c r="C98" s="24" t="s">
        <v>145</v>
      </c>
      <c r="D98" s="33" t="s">
        <v>20</v>
      </c>
      <c r="E98" s="33">
        <v>43979</v>
      </c>
      <c r="F98" s="25" t="s">
        <v>24</v>
      </c>
      <c r="G98" s="17" t="s">
        <v>149</v>
      </c>
      <c r="H98" s="25" t="s">
        <v>20</v>
      </c>
      <c r="I98" s="18" t="s">
        <v>121</v>
      </c>
      <c r="J98" s="18" t="s">
        <v>97</v>
      </c>
      <c r="K98" s="20"/>
    </row>
    <row r="99" spans="1:12" s="13" customFormat="1" ht="75">
      <c r="A99" s="13">
        <v>51</v>
      </c>
      <c r="B99" s="42">
        <v>9923</v>
      </c>
      <c r="C99" s="24" t="s">
        <v>147</v>
      </c>
      <c r="D99" s="33">
        <v>43971</v>
      </c>
      <c r="E99" s="33">
        <v>43983</v>
      </c>
      <c r="F99" s="25" t="s">
        <v>146</v>
      </c>
      <c r="G99" s="25" t="s">
        <v>98</v>
      </c>
      <c r="H99" s="25" t="s">
        <v>72</v>
      </c>
      <c r="I99" s="18">
        <v>821390336</v>
      </c>
      <c r="J99" s="26">
        <v>16.64</v>
      </c>
      <c r="K99" s="26" t="s">
        <v>111</v>
      </c>
    </row>
    <row r="100" spans="1:12" s="13" customFormat="1">
      <c r="B100" s="42" t="s">
        <v>9</v>
      </c>
      <c r="C100" s="14" t="s">
        <v>9</v>
      </c>
      <c r="D100" s="33" t="s">
        <v>9</v>
      </c>
      <c r="E100" s="33" t="s">
        <v>9</v>
      </c>
      <c r="F100" s="25" t="s">
        <v>9</v>
      </c>
      <c r="G100" s="17" t="s">
        <v>9</v>
      </c>
      <c r="H100" s="17" t="s">
        <v>9</v>
      </c>
      <c r="I100" s="18">
        <v>1011112960</v>
      </c>
      <c r="J100" s="26">
        <v>16.64</v>
      </c>
      <c r="K100" s="20" t="s">
        <v>10</v>
      </c>
    </row>
    <row r="101" spans="1:12" s="13" customFormat="1" ht="30">
      <c r="A101" s="13">
        <v>52</v>
      </c>
      <c r="B101" s="42">
        <v>2381</v>
      </c>
      <c r="C101" s="36" t="s">
        <v>150</v>
      </c>
      <c r="D101" s="33">
        <v>43970</v>
      </c>
      <c r="E101" s="33">
        <v>43984</v>
      </c>
      <c r="F101" s="25" t="s">
        <v>148</v>
      </c>
      <c r="G101" s="17" t="s">
        <v>149</v>
      </c>
      <c r="H101" s="25" t="s">
        <v>72</v>
      </c>
      <c r="I101" s="18">
        <v>37500000</v>
      </c>
      <c r="J101" s="26">
        <v>0.25</v>
      </c>
      <c r="K101" s="20" t="s">
        <v>68</v>
      </c>
    </row>
    <row r="102" spans="1:12">
      <c r="A102" s="13"/>
      <c r="B102" s="42" t="s">
        <v>9</v>
      </c>
      <c r="C102" s="14" t="s">
        <v>9</v>
      </c>
      <c r="D102" s="33" t="s">
        <v>9</v>
      </c>
      <c r="E102" s="33" t="s">
        <v>9</v>
      </c>
      <c r="F102" s="14" t="s">
        <v>9</v>
      </c>
      <c r="G102" s="14" t="s">
        <v>9</v>
      </c>
      <c r="H102" s="14" t="s">
        <v>9</v>
      </c>
      <c r="I102" s="18">
        <v>87500000</v>
      </c>
      <c r="J102" s="26">
        <v>0.25</v>
      </c>
      <c r="K102" s="20" t="s">
        <v>10</v>
      </c>
    </row>
    <row r="103" spans="1:12" s="13" customFormat="1" ht="45">
      <c r="A103" s="13">
        <v>53</v>
      </c>
      <c r="B103" s="42">
        <v>1645</v>
      </c>
      <c r="C103" s="36" t="s">
        <v>152</v>
      </c>
      <c r="D103" s="33">
        <v>43971</v>
      </c>
      <c r="E103" s="33">
        <v>43985</v>
      </c>
      <c r="F103" s="17" t="s">
        <v>47</v>
      </c>
      <c r="G103" s="17" t="s">
        <v>151</v>
      </c>
      <c r="H103" s="25" t="s">
        <v>20</v>
      </c>
      <c r="I103" s="18">
        <v>80040000</v>
      </c>
      <c r="J103" s="26">
        <v>1.38</v>
      </c>
      <c r="K103" s="20" t="s">
        <v>68</v>
      </c>
    </row>
    <row r="104" spans="1:12" s="13" customFormat="1">
      <c r="B104" s="42" t="s">
        <v>9</v>
      </c>
      <c r="C104" s="14" t="s">
        <v>9</v>
      </c>
      <c r="D104" s="33" t="s">
        <v>9</v>
      </c>
      <c r="E104" s="33" t="s">
        <v>9</v>
      </c>
      <c r="F104" s="14" t="s">
        <v>9</v>
      </c>
      <c r="G104" s="14" t="s">
        <v>9</v>
      </c>
      <c r="H104" s="14" t="s">
        <v>9</v>
      </c>
      <c r="I104" s="18">
        <v>88325520</v>
      </c>
      <c r="J104" s="26">
        <v>1.38</v>
      </c>
      <c r="K104" s="20" t="s">
        <v>10</v>
      </c>
    </row>
    <row r="105" spans="1:12" s="13" customFormat="1" ht="87" customHeight="1">
      <c r="A105" s="13">
        <v>54</v>
      </c>
      <c r="B105" s="42">
        <v>9999</v>
      </c>
      <c r="C105" s="36" t="s">
        <v>273</v>
      </c>
      <c r="D105" s="33">
        <v>43984</v>
      </c>
      <c r="E105" s="33">
        <v>43993</v>
      </c>
      <c r="F105" s="17" t="s">
        <v>155</v>
      </c>
      <c r="G105" s="25" t="s">
        <v>98</v>
      </c>
      <c r="H105" s="25" t="s">
        <v>20</v>
      </c>
      <c r="I105" s="18">
        <v>2531340000</v>
      </c>
      <c r="J105" s="26">
        <v>123</v>
      </c>
      <c r="K105" s="20" t="s">
        <v>68</v>
      </c>
    </row>
    <row r="106" spans="1:12" s="13" customFormat="1">
      <c r="B106" s="42" t="s">
        <v>9</v>
      </c>
      <c r="C106" s="14" t="s">
        <v>9</v>
      </c>
      <c r="D106" s="33" t="s">
        <v>9</v>
      </c>
      <c r="E106" s="33" t="s">
        <v>9</v>
      </c>
      <c r="F106" s="14" t="s">
        <v>9</v>
      </c>
      <c r="G106" s="14" t="s">
        <v>9</v>
      </c>
      <c r="H106" s="14" t="s">
        <v>9</v>
      </c>
      <c r="I106" s="18">
        <v>21724506000</v>
      </c>
      <c r="J106" s="26">
        <v>123</v>
      </c>
      <c r="K106" s="20" t="s">
        <v>10</v>
      </c>
    </row>
    <row r="107" spans="1:12" s="13" customFormat="1" ht="60">
      <c r="A107" s="13">
        <v>55</v>
      </c>
      <c r="B107" s="42">
        <v>6812</v>
      </c>
      <c r="C107" s="36" t="s">
        <v>153</v>
      </c>
      <c r="D107" s="33" t="s">
        <v>20</v>
      </c>
      <c r="E107" s="33">
        <v>43993</v>
      </c>
      <c r="F107" s="25" t="s">
        <v>154</v>
      </c>
      <c r="G107" s="17" t="s">
        <v>149</v>
      </c>
      <c r="H107" s="25" t="s">
        <v>20</v>
      </c>
      <c r="I107" s="18" t="s">
        <v>97</v>
      </c>
      <c r="J107" s="18" t="s">
        <v>97</v>
      </c>
      <c r="K107" s="20"/>
    </row>
    <row r="108" spans="1:12" s="13" customFormat="1" ht="60">
      <c r="A108" s="13">
        <v>56</v>
      </c>
      <c r="B108" s="42">
        <v>9618</v>
      </c>
      <c r="C108" s="36" t="s">
        <v>274</v>
      </c>
      <c r="D108" s="33">
        <v>43990</v>
      </c>
      <c r="E108" s="33">
        <v>44000</v>
      </c>
      <c r="F108" s="25" t="s">
        <v>156</v>
      </c>
      <c r="G108" s="25" t="s">
        <v>157</v>
      </c>
      <c r="H108" s="25" t="s">
        <v>20</v>
      </c>
      <c r="I108" s="18">
        <v>3606960000</v>
      </c>
      <c r="J108" s="26">
        <v>226</v>
      </c>
      <c r="K108" s="20" t="s">
        <v>68</v>
      </c>
    </row>
    <row r="109" spans="1:12" s="13" customFormat="1">
      <c r="B109" s="42" t="s">
        <v>9</v>
      </c>
      <c r="C109" s="14" t="s">
        <v>9</v>
      </c>
      <c r="D109" s="33" t="s">
        <v>9</v>
      </c>
      <c r="E109" s="33" t="s">
        <v>9</v>
      </c>
      <c r="F109" s="14" t="s">
        <v>9</v>
      </c>
      <c r="G109" s="14" t="s">
        <v>9</v>
      </c>
      <c r="H109" s="14" t="s">
        <v>9</v>
      </c>
      <c r="I109" s="18">
        <v>30951174600</v>
      </c>
      <c r="J109" s="26">
        <v>226</v>
      </c>
      <c r="K109" s="20" t="s">
        <v>10</v>
      </c>
    </row>
    <row r="110" spans="1:12" s="13" customFormat="1" ht="30">
      <c r="A110" s="13">
        <v>57</v>
      </c>
      <c r="B110" s="42">
        <v>9958</v>
      </c>
      <c r="C110" s="36" t="s">
        <v>158</v>
      </c>
      <c r="D110" s="33">
        <v>43992</v>
      </c>
      <c r="E110" s="33">
        <v>44004</v>
      </c>
      <c r="F110" s="14" t="s">
        <v>228</v>
      </c>
      <c r="G110" s="25" t="s">
        <v>159</v>
      </c>
      <c r="H110" s="25" t="s">
        <v>134</v>
      </c>
      <c r="I110" s="18">
        <v>19200000</v>
      </c>
      <c r="J110" s="26">
        <v>2.56</v>
      </c>
      <c r="K110" s="20" t="s">
        <v>68</v>
      </c>
    </row>
    <row r="111" spans="1:12" s="13" customFormat="1">
      <c r="B111" s="42" t="s">
        <v>9</v>
      </c>
      <c r="C111" s="14" t="s">
        <v>9</v>
      </c>
      <c r="D111" s="33" t="s">
        <v>9</v>
      </c>
      <c r="E111" s="33" t="s">
        <v>9</v>
      </c>
      <c r="F111" s="14" t="s">
        <v>9</v>
      </c>
      <c r="G111" s="14" t="s">
        <v>9</v>
      </c>
      <c r="H111" s="14" t="s">
        <v>9</v>
      </c>
      <c r="I111" s="18">
        <v>172800000</v>
      </c>
      <c r="J111" s="26">
        <v>2.56</v>
      </c>
      <c r="K111" s="20" t="s">
        <v>10</v>
      </c>
    </row>
    <row r="112" spans="1:12" s="13" customFormat="1" ht="30">
      <c r="A112" s="13">
        <v>58</v>
      </c>
      <c r="B112" s="42">
        <v>6078</v>
      </c>
      <c r="C112" s="36" t="s">
        <v>160</v>
      </c>
      <c r="D112" s="33">
        <v>43998</v>
      </c>
      <c r="E112" s="33">
        <v>44011</v>
      </c>
      <c r="F112" s="14" t="s">
        <v>162</v>
      </c>
      <c r="G112" s="25" t="s">
        <v>127</v>
      </c>
      <c r="H112" s="25" t="s">
        <v>134</v>
      </c>
      <c r="I112" s="18">
        <v>1110000000</v>
      </c>
      <c r="J112" s="26">
        <v>18.5</v>
      </c>
      <c r="K112" s="20" t="s">
        <v>68</v>
      </c>
    </row>
    <row r="113" spans="1:11" s="13" customFormat="1">
      <c r="B113" s="42" t="s">
        <v>9</v>
      </c>
      <c r="C113" s="14" t="s">
        <v>9</v>
      </c>
      <c r="D113" s="33" t="s">
        <v>9</v>
      </c>
      <c r="E113" s="33" t="s">
        <v>9</v>
      </c>
      <c r="F113" s="14" t="s">
        <v>9</v>
      </c>
      <c r="G113" s="14" t="s">
        <v>9</v>
      </c>
      <c r="H113" s="14" t="s">
        <v>9</v>
      </c>
      <c r="I113" s="18">
        <v>1443000000</v>
      </c>
      <c r="J113" s="26">
        <v>18.5</v>
      </c>
      <c r="K113" s="20" t="s">
        <v>10</v>
      </c>
    </row>
    <row r="114" spans="1:11" s="13" customFormat="1" ht="60">
      <c r="A114" s="13">
        <v>59</v>
      </c>
      <c r="B114" s="42">
        <v>9997</v>
      </c>
      <c r="C114" s="36" t="s">
        <v>161</v>
      </c>
      <c r="D114" s="33">
        <v>43998</v>
      </c>
      <c r="E114" s="33">
        <v>44011</v>
      </c>
      <c r="F114" s="14" t="s">
        <v>230</v>
      </c>
      <c r="G114" s="14" t="s">
        <v>163</v>
      </c>
      <c r="H114" s="25" t="s">
        <v>134</v>
      </c>
      <c r="I114" s="18">
        <v>1564276000</v>
      </c>
      <c r="J114" s="26">
        <v>13.88</v>
      </c>
      <c r="K114" s="20" t="s">
        <v>68</v>
      </c>
    </row>
    <row r="115" spans="1:11" s="13" customFormat="1">
      <c r="B115" s="42" t="s">
        <v>9</v>
      </c>
      <c r="C115" s="14" t="s">
        <v>9</v>
      </c>
      <c r="D115" s="33" t="s">
        <v>9</v>
      </c>
      <c r="E115" s="33" t="s">
        <v>9</v>
      </c>
      <c r="F115" s="14" t="s">
        <v>9</v>
      </c>
      <c r="G115" s="14" t="s">
        <v>9</v>
      </c>
      <c r="H115" s="14" t="s">
        <v>9</v>
      </c>
      <c r="I115" s="18">
        <v>2033517160</v>
      </c>
      <c r="J115" s="26">
        <v>13.88</v>
      </c>
      <c r="K115" s="20" t="s">
        <v>10</v>
      </c>
    </row>
    <row r="116" spans="1:11" s="13" customFormat="1" ht="30">
      <c r="A116" s="13">
        <v>60</v>
      </c>
      <c r="B116" s="42">
        <v>1650</v>
      </c>
      <c r="C116" s="36" t="s">
        <v>164</v>
      </c>
      <c r="D116" s="33">
        <v>43994</v>
      </c>
      <c r="E116" s="33">
        <v>44015</v>
      </c>
      <c r="F116" s="14" t="s">
        <v>24</v>
      </c>
      <c r="G116" s="25" t="s">
        <v>98</v>
      </c>
      <c r="H116" s="25" t="s">
        <v>134</v>
      </c>
      <c r="I116" s="18">
        <v>25000000</v>
      </c>
      <c r="J116" s="26">
        <v>0.25</v>
      </c>
      <c r="K116" s="20" t="s">
        <v>68</v>
      </c>
    </row>
    <row r="117" spans="1:11" s="13" customFormat="1">
      <c r="B117" s="42" t="s">
        <v>9</v>
      </c>
      <c r="C117" s="14" t="s">
        <v>9</v>
      </c>
      <c r="D117" s="33" t="s">
        <v>9</v>
      </c>
      <c r="E117" s="33" t="s">
        <v>9</v>
      </c>
      <c r="F117" s="14" t="s">
        <v>9</v>
      </c>
      <c r="G117" s="14" t="s">
        <v>9</v>
      </c>
      <c r="H117" s="14" t="s">
        <v>9</v>
      </c>
      <c r="I117" s="18">
        <v>100000000</v>
      </c>
      <c r="J117" s="26">
        <v>0.25</v>
      </c>
      <c r="K117" s="20" t="s">
        <v>10</v>
      </c>
    </row>
    <row r="118" spans="1:11" s="13" customFormat="1" ht="30">
      <c r="A118" s="13">
        <v>61</v>
      </c>
      <c r="B118" s="42">
        <v>1502</v>
      </c>
      <c r="C118" s="36" t="s">
        <v>165</v>
      </c>
      <c r="D118" s="33">
        <v>44001</v>
      </c>
      <c r="E118" s="33">
        <v>44018</v>
      </c>
      <c r="F118" s="14" t="s">
        <v>166</v>
      </c>
      <c r="G118" s="25" t="s">
        <v>127</v>
      </c>
      <c r="H118" s="25" t="s">
        <v>134</v>
      </c>
      <c r="I118" s="18">
        <v>331200000</v>
      </c>
      <c r="J118" s="26">
        <v>7.36</v>
      </c>
      <c r="K118" s="20" t="s">
        <v>68</v>
      </c>
    </row>
    <row r="119" spans="1:11" s="13" customFormat="1">
      <c r="B119" s="42" t="s">
        <v>9</v>
      </c>
      <c r="C119" s="14" t="s">
        <v>9</v>
      </c>
      <c r="D119" s="33" t="s">
        <v>9</v>
      </c>
      <c r="E119" s="33" t="s">
        <v>9</v>
      </c>
      <c r="F119" s="14" t="s">
        <v>9</v>
      </c>
      <c r="G119" s="14" t="s">
        <v>9</v>
      </c>
      <c r="H119" s="14" t="s">
        <v>9</v>
      </c>
      <c r="I119" s="18">
        <v>430560000</v>
      </c>
      <c r="J119" s="26">
        <v>7.36</v>
      </c>
      <c r="K119" s="20" t="s">
        <v>10</v>
      </c>
    </row>
    <row r="120" spans="1:11" s="13" customFormat="1" ht="30">
      <c r="A120" s="13">
        <v>62</v>
      </c>
      <c r="B120" s="42">
        <v>1971</v>
      </c>
      <c r="C120" s="36" t="s">
        <v>167</v>
      </c>
      <c r="D120" s="33">
        <v>44006</v>
      </c>
      <c r="E120" s="33">
        <v>44019</v>
      </c>
      <c r="F120" s="14" t="s">
        <v>168</v>
      </c>
      <c r="G120" s="14" t="s">
        <v>163</v>
      </c>
      <c r="H120" s="25" t="s">
        <v>134</v>
      </c>
      <c r="I120" s="18">
        <v>207500000.00000003</v>
      </c>
      <c r="J120" s="26">
        <v>4.1500000000000004</v>
      </c>
      <c r="K120" s="20" t="s">
        <v>68</v>
      </c>
    </row>
    <row r="121" spans="1:11" s="13" customFormat="1">
      <c r="B121" s="42" t="s">
        <v>9</v>
      </c>
      <c r="C121" s="14" t="s">
        <v>9</v>
      </c>
      <c r="D121" s="33" t="s">
        <v>9</v>
      </c>
      <c r="E121" s="33" t="s">
        <v>9</v>
      </c>
      <c r="F121" s="14" t="s">
        <v>9</v>
      </c>
      <c r="G121" s="14" t="s">
        <v>9</v>
      </c>
      <c r="H121" s="14" t="s">
        <v>9</v>
      </c>
      <c r="I121" s="18">
        <v>269750000</v>
      </c>
      <c r="J121" s="26">
        <v>4.1500000000000004</v>
      </c>
      <c r="K121" s="20" t="s">
        <v>10</v>
      </c>
    </row>
    <row r="122" spans="1:11" s="13" customFormat="1" ht="30">
      <c r="A122" s="13">
        <v>63</v>
      </c>
      <c r="B122" s="42">
        <v>1957</v>
      </c>
      <c r="C122" s="36" t="s">
        <v>169</v>
      </c>
      <c r="D122" s="33">
        <v>44000</v>
      </c>
      <c r="E122" s="33">
        <v>44020</v>
      </c>
      <c r="F122" s="14" t="s">
        <v>171</v>
      </c>
      <c r="G122" s="14" t="s">
        <v>172</v>
      </c>
      <c r="H122" s="25" t="s">
        <v>170</v>
      </c>
      <c r="I122" s="18">
        <v>37680000</v>
      </c>
      <c r="J122" s="26">
        <v>0.8</v>
      </c>
      <c r="K122" s="20" t="s">
        <v>68</v>
      </c>
    </row>
    <row r="123" spans="1:11" s="13" customFormat="1">
      <c r="B123" s="42" t="s">
        <v>9</v>
      </c>
      <c r="C123" s="14" t="s">
        <v>9</v>
      </c>
      <c r="D123" s="33" t="s">
        <v>9</v>
      </c>
      <c r="E123" s="33" t="s">
        <v>9</v>
      </c>
      <c r="F123" s="14" t="s">
        <v>9</v>
      </c>
      <c r="G123" s="14" t="s">
        <v>9</v>
      </c>
      <c r="H123" s="14" t="s">
        <v>9</v>
      </c>
      <c r="I123" s="18">
        <v>87920000</v>
      </c>
      <c r="J123" s="26">
        <v>0.8</v>
      </c>
      <c r="K123" s="20" t="s">
        <v>10</v>
      </c>
    </row>
    <row r="124" spans="1:11" s="13" customFormat="1" ht="45">
      <c r="A124" s="13">
        <v>64</v>
      </c>
      <c r="B124" s="42">
        <v>9989</v>
      </c>
      <c r="C124" s="36" t="s">
        <v>173</v>
      </c>
      <c r="D124" s="33">
        <v>44006</v>
      </c>
      <c r="E124" s="33">
        <v>44020</v>
      </c>
      <c r="F124" s="14" t="s">
        <v>184</v>
      </c>
      <c r="G124" s="14" t="s">
        <v>163</v>
      </c>
      <c r="H124" s="25" t="s">
        <v>134</v>
      </c>
      <c r="I124" s="18">
        <v>1619899199.9999998</v>
      </c>
      <c r="J124" s="26">
        <v>18.399999999999999</v>
      </c>
      <c r="K124" s="20" t="s">
        <v>68</v>
      </c>
    </row>
    <row r="125" spans="1:11" s="13" customFormat="1">
      <c r="B125" s="42" t="s">
        <v>9</v>
      </c>
      <c r="C125" s="14" t="s">
        <v>9</v>
      </c>
      <c r="D125" s="33" t="s">
        <v>9</v>
      </c>
      <c r="E125" s="33" t="s">
        <v>9</v>
      </c>
      <c r="F125" s="14" t="s">
        <v>9</v>
      </c>
      <c r="G125" s="14" t="s">
        <v>9</v>
      </c>
      <c r="H125" s="14" t="s">
        <v>9</v>
      </c>
      <c r="I125" s="18">
        <v>2429839600</v>
      </c>
      <c r="J125" s="26">
        <v>18.399999999999999</v>
      </c>
      <c r="K125" s="20" t="s">
        <v>10</v>
      </c>
    </row>
    <row r="126" spans="1:11" s="13" customFormat="1" ht="45">
      <c r="A126" s="13">
        <v>65</v>
      </c>
      <c r="B126" s="42">
        <v>1163</v>
      </c>
      <c r="C126" s="36" t="s">
        <v>174</v>
      </c>
      <c r="D126" s="33">
        <v>44011</v>
      </c>
      <c r="E126" s="33">
        <v>44022</v>
      </c>
      <c r="F126" s="14" t="s">
        <v>185</v>
      </c>
      <c r="G126" s="14" t="s">
        <v>163</v>
      </c>
      <c r="H126" s="25" t="s">
        <v>134</v>
      </c>
      <c r="I126" s="18">
        <v>12900000</v>
      </c>
      <c r="J126" s="26">
        <v>0.86</v>
      </c>
      <c r="K126" s="20" t="s">
        <v>68</v>
      </c>
    </row>
    <row r="127" spans="1:11" s="13" customFormat="1">
      <c r="B127" s="42" t="s">
        <v>9</v>
      </c>
      <c r="C127" s="14" t="s">
        <v>9</v>
      </c>
      <c r="D127" s="33" t="s">
        <v>9</v>
      </c>
      <c r="E127" s="33" t="s">
        <v>9</v>
      </c>
      <c r="F127" s="14" t="s">
        <v>9</v>
      </c>
      <c r="G127" s="14" t="s">
        <v>9</v>
      </c>
      <c r="H127" s="14" t="s">
        <v>9</v>
      </c>
      <c r="I127" s="18">
        <v>135450000</v>
      </c>
      <c r="J127" s="26">
        <v>0.86</v>
      </c>
      <c r="K127" s="20" t="s">
        <v>10</v>
      </c>
    </row>
    <row r="128" spans="1:11" s="13" customFormat="1" ht="45">
      <c r="A128" s="13">
        <v>66</v>
      </c>
      <c r="B128" s="42">
        <v>9979</v>
      </c>
      <c r="C128" s="37" t="s">
        <v>175</v>
      </c>
      <c r="D128" s="33">
        <v>44011</v>
      </c>
      <c r="E128" s="33">
        <v>44022</v>
      </c>
      <c r="F128" s="14" t="s">
        <v>180</v>
      </c>
      <c r="G128" s="17" t="s">
        <v>65</v>
      </c>
      <c r="H128" s="25" t="s">
        <v>134</v>
      </c>
      <c r="I128" s="18">
        <v>119390000</v>
      </c>
      <c r="J128" s="26">
        <v>2.5</v>
      </c>
      <c r="K128" s="20" t="s">
        <v>68</v>
      </c>
    </row>
    <row r="129" spans="1:11" s="13" customFormat="1">
      <c r="B129" s="42" t="s">
        <v>9</v>
      </c>
      <c r="C129" s="14" t="s">
        <v>9</v>
      </c>
      <c r="D129" s="33" t="s">
        <v>9</v>
      </c>
      <c r="E129" s="33" t="s">
        <v>9</v>
      </c>
      <c r="F129" s="14" t="s">
        <v>9</v>
      </c>
      <c r="G129" s="14" t="s">
        <v>9</v>
      </c>
      <c r="H129" s="14" t="s">
        <v>9</v>
      </c>
      <c r="I129" s="18">
        <v>1193900000</v>
      </c>
      <c r="J129" s="26">
        <v>2.5</v>
      </c>
      <c r="K129" s="20" t="s">
        <v>10</v>
      </c>
    </row>
    <row r="130" spans="1:11" s="13" customFormat="1" ht="60">
      <c r="A130" s="13">
        <v>67</v>
      </c>
      <c r="B130" s="42">
        <v>6978</v>
      </c>
      <c r="C130" s="37" t="s">
        <v>176</v>
      </c>
      <c r="D130" s="33">
        <v>44011</v>
      </c>
      <c r="E130" s="33">
        <v>44022</v>
      </c>
      <c r="F130" s="14" t="s">
        <v>181</v>
      </c>
      <c r="G130" s="17" t="s">
        <v>65</v>
      </c>
      <c r="H130" s="25" t="s">
        <v>134</v>
      </c>
      <c r="I130" s="18">
        <v>550000000</v>
      </c>
      <c r="J130" s="26">
        <v>11</v>
      </c>
      <c r="K130" s="20" t="s">
        <v>68</v>
      </c>
    </row>
    <row r="131" spans="1:11" s="13" customFormat="1">
      <c r="B131" s="42" t="s">
        <v>9</v>
      </c>
      <c r="C131" s="14" t="s">
        <v>9</v>
      </c>
      <c r="D131" s="33" t="s">
        <v>9</v>
      </c>
      <c r="E131" s="33" t="s">
        <v>9</v>
      </c>
      <c r="F131" s="14" t="s">
        <v>9</v>
      </c>
      <c r="G131" s="14" t="s">
        <v>9</v>
      </c>
      <c r="H131" s="14" t="s">
        <v>9</v>
      </c>
      <c r="I131" s="18">
        <v>710424000</v>
      </c>
      <c r="J131" s="26">
        <v>11</v>
      </c>
      <c r="K131" s="20" t="s">
        <v>10</v>
      </c>
    </row>
    <row r="132" spans="1:11" s="13" customFormat="1" ht="45">
      <c r="A132" s="13">
        <v>68</v>
      </c>
      <c r="B132" s="42">
        <v>1477</v>
      </c>
      <c r="C132" s="37" t="s">
        <v>177</v>
      </c>
      <c r="D132" s="33">
        <v>44011</v>
      </c>
      <c r="E132" s="33">
        <v>44022</v>
      </c>
      <c r="F132" s="14" t="s">
        <v>182</v>
      </c>
      <c r="G132" s="17" t="s">
        <v>65</v>
      </c>
      <c r="H132" s="25" t="s">
        <v>134</v>
      </c>
      <c r="I132" s="18">
        <v>776466900</v>
      </c>
      <c r="J132" s="26">
        <v>14.66</v>
      </c>
      <c r="K132" s="20" t="s">
        <v>68</v>
      </c>
    </row>
    <row r="133" spans="1:11" s="13" customFormat="1">
      <c r="B133" s="42" t="s">
        <v>9</v>
      </c>
      <c r="C133" s="14" t="s">
        <v>9</v>
      </c>
      <c r="D133" s="33" t="s">
        <v>9</v>
      </c>
      <c r="E133" s="33" t="s">
        <v>9</v>
      </c>
      <c r="F133" s="14" t="s">
        <v>9</v>
      </c>
      <c r="G133" s="14" t="s">
        <v>9</v>
      </c>
      <c r="H133" s="14" t="s">
        <v>9</v>
      </c>
      <c r="I133" s="18">
        <v>1009406970</v>
      </c>
      <c r="J133" s="26">
        <v>14.66</v>
      </c>
      <c r="K133" s="20" t="s">
        <v>10</v>
      </c>
    </row>
    <row r="134" spans="1:11" s="13" customFormat="1" ht="30">
      <c r="A134" s="13">
        <v>69</v>
      </c>
      <c r="B134" s="42">
        <v>6969</v>
      </c>
      <c r="C134" s="37" t="s">
        <v>178</v>
      </c>
      <c r="D134" s="33">
        <v>44011</v>
      </c>
      <c r="E134" s="33">
        <v>44022</v>
      </c>
      <c r="F134" s="14" t="s">
        <v>183</v>
      </c>
      <c r="G134" s="17" t="s">
        <v>65</v>
      </c>
      <c r="H134" s="25" t="s">
        <v>134</v>
      </c>
      <c r="I134" s="18">
        <v>2635148800</v>
      </c>
      <c r="J134" s="26">
        <v>12.4</v>
      </c>
      <c r="K134" s="20" t="s">
        <v>68</v>
      </c>
    </row>
    <row r="135" spans="1:11" s="13" customFormat="1">
      <c r="B135" s="42" t="s">
        <v>9</v>
      </c>
      <c r="C135" s="14" t="s">
        <v>9</v>
      </c>
      <c r="D135" s="33" t="s">
        <v>9</v>
      </c>
      <c r="E135" s="33" t="s">
        <v>9</v>
      </c>
      <c r="F135" s="14" t="s">
        <v>9</v>
      </c>
      <c r="G135" s="14" t="s">
        <v>9</v>
      </c>
      <c r="H135" s="14" t="s">
        <v>9</v>
      </c>
      <c r="I135" s="18">
        <v>5555100800</v>
      </c>
      <c r="J135" s="26">
        <v>12.4</v>
      </c>
      <c r="K135" s="20" t="s">
        <v>10</v>
      </c>
    </row>
    <row r="136" spans="1:11" s="13" customFormat="1" ht="30">
      <c r="A136" s="13">
        <v>70</v>
      </c>
      <c r="B136" s="42">
        <v>6958</v>
      </c>
      <c r="C136" s="37" t="s">
        <v>179</v>
      </c>
      <c r="D136" s="33">
        <v>44011</v>
      </c>
      <c r="E136" s="33">
        <v>44022</v>
      </c>
      <c r="F136" s="14" t="s">
        <v>57</v>
      </c>
      <c r="G136" s="14" t="s">
        <v>163</v>
      </c>
      <c r="H136" s="25" t="s">
        <v>134</v>
      </c>
      <c r="I136" s="18">
        <v>568750000</v>
      </c>
      <c r="J136" s="26">
        <v>4.55</v>
      </c>
      <c r="K136" s="20" t="s">
        <v>68</v>
      </c>
    </row>
    <row r="137" spans="1:11" s="13" customFormat="1">
      <c r="B137" s="48" t="s">
        <v>9</v>
      </c>
      <c r="C137" s="23" t="s">
        <v>9</v>
      </c>
      <c r="D137" s="33" t="s">
        <v>9</v>
      </c>
      <c r="E137" s="33" t="s">
        <v>9</v>
      </c>
      <c r="F137" s="23" t="s">
        <v>9</v>
      </c>
      <c r="G137" s="23" t="s">
        <v>9</v>
      </c>
      <c r="H137" s="23" t="s">
        <v>9</v>
      </c>
      <c r="I137" s="22">
        <v>739375000</v>
      </c>
      <c r="J137" s="26">
        <v>4.55</v>
      </c>
      <c r="K137" s="27" t="s">
        <v>10</v>
      </c>
    </row>
    <row r="138" spans="1:11" s="13" customFormat="1" ht="66.75" customHeight="1">
      <c r="A138" s="13">
        <v>71</v>
      </c>
      <c r="B138" s="48">
        <v>9906</v>
      </c>
      <c r="C138" s="35" t="s">
        <v>186</v>
      </c>
      <c r="D138" s="33">
        <v>44006</v>
      </c>
      <c r="E138" s="33">
        <v>44025</v>
      </c>
      <c r="F138" s="23" t="s">
        <v>187</v>
      </c>
      <c r="G138" s="25" t="s">
        <v>98</v>
      </c>
      <c r="H138" s="23" t="s">
        <v>93</v>
      </c>
      <c r="I138" s="22">
        <v>31500000</v>
      </c>
      <c r="J138" s="26">
        <v>2.1</v>
      </c>
      <c r="K138" s="27" t="s">
        <v>68</v>
      </c>
    </row>
    <row r="139" spans="1:11" s="13" customFormat="1">
      <c r="B139" s="48" t="s">
        <v>9</v>
      </c>
      <c r="C139" s="23" t="s">
        <v>9</v>
      </c>
      <c r="D139" s="33" t="s">
        <v>9</v>
      </c>
      <c r="E139" s="33" t="s">
        <v>9</v>
      </c>
      <c r="F139" s="23" t="s">
        <v>9</v>
      </c>
      <c r="G139" s="23" t="s">
        <v>9</v>
      </c>
      <c r="H139" s="23" t="s">
        <v>9</v>
      </c>
      <c r="I139" s="22">
        <v>283500000</v>
      </c>
      <c r="J139" s="26">
        <v>2.1</v>
      </c>
      <c r="K139" s="27" t="s">
        <v>10</v>
      </c>
    </row>
    <row r="140" spans="1:11" s="13" customFormat="1" ht="45">
      <c r="A140" s="13">
        <v>72</v>
      </c>
      <c r="B140" s="48">
        <v>9990</v>
      </c>
      <c r="C140" s="35" t="s">
        <v>189</v>
      </c>
      <c r="D140" s="33">
        <v>44012</v>
      </c>
      <c r="E140" s="33">
        <v>44027</v>
      </c>
      <c r="F140" s="23" t="s">
        <v>196</v>
      </c>
      <c r="G140" s="25" t="s">
        <v>98</v>
      </c>
      <c r="H140" s="25" t="s">
        <v>134</v>
      </c>
      <c r="I140" s="22">
        <v>1086920000</v>
      </c>
      <c r="J140" s="26">
        <v>11.6</v>
      </c>
      <c r="K140" s="27" t="s">
        <v>68</v>
      </c>
    </row>
    <row r="141" spans="1:11" s="13" customFormat="1">
      <c r="B141" s="48" t="s">
        <v>9</v>
      </c>
      <c r="C141" s="39" t="s">
        <v>9</v>
      </c>
      <c r="D141" s="33" t="s">
        <v>9</v>
      </c>
      <c r="E141" s="33" t="s">
        <v>9</v>
      </c>
      <c r="F141" s="23" t="s">
        <v>9</v>
      </c>
      <c r="G141" s="23" t="s">
        <v>9</v>
      </c>
      <c r="H141" s="23" t="s">
        <v>9</v>
      </c>
      <c r="I141" s="22">
        <v>1412996000</v>
      </c>
      <c r="J141" s="26">
        <v>11.6</v>
      </c>
      <c r="K141" s="27" t="s">
        <v>10</v>
      </c>
    </row>
    <row r="142" spans="1:11" s="13" customFormat="1" ht="45">
      <c r="A142" s="13">
        <v>73</v>
      </c>
      <c r="B142" s="40">
        <v>1981</v>
      </c>
      <c r="C142" s="35" t="s">
        <v>190</v>
      </c>
      <c r="D142" s="33">
        <v>44012</v>
      </c>
      <c r="E142" s="33">
        <v>44027</v>
      </c>
      <c r="F142" s="23" t="s">
        <v>194</v>
      </c>
      <c r="G142" s="25" t="s">
        <v>98</v>
      </c>
      <c r="H142" s="23" t="s">
        <v>29</v>
      </c>
      <c r="I142" s="22">
        <v>372000000</v>
      </c>
      <c r="J142" s="26">
        <v>3.1</v>
      </c>
      <c r="K142" s="27" t="s">
        <v>68</v>
      </c>
    </row>
    <row r="143" spans="1:11" s="13" customFormat="1">
      <c r="B143" s="48" t="s">
        <v>9</v>
      </c>
      <c r="C143" s="39" t="s">
        <v>9</v>
      </c>
      <c r="D143" s="33" t="s">
        <v>9</v>
      </c>
      <c r="E143" s="33" t="s">
        <v>9</v>
      </c>
      <c r="F143" s="23" t="s">
        <v>9</v>
      </c>
      <c r="G143" s="23" t="s">
        <v>9</v>
      </c>
      <c r="H143" s="23" t="s">
        <v>9</v>
      </c>
      <c r="I143" s="22">
        <v>1054000000</v>
      </c>
      <c r="J143" s="26">
        <v>3.1</v>
      </c>
      <c r="K143" s="27" t="s">
        <v>10</v>
      </c>
    </row>
    <row r="144" spans="1:11" s="13" customFormat="1" ht="45">
      <c r="A144" s="13">
        <v>74</v>
      </c>
      <c r="B144" s="40">
        <v>1156</v>
      </c>
      <c r="C144" s="35" t="s">
        <v>188</v>
      </c>
      <c r="D144" s="33">
        <v>44012</v>
      </c>
      <c r="E144" s="33">
        <v>44027</v>
      </c>
      <c r="F144" s="23" t="s">
        <v>37</v>
      </c>
      <c r="G144" s="25" t="s">
        <v>98</v>
      </c>
      <c r="H144" s="25" t="s">
        <v>134</v>
      </c>
      <c r="I144" s="22">
        <v>8094800</v>
      </c>
      <c r="J144" s="26">
        <v>0.98</v>
      </c>
      <c r="K144" s="27" t="s">
        <v>68</v>
      </c>
    </row>
    <row r="145" spans="1:11" s="13" customFormat="1">
      <c r="B145" s="48" t="s">
        <v>9</v>
      </c>
      <c r="C145" s="39" t="s">
        <v>9</v>
      </c>
      <c r="D145" s="33" t="s">
        <v>9</v>
      </c>
      <c r="E145" s="33" t="s">
        <v>9</v>
      </c>
      <c r="F145" s="23" t="s">
        <v>9</v>
      </c>
      <c r="G145" s="23" t="s">
        <v>9</v>
      </c>
      <c r="H145" s="23" t="s">
        <v>9</v>
      </c>
      <c r="I145" s="22">
        <v>72853200</v>
      </c>
      <c r="J145" s="26">
        <v>0.98</v>
      </c>
      <c r="K145" s="27" t="s">
        <v>10</v>
      </c>
    </row>
    <row r="146" spans="1:11" s="13" customFormat="1" ht="45">
      <c r="A146" s="13">
        <v>75</v>
      </c>
      <c r="B146" s="40">
        <v>9986</v>
      </c>
      <c r="C146" s="35" t="s">
        <v>191</v>
      </c>
      <c r="D146" s="33">
        <v>44012</v>
      </c>
      <c r="E146" s="33">
        <v>44027</v>
      </c>
      <c r="F146" s="23" t="s">
        <v>89</v>
      </c>
      <c r="G146" s="25" t="s">
        <v>65</v>
      </c>
      <c r="H146" s="23" t="s">
        <v>195</v>
      </c>
      <c r="I146" s="22">
        <v>25000000</v>
      </c>
      <c r="J146" s="26">
        <v>1.25</v>
      </c>
      <c r="K146" s="27" t="s">
        <v>68</v>
      </c>
    </row>
    <row r="147" spans="1:11" s="13" customFormat="1">
      <c r="B147" s="48" t="s">
        <v>9</v>
      </c>
      <c r="C147" s="23" t="s">
        <v>9</v>
      </c>
      <c r="D147" s="33" t="s">
        <v>9</v>
      </c>
      <c r="E147" s="33" t="s">
        <v>9</v>
      </c>
      <c r="F147" s="23" t="s">
        <v>9</v>
      </c>
      <c r="G147" s="23" t="s">
        <v>9</v>
      </c>
      <c r="H147" s="23" t="s">
        <v>9</v>
      </c>
      <c r="I147" s="22">
        <v>225000000</v>
      </c>
      <c r="J147" s="26">
        <v>1.25</v>
      </c>
      <c r="K147" s="27" t="s">
        <v>10</v>
      </c>
    </row>
    <row r="148" spans="1:11" s="13" customFormat="1" ht="45">
      <c r="A148" s="13">
        <v>76</v>
      </c>
      <c r="B148" s="40">
        <v>6968</v>
      </c>
      <c r="C148" s="35" t="s">
        <v>192</v>
      </c>
      <c r="D148" s="33">
        <v>44011</v>
      </c>
      <c r="E148" s="33">
        <v>44027</v>
      </c>
      <c r="F148" s="23" t="s">
        <v>18</v>
      </c>
      <c r="G148" s="25" t="s">
        <v>98</v>
      </c>
      <c r="H148" s="23" t="s">
        <v>29</v>
      </c>
      <c r="I148" s="22">
        <v>43674090</v>
      </c>
      <c r="J148" s="26">
        <v>3.93</v>
      </c>
      <c r="K148" s="27" t="s">
        <v>68</v>
      </c>
    </row>
    <row r="149" spans="1:11" s="13" customFormat="1">
      <c r="B149" s="48" t="s">
        <v>9</v>
      </c>
      <c r="C149" s="39" t="s">
        <v>9</v>
      </c>
      <c r="D149" s="33" t="s">
        <v>9</v>
      </c>
      <c r="E149" s="33" t="s">
        <v>9</v>
      </c>
      <c r="F149" s="23" t="s">
        <v>9</v>
      </c>
      <c r="G149" s="23" t="s">
        <v>9</v>
      </c>
      <c r="H149" s="23" t="s">
        <v>9</v>
      </c>
      <c r="I149" s="22">
        <v>1648654650</v>
      </c>
      <c r="J149" s="26">
        <v>3.93</v>
      </c>
      <c r="K149" s="27" t="s">
        <v>10</v>
      </c>
    </row>
    <row r="150" spans="1:11" s="13" customFormat="1" ht="45">
      <c r="A150" s="13">
        <v>77</v>
      </c>
      <c r="B150" s="40">
        <v>6933</v>
      </c>
      <c r="C150" s="35" t="s">
        <v>193</v>
      </c>
      <c r="D150" s="33">
        <v>44012</v>
      </c>
      <c r="E150" s="33">
        <v>44027</v>
      </c>
      <c r="F150" s="23" t="s">
        <v>18</v>
      </c>
      <c r="G150" s="25" t="s">
        <v>65</v>
      </c>
      <c r="H150" s="25" t="s">
        <v>134</v>
      </c>
      <c r="I150" s="22">
        <v>16299999.999999998</v>
      </c>
      <c r="J150" s="26">
        <v>1.63</v>
      </c>
      <c r="K150" s="27" t="s">
        <v>68</v>
      </c>
    </row>
    <row r="151" spans="1:11" s="13" customFormat="1">
      <c r="B151" s="48" t="s">
        <v>9</v>
      </c>
      <c r="C151" s="39" t="s">
        <v>9</v>
      </c>
      <c r="D151" s="33" t="s">
        <v>9</v>
      </c>
      <c r="E151" s="33" t="s">
        <v>9</v>
      </c>
      <c r="F151" s="23" t="s">
        <v>9</v>
      </c>
      <c r="G151" s="23" t="s">
        <v>9</v>
      </c>
      <c r="H151" s="23" t="s">
        <v>9</v>
      </c>
      <c r="I151" s="22">
        <v>146700000</v>
      </c>
      <c r="J151" s="26">
        <v>1.63</v>
      </c>
      <c r="K151" s="27" t="s">
        <v>10</v>
      </c>
    </row>
    <row r="152" spans="1:11" s="13" customFormat="1" ht="83.25" customHeight="1">
      <c r="A152" s="13">
        <v>78</v>
      </c>
      <c r="B152" s="40">
        <v>9668</v>
      </c>
      <c r="C152" s="35" t="s">
        <v>197</v>
      </c>
      <c r="D152" s="33">
        <v>44012</v>
      </c>
      <c r="E152" s="33">
        <v>44028</v>
      </c>
      <c r="F152" s="23" t="s">
        <v>203</v>
      </c>
      <c r="G152" s="25" t="s">
        <v>159</v>
      </c>
      <c r="H152" s="25" t="s">
        <v>20</v>
      </c>
      <c r="I152" s="22">
        <v>406608000</v>
      </c>
      <c r="J152" s="26">
        <v>4.8</v>
      </c>
      <c r="K152" s="27" t="s">
        <v>68</v>
      </c>
    </row>
    <row r="153" spans="1:11" s="13" customFormat="1">
      <c r="B153" s="48" t="s">
        <v>9</v>
      </c>
      <c r="C153" s="39" t="s">
        <v>9</v>
      </c>
      <c r="D153" s="33" t="s">
        <v>9</v>
      </c>
      <c r="E153" s="33" t="s">
        <v>9</v>
      </c>
      <c r="F153" s="23" t="s">
        <v>9</v>
      </c>
      <c r="G153" s="23" t="s">
        <v>9</v>
      </c>
      <c r="H153" s="23" t="s">
        <v>9</v>
      </c>
      <c r="I153" s="22">
        <v>15490992000</v>
      </c>
      <c r="J153" s="26">
        <v>4.8</v>
      </c>
      <c r="K153" s="27" t="s">
        <v>10</v>
      </c>
    </row>
    <row r="154" spans="1:11" s="13" customFormat="1" ht="45">
      <c r="A154" s="13">
        <v>79</v>
      </c>
      <c r="B154" s="40">
        <v>9908</v>
      </c>
      <c r="C154" s="35" t="s">
        <v>198</v>
      </c>
      <c r="D154" s="33">
        <v>44012</v>
      </c>
      <c r="E154" s="33">
        <v>44028</v>
      </c>
      <c r="F154" s="23" t="s">
        <v>200</v>
      </c>
      <c r="G154" s="23" t="s">
        <v>163</v>
      </c>
      <c r="H154" s="23" t="s">
        <v>195</v>
      </c>
      <c r="I154" s="22">
        <v>33340000</v>
      </c>
      <c r="J154" s="26">
        <v>10</v>
      </c>
      <c r="K154" s="27" t="s">
        <v>68</v>
      </c>
    </row>
    <row r="155" spans="1:11" s="13" customFormat="1">
      <c r="B155" s="48" t="s">
        <v>9</v>
      </c>
      <c r="C155" s="39" t="s">
        <v>9</v>
      </c>
      <c r="D155" s="33" t="s">
        <v>9</v>
      </c>
      <c r="E155" s="33" t="s">
        <v>9</v>
      </c>
      <c r="F155" s="23" t="s">
        <v>9</v>
      </c>
      <c r="G155" s="23" t="s">
        <v>9</v>
      </c>
      <c r="H155" s="23" t="s">
        <v>9</v>
      </c>
      <c r="I155" s="22">
        <v>345105000</v>
      </c>
      <c r="J155" s="26">
        <v>10</v>
      </c>
      <c r="K155" s="27" t="s">
        <v>10</v>
      </c>
    </row>
    <row r="156" spans="1:11" s="13" customFormat="1" ht="60">
      <c r="A156" s="13">
        <v>80</v>
      </c>
      <c r="B156" s="40">
        <v>9977</v>
      </c>
      <c r="C156" s="35" t="s">
        <v>199</v>
      </c>
      <c r="D156" s="33">
        <v>44012</v>
      </c>
      <c r="E156" s="33">
        <v>44028</v>
      </c>
      <c r="F156" s="23" t="s">
        <v>201</v>
      </c>
      <c r="G156" s="25" t="s">
        <v>202</v>
      </c>
      <c r="H156" s="25" t="s">
        <v>93</v>
      </c>
      <c r="I156" s="22">
        <v>118215000</v>
      </c>
      <c r="J156" s="26">
        <v>3.33</v>
      </c>
      <c r="K156" s="27" t="s">
        <v>68</v>
      </c>
    </row>
    <row r="157" spans="1:11" s="13" customFormat="1">
      <c r="B157" s="48" t="s">
        <v>9</v>
      </c>
      <c r="C157" s="39" t="s">
        <v>9</v>
      </c>
      <c r="D157" s="33" t="s">
        <v>9</v>
      </c>
      <c r="E157" s="33" t="s">
        <v>9</v>
      </c>
      <c r="F157" s="23" t="s">
        <v>9</v>
      </c>
      <c r="G157" s="23" t="s">
        <v>9</v>
      </c>
      <c r="H157" s="23" t="s">
        <v>9</v>
      </c>
      <c r="I157" s="22">
        <v>1063935000</v>
      </c>
      <c r="J157" s="26">
        <v>3.33</v>
      </c>
      <c r="K157" s="27" t="s">
        <v>10</v>
      </c>
    </row>
    <row r="158" spans="1:11" s="13" customFormat="1" ht="30" customHeight="1">
      <c r="A158" s="13">
        <v>81</v>
      </c>
      <c r="B158" s="48">
        <v>368</v>
      </c>
      <c r="C158" s="35" t="s">
        <v>205</v>
      </c>
      <c r="D158" s="33">
        <v>44012</v>
      </c>
      <c r="E158" s="33">
        <v>44029</v>
      </c>
      <c r="F158" s="23" t="s">
        <v>204</v>
      </c>
      <c r="G158" s="25" t="s">
        <v>127</v>
      </c>
      <c r="H158" s="25" t="s">
        <v>134</v>
      </c>
      <c r="I158" s="22">
        <v>12600000</v>
      </c>
      <c r="J158" s="26">
        <v>0.63</v>
      </c>
      <c r="K158" s="27" t="s">
        <v>68</v>
      </c>
    </row>
    <row r="159" spans="1:11" s="13" customFormat="1">
      <c r="B159" s="42" t="s">
        <v>9</v>
      </c>
      <c r="C159" s="38" t="s">
        <v>9</v>
      </c>
      <c r="D159" s="33" t="s">
        <v>9</v>
      </c>
      <c r="E159" s="33" t="s">
        <v>9</v>
      </c>
      <c r="F159" s="14" t="s">
        <v>9</v>
      </c>
      <c r="G159" s="14" t="s">
        <v>9</v>
      </c>
      <c r="H159" s="14" t="s">
        <v>9</v>
      </c>
      <c r="I159" s="18">
        <v>113400000</v>
      </c>
      <c r="J159" s="26">
        <v>0.63</v>
      </c>
      <c r="K159" s="20" t="s">
        <v>10</v>
      </c>
    </row>
    <row r="160" spans="1:11" ht="45">
      <c r="A160" s="21">
        <v>82</v>
      </c>
      <c r="B160" s="42">
        <v>1449</v>
      </c>
      <c r="C160" s="36" t="s">
        <v>206</v>
      </c>
      <c r="D160" s="33">
        <v>44039</v>
      </c>
      <c r="E160" s="33">
        <v>44049</v>
      </c>
      <c r="F160" s="14" t="s">
        <v>207</v>
      </c>
      <c r="G160" s="14" t="s">
        <v>163</v>
      </c>
      <c r="H160" s="14" t="s">
        <v>29</v>
      </c>
      <c r="I160" s="18">
        <v>105004200</v>
      </c>
      <c r="J160" s="26">
        <v>2.1</v>
      </c>
      <c r="K160" s="20" t="s">
        <v>68</v>
      </c>
    </row>
    <row r="161" spans="1:20">
      <c r="B161" s="42" t="s">
        <v>9</v>
      </c>
      <c r="C161" s="38" t="s">
        <v>9</v>
      </c>
      <c r="D161" s="33" t="s">
        <v>9</v>
      </c>
      <c r="E161" s="33" t="s">
        <v>9</v>
      </c>
      <c r="F161" s="14" t="s">
        <v>9</v>
      </c>
      <c r="G161" s="14" t="s">
        <v>9</v>
      </c>
      <c r="H161" s="14" t="s">
        <v>9</v>
      </c>
      <c r="I161" s="18">
        <v>263896500</v>
      </c>
      <c r="J161" s="26">
        <v>2.1</v>
      </c>
      <c r="K161" s="20" t="s">
        <v>10</v>
      </c>
    </row>
    <row r="162" spans="1:20" s="21" customFormat="1" ht="99.75" customHeight="1">
      <c r="A162" s="21">
        <v>83</v>
      </c>
      <c r="B162" s="42">
        <v>3347</v>
      </c>
      <c r="C162" s="15" t="s">
        <v>208</v>
      </c>
      <c r="D162" s="33">
        <v>44040</v>
      </c>
      <c r="E162" s="33">
        <v>44050</v>
      </c>
      <c r="F162" s="17" t="s">
        <v>221</v>
      </c>
      <c r="G162" s="17" t="s">
        <v>209</v>
      </c>
      <c r="H162" s="25" t="s">
        <v>134</v>
      </c>
      <c r="I162" s="18">
        <v>2301900000</v>
      </c>
      <c r="J162" s="19">
        <v>100</v>
      </c>
      <c r="K162" s="20" t="s">
        <v>68</v>
      </c>
    </row>
    <row r="163" spans="1:20" s="21" customFormat="1">
      <c r="B163" s="42" t="s">
        <v>9</v>
      </c>
      <c r="C163" s="38" t="s">
        <v>9</v>
      </c>
      <c r="D163" s="33" t="s">
        <v>9</v>
      </c>
      <c r="E163" s="33" t="s">
        <v>9</v>
      </c>
      <c r="F163" s="14" t="s">
        <v>9</v>
      </c>
      <c r="G163" s="14" t="s">
        <v>9</v>
      </c>
      <c r="H163" s="14" t="s">
        <v>9</v>
      </c>
      <c r="I163" s="18">
        <v>10010580000</v>
      </c>
      <c r="J163" s="19">
        <v>100</v>
      </c>
      <c r="K163" s="20" t="s">
        <v>10</v>
      </c>
    </row>
    <row r="164" spans="1:20" s="21" customFormat="1" ht="30" customHeight="1">
      <c r="A164" s="21">
        <v>84</v>
      </c>
      <c r="B164" s="42">
        <v>9913</v>
      </c>
      <c r="C164" s="15" t="s">
        <v>210</v>
      </c>
      <c r="D164" s="33">
        <v>44042</v>
      </c>
      <c r="E164" s="33">
        <v>44057</v>
      </c>
      <c r="F164" s="17" t="s">
        <v>211</v>
      </c>
      <c r="G164" s="25" t="s">
        <v>127</v>
      </c>
      <c r="H164" s="25" t="s">
        <v>134</v>
      </c>
      <c r="I164" s="18">
        <v>39000000</v>
      </c>
      <c r="J164" s="19">
        <v>0.52</v>
      </c>
      <c r="K164" s="20" t="s">
        <v>68</v>
      </c>
    </row>
    <row r="165" spans="1:20" s="21" customFormat="1">
      <c r="B165" s="42" t="s">
        <v>9</v>
      </c>
      <c r="C165" s="38" t="s">
        <v>9</v>
      </c>
      <c r="D165" s="33" t="s">
        <v>9</v>
      </c>
      <c r="E165" s="33" t="s">
        <v>9</v>
      </c>
      <c r="F165" s="14" t="s">
        <v>9</v>
      </c>
      <c r="G165" s="14" t="s">
        <v>9</v>
      </c>
      <c r="H165" s="14" t="s">
        <v>9</v>
      </c>
      <c r="I165" s="18">
        <v>91000000</v>
      </c>
      <c r="J165" s="19">
        <v>0.52</v>
      </c>
      <c r="K165" s="20" t="s">
        <v>10</v>
      </c>
    </row>
    <row r="166" spans="1:20" s="21" customFormat="1" ht="83.25" customHeight="1">
      <c r="A166" s="21">
        <v>85</v>
      </c>
      <c r="B166" s="42">
        <v>9633</v>
      </c>
      <c r="C166" s="15" t="s">
        <v>213</v>
      </c>
      <c r="D166" s="33">
        <v>44068</v>
      </c>
      <c r="E166" s="33">
        <v>44082</v>
      </c>
      <c r="F166" s="17" t="s">
        <v>212</v>
      </c>
      <c r="G166" s="17" t="s">
        <v>12</v>
      </c>
      <c r="H166" s="25" t="s">
        <v>134</v>
      </c>
      <c r="I166" s="18">
        <v>2253685900</v>
      </c>
      <c r="J166" s="19">
        <v>21.5</v>
      </c>
      <c r="K166" s="20" t="s">
        <v>68</v>
      </c>
    </row>
    <row r="167" spans="1:20" s="21" customFormat="1">
      <c r="B167" s="42" t="s">
        <v>9</v>
      </c>
      <c r="C167" s="38" t="s">
        <v>9</v>
      </c>
      <c r="D167" s="33" t="s">
        <v>9</v>
      </c>
      <c r="E167" s="33" t="s">
        <v>9</v>
      </c>
      <c r="F167" s="14" t="s">
        <v>9</v>
      </c>
      <c r="G167" s="14" t="s">
        <v>9</v>
      </c>
      <c r="H167" s="14" t="s">
        <v>9</v>
      </c>
      <c r="I167" s="18">
        <v>7345341700</v>
      </c>
      <c r="J167" s="19">
        <v>21.5</v>
      </c>
      <c r="K167" s="20" t="s">
        <v>10</v>
      </c>
    </row>
    <row r="168" spans="1:20" s="21" customFormat="1" ht="30" customHeight="1">
      <c r="A168" s="21">
        <v>86</v>
      </c>
      <c r="B168" s="42">
        <v>9987</v>
      </c>
      <c r="C168" s="15" t="s">
        <v>275</v>
      </c>
      <c r="D168" s="33">
        <v>44075</v>
      </c>
      <c r="E168" s="33">
        <v>44084</v>
      </c>
      <c r="F168" s="17" t="s">
        <v>215</v>
      </c>
      <c r="G168" s="25" t="s">
        <v>159</v>
      </c>
      <c r="H168" s="25" t="s">
        <v>134</v>
      </c>
      <c r="I168" s="18">
        <v>2849103600</v>
      </c>
      <c r="J168" s="19">
        <v>412</v>
      </c>
      <c r="K168" s="20" t="s">
        <v>68</v>
      </c>
    </row>
    <row r="169" spans="1:20">
      <c r="A169" s="4"/>
      <c r="B169" s="42" t="s">
        <v>9</v>
      </c>
      <c r="C169" s="38" t="s">
        <v>9</v>
      </c>
      <c r="D169" s="33" t="s">
        <v>9</v>
      </c>
      <c r="E169" s="33" t="s">
        <v>9</v>
      </c>
      <c r="F169" s="14" t="s">
        <v>9</v>
      </c>
      <c r="G169" s="14" t="s">
        <v>9</v>
      </c>
      <c r="H169" s="14" t="s">
        <v>9</v>
      </c>
      <c r="I169" s="18">
        <v>14418104800</v>
      </c>
      <c r="J169" s="19">
        <v>412</v>
      </c>
      <c r="K169" s="20" t="s">
        <v>10</v>
      </c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1:20" ht="30">
      <c r="A170" s="21">
        <v>87</v>
      </c>
      <c r="B170" s="42">
        <v>1408</v>
      </c>
      <c r="C170" s="15" t="s">
        <v>216</v>
      </c>
      <c r="D170" s="33">
        <v>44074</v>
      </c>
      <c r="E170" s="33">
        <v>44085</v>
      </c>
      <c r="F170" s="17" t="s">
        <v>217</v>
      </c>
      <c r="G170" s="17" t="s">
        <v>218</v>
      </c>
      <c r="H170" s="25" t="s">
        <v>72</v>
      </c>
      <c r="I170" s="18">
        <v>12500000</v>
      </c>
      <c r="J170" s="19">
        <v>1</v>
      </c>
      <c r="K170" s="20" t="s">
        <v>68</v>
      </c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1:20">
      <c r="A171" s="4"/>
      <c r="B171" s="42" t="s">
        <v>9</v>
      </c>
      <c r="C171" s="38" t="s">
        <v>9</v>
      </c>
      <c r="D171" s="33" t="s">
        <v>9</v>
      </c>
      <c r="E171" s="33" t="s">
        <v>9</v>
      </c>
      <c r="F171" s="14" t="s">
        <v>9</v>
      </c>
      <c r="G171" s="14" t="s">
        <v>9</v>
      </c>
      <c r="H171" s="14" t="s">
        <v>9</v>
      </c>
      <c r="I171" s="18">
        <v>112500000</v>
      </c>
      <c r="J171" s="19">
        <v>1</v>
      </c>
      <c r="K171" s="20" t="s">
        <v>10</v>
      </c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1:20" ht="45">
      <c r="A172" s="21">
        <v>88</v>
      </c>
      <c r="B172" s="42">
        <v>1455</v>
      </c>
      <c r="C172" s="15" t="s">
        <v>219</v>
      </c>
      <c r="D172" s="33">
        <v>44074</v>
      </c>
      <c r="E172" s="33">
        <v>44089</v>
      </c>
      <c r="F172" s="17" t="s">
        <v>217</v>
      </c>
      <c r="G172" s="17" t="s">
        <v>98</v>
      </c>
      <c r="H172" s="25" t="s">
        <v>125</v>
      </c>
      <c r="I172" s="18">
        <v>12500000</v>
      </c>
      <c r="J172" s="19">
        <v>0.4</v>
      </c>
      <c r="K172" s="20" t="s">
        <v>68</v>
      </c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1:20">
      <c r="A173" s="4"/>
      <c r="B173" s="42" t="s">
        <v>9</v>
      </c>
      <c r="C173" s="38" t="s">
        <v>9</v>
      </c>
      <c r="D173" s="33" t="s">
        <v>9</v>
      </c>
      <c r="E173" s="33" t="s">
        <v>9</v>
      </c>
      <c r="F173" s="14" t="s">
        <v>9</v>
      </c>
      <c r="G173" s="14" t="s">
        <v>9</v>
      </c>
      <c r="H173" s="14" t="s">
        <v>9</v>
      </c>
      <c r="I173" s="18">
        <v>112500000</v>
      </c>
      <c r="J173" s="19">
        <v>0.4</v>
      </c>
      <c r="K173" s="20" t="s">
        <v>10</v>
      </c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1:20" ht="30">
      <c r="A174" s="21">
        <v>89</v>
      </c>
      <c r="B174" s="42">
        <v>2101</v>
      </c>
      <c r="C174" s="15" t="s">
        <v>220</v>
      </c>
      <c r="D174" s="33">
        <v>44081</v>
      </c>
      <c r="E174" s="33">
        <v>44092</v>
      </c>
      <c r="F174" s="17" t="s">
        <v>35</v>
      </c>
      <c r="G174" s="17" t="s">
        <v>12</v>
      </c>
      <c r="H174" s="25" t="s">
        <v>72</v>
      </c>
      <c r="I174" s="18">
        <v>445000000</v>
      </c>
      <c r="J174" s="19">
        <v>8.9</v>
      </c>
      <c r="K174" s="20" t="s">
        <v>68</v>
      </c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1:20">
      <c r="A175" s="4"/>
      <c r="B175" s="40" t="s">
        <v>9</v>
      </c>
      <c r="C175" s="38" t="s">
        <v>9</v>
      </c>
      <c r="D175" s="33" t="s">
        <v>9</v>
      </c>
      <c r="E175" s="33" t="s">
        <v>9</v>
      </c>
      <c r="F175" s="14" t="s">
        <v>9</v>
      </c>
      <c r="G175" s="14" t="s">
        <v>9</v>
      </c>
      <c r="H175" s="14" t="s">
        <v>9</v>
      </c>
      <c r="I175" s="18">
        <v>445000000</v>
      </c>
      <c r="J175" s="19">
        <v>8.9</v>
      </c>
      <c r="K175" s="20" t="s">
        <v>10</v>
      </c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1:20" s="21" customFormat="1" ht="45">
      <c r="A176" s="21">
        <v>90</v>
      </c>
      <c r="B176" s="40">
        <v>1179</v>
      </c>
      <c r="C176" s="15" t="s">
        <v>276</v>
      </c>
      <c r="D176" s="33">
        <v>44085</v>
      </c>
      <c r="E176" s="33">
        <v>44096</v>
      </c>
      <c r="F176" s="17" t="s">
        <v>222</v>
      </c>
      <c r="G176" s="17" t="s">
        <v>218</v>
      </c>
      <c r="H176" s="17" t="s">
        <v>223</v>
      </c>
      <c r="I176" s="18">
        <v>606563100</v>
      </c>
      <c r="J176" s="19">
        <v>297</v>
      </c>
      <c r="K176" s="20" t="s">
        <v>68</v>
      </c>
    </row>
    <row r="177" spans="1:11" s="21" customFormat="1">
      <c r="B177" s="40" t="s">
        <v>9</v>
      </c>
      <c r="C177" s="38" t="s">
        <v>9</v>
      </c>
      <c r="D177" s="33" t="s">
        <v>9</v>
      </c>
      <c r="E177" s="33" t="s">
        <v>9</v>
      </c>
      <c r="F177" s="14" t="s">
        <v>9</v>
      </c>
      <c r="G177" s="14" t="s">
        <v>9</v>
      </c>
      <c r="H177" s="14" t="s">
        <v>9</v>
      </c>
      <c r="I177" s="18">
        <v>6368615550</v>
      </c>
      <c r="J177" s="19">
        <v>297</v>
      </c>
      <c r="K177" s="20" t="s">
        <v>10</v>
      </c>
    </row>
    <row r="178" spans="1:11" s="21" customFormat="1" ht="96.75" customHeight="1">
      <c r="A178" s="21">
        <v>91</v>
      </c>
      <c r="B178" s="42">
        <v>6988</v>
      </c>
      <c r="C178" s="15" t="s">
        <v>224</v>
      </c>
      <c r="D178" s="33">
        <v>44084</v>
      </c>
      <c r="E178" s="33">
        <v>44097</v>
      </c>
      <c r="F178" s="17" t="s">
        <v>225</v>
      </c>
      <c r="G178" s="17" t="s">
        <v>218</v>
      </c>
      <c r="H178" s="25" t="s">
        <v>20</v>
      </c>
      <c r="I178" s="18">
        <v>782928000</v>
      </c>
      <c r="J178" s="19">
        <v>2.88</v>
      </c>
      <c r="K178" s="20" t="s">
        <v>68</v>
      </c>
    </row>
    <row r="179" spans="1:11" s="21" customFormat="1">
      <c r="B179" s="40" t="s">
        <v>9</v>
      </c>
      <c r="C179" s="38" t="s">
        <v>9</v>
      </c>
      <c r="D179" s="33" t="s">
        <v>9</v>
      </c>
      <c r="E179" s="33" t="s">
        <v>9</v>
      </c>
      <c r="F179" s="14" t="s">
        <v>9</v>
      </c>
      <c r="G179" s="14" t="s">
        <v>9</v>
      </c>
      <c r="H179" s="14" t="s">
        <v>9</v>
      </c>
      <c r="I179" s="18">
        <v>812606400</v>
      </c>
      <c r="J179" s="19">
        <v>2.88</v>
      </c>
      <c r="K179" s="20" t="s">
        <v>10</v>
      </c>
    </row>
    <row r="180" spans="1:11" s="21" customFormat="1" ht="79.5" customHeight="1">
      <c r="A180" s="21">
        <v>92</v>
      </c>
      <c r="B180" s="40">
        <v>909</v>
      </c>
      <c r="C180" s="15" t="s">
        <v>226</v>
      </c>
      <c r="D180" s="33">
        <v>44089</v>
      </c>
      <c r="E180" s="33">
        <v>44099</v>
      </c>
      <c r="F180" s="17" t="s">
        <v>227</v>
      </c>
      <c r="G180" s="25" t="s">
        <v>127</v>
      </c>
      <c r="H180" s="25" t="s">
        <v>134</v>
      </c>
      <c r="I180" s="18">
        <v>2284524000</v>
      </c>
      <c r="J180" s="19">
        <v>16.5</v>
      </c>
      <c r="K180" s="20" t="s">
        <v>68</v>
      </c>
    </row>
    <row r="181" spans="1:11" s="21" customFormat="1">
      <c r="B181" s="40" t="s">
        <v>9</v>
      </c>
      <c r="C181" s="38" t="s">
        <v>9</v>
      </c>
      <c r="D181" s="33" t="s">
        <v>9</v>
      </c>
      <c r="E181" s="33" t="s">
        <v>9</v>
      </c>
      <c r="F181" s="14" t="s">
        <v>9</v>
      </c>
      <c r="G181" s="14" t="s">
        <v>9</v>
      </c>
      <c r="H181" s="14" t="s">
        <v>9</v>
      </c>
      <c r="I181" s="18">
        <v>4815987000</v>
      </c>
      <c r="J181" s="19">
        <v>16.5</v>
      </c>
      <c r="K181" s="20" t="s">
        <v>10</v>
      </c>
    </row>
    <row r="182" spans="1:11" s="21" customFormat="1" ht="81.75" customHeight="1">
      <c r="A182" s="21">
        <v>93</v>
      </c>
      <c r="B182" s="42">
        <v>9688</v>
      </c>
      <c r="C182" s="15" t="s">
        <v>285</v>
      </c>
      <c r="D182" s="33">
        <v>44091</v>
      </c>
      <c r="E182" s="33">
        <v>44102</v>
      </c>
      <c r="F182" s="33" t="s">
        <v>231</v>
      </c>
      <c r="G182" s="17" t="s">
        <v>120</v>
      </c>
      <c r="H182" s="25" t="s">
        <v>232</v>
      </c>
      <c r="I182" s="18">
        <v>504676000</v>
      </c>
      <c r="J182" s="19">
        <v>562</v>
      </c>
      <c r="K182" s="20" t="s">
        <v>68</v>
      </c>
    </row>
    <row r="183" spans="1:11" s="21" customFormat="1">
      <c r="B183" s="40" t="s">
        <v>9</v>
      </c>
      <c r="C183" s="38" t="s">
        <v>9</v>
      </c>
      <c r="D183" s="33" t="s">
        <v>9</v>
      </c>
      <c r="E183" s="33" t="s">
        <v>9</v>
      </c>
      <c r="F183" s="14" t="s">
        <v>9</v>
      </c>
      <c r="G183" s="14" t="s">
        <v>9</v>
      </c>
      <c r="H183" s="14" t="s">
        <v>9</v>
      </c>
      <c r="I183" s="18">
        <v>6322865300</v>
      </c>
      <c r="J183" s="19">
        <v>562</v>
      </c>
      <c r="K183" s="20" t="s">
        <v>10</v>
      </c>
    </row>
    <row r="184" spans="1:11" s="21" customFormat="1" ht="70.5" customHeight="1">
      <c r="A184" s="21">
        <v>94</v>
      </c>
      <c r="B184" s="42">
        <v>9991</v>
      </c>
      <c r="C184" s="15" t="s">
        <v>277</v>
      </c>
      <c r="D184" s="33">
        <v>44092</v>
      </c>
      <c r="E184" s="33">
        <v>44103</v>
      </c>
      <c r="F184" s="17" t="s">
        <v>233</v>
      </c>
      <c r="G184" s="17" t="s">
        <v>218</v>
      </c>
      <c r="H184" s="25" t="s">
        <v>134</v>
      </c>
      <c r="I184" s="18">
        <v>331600000</v>
      </c>
      <c r="J184" s="19">
        <v>82.9</v>
      </c>
      <c r="K184" s="20" t="s">
        <v>68</v>
      </c>
    </row>
    <row r="185" spans="1:11" s="21" customFormat="1">
      <c r="B185" s="40" t="s">
        <v>9</v>
      </c>
      <c r="C185" s="38" t="s">
        <v>9</v>
      </c>
      <c r="D185" s="33" t="s">
        <v>9</v>
      </c>
      <c r="E185" s="33" t="s">
        <v>9</v>
      </c>
      <c r="F185" s="14" t="s">
        <v>9</v>
      </c>
      <c r="G185" s="14" t="s">
        <v>9</v>
      </c>
      <c r="H185" s="14" t="s">
        <v>9</v>
      </c>
      <c r="I185" s="18">
        <v>3302213730</v>
      </c>
      <c r="J185" s="19">
        <v>82.9</v>
      </c>
      <c r="K185" s="20" t="s">
        <v>10</v>
      </c>
    </row>
    <row r="186" spans="1:11" s="21" customFormat="1" ht="60">
      <c r="A186" s="21">
        <v>95</v>
      </c>
      <c r="B186" s="42">
        <v>9616</v>
      </c>
      <c r="C186" s="15" t="s">
        <v>236</v>
      </c>
      <c r="D186" s="33">
        <v>44091</v>
      </c>
      <c r="E186" s="33">
        <v>44103</v>
      </c>
      <c r="F186" s="17" t="s">
        <v>183</v>
      </c>
      <c r="G186" s="25" t="s">
        <v>98</v>
      </c>
      <c r="H186" s="17" t="s">
        <v>93</v>
      </c>
      <c r="I186" s="18">
        <v>518339968</v>
      </c>
      <c r="J186" s="19">
        <v>6.22</v>
      </c>
      <c r="K186" s="20" t="s">
        <v>68</v>
      </c>
    </row>
    <row r="187" spans="1:11" s="21" customFormat="1">
      <c r="B187" s="40" t="s">
        <v>9</v>
      </c>
      <c r="C187" s="38" t="s">
        <v>9</v>
      </c>
      <c r="D187" s="33" t="s">
        <v>9</v>
      </c>
      <c r="E187" s="33" t="s">
        <v>9</v>
      </c>
      <c r="F187" s="14" t="s">
        <v>9</v>
      </c>
      <c r="G187" s="14" t="s">
        <v>9</v>
      </c>
      <c r="H187" s="14" t="s">
        <v>9</v>
      </c>
      <c r="I187" s="18">
        <v>518330016</v>
      </c>
      <c r="J187" s="19">
        <v>6.22</v>
      </c>
      <c r="K187" s="20" t="s">
        <v>10</v>
      </c>
    </row>
    <row r="188" spans="1:11" s="21" customFormat="1" ht="60">
      <c r="A188" s="21">
        <v>96</v>
      </c>
      <c r="B188" s="40">
        <v>1429</v>
      </c>
      <c r="C188" s="15" t="s">
        <v>234</v>
      </c>
      <c r="D188" s="33">
        <v>44089</v>
      </c>
      <c r="E188" s="33">
        <v>44103</v>
      </c>
      <c r="F188" s="17" t="s">
        <v>89</v>
      </c>
      <c r="G188" s="17" t="s">
        <v>151</v>
      </c>
      <c r="H188" s="17" t="s">
        <v>235</v>
      </c>
      <c r="I188" s="18">
        <v>28000000</v>
      </c>
      <c r="J188" s="19">
        <v>0.35</v>
      </c>
      <c r="K188" s="20" t="s">
        <v>68</v>
      </c>
    </row>
    <row r="189" spans="1:11" s="21" customFormat="1">
      <c r="B189" s="40" t="s">
        <v>9</v>
      </c>
      <c r="C189" s="38" t="s">
        <v>9</v>
      </c>
      <c r="D189" s="33" t="s">
        <v>9</v>
      </c>
      <c r="E189" s="33" t="s">
        <v>9</v>
      </c>
      <c r="F189" s="14" t="s">
        <v>9</v>
      </c>
      <c r="G189" s="14" t="s">
        <v>9</v>
      </c>
      <c r="H189" s="14" t="s">
        <v>9</v>
      </c>
      <c r="I189" s="18">
        <v>112000000</v>
      </c>
      <c r="J189" s="19">
        <v>0.35</v>
      </c>
      <c r="K189" s="20" t="s">
        <v>10</v>
      </c>
    </row>
    <row r="190" spans="1:11" s="21" customFormat="1" ht="30">
      <c r="A190" s="21">
        <v>97</v>
      </c>
      <c r="B190" s="42">
        <v>2057</v>
      </c>
      <c r="C190" s="15" t="s">
        <v>279</v>
      </c>
      <c r="D190" s="33">
        <v>44091</v>
      </c>
      <c r="E190" s="33">
        <v>44103</v>
      </c>
      <c r="F190" s="17" t="s">
        <v>215</v>
      </c>
      <c r="G190" s="17" t="s">
        <v>120</v>
      </c>
      <c r="H190" s="25" t="s">
        <v>72</v>
      </c>
      <c r="I190" s="18">
        <v>490500000</v>
      </c>
      <c r="J190" s="19">
        <v>218</v>
      </c>
      <c r="K190" s="20" t="s">
        <v>68</v>
      </c>
    </row>
    <row r="191" spans="1:11" s="21" customFormat="1">
      <c r="B191" s="40" t="s">
        <v>9</v>
      </c>
      <c r="C191" s="38" t="s">
        <v>9</v>
      </c>
      <c r="D191" s="33" t="s">
        <v>9</v>
      </c>
      <c r="E191" s="33" t="s">
        <v>9</v>
      </c>
      <c r="F191" s="14" t="s">
        <v>9</v>
      </c>
      <c r="G191" s="14" t="s">
        <v>9</v>
      </c>
      <c r="H191" s="14" t="s">
        <v>9</v>
      </c>
      <c r="I191" s="18">
        <v>10791000000</v>
      </c>
      <c r="J191" s="19">
        <v>218</v>
      </c>
      <c r="K191" s="20" t="s">
        <v>10</v>
      </c>
    </row>
    <row r="192" spans="1:11" s="21" customFormat="1" ht="60">
      <c r="A192" s="21">
        <v>98</v>
      </c>
      <c r="B192" s="40">
        <v>2102</v>
      </c>
      <c r="C192" s="36" t="s">
        <v>237</v>
      </c>
      <c r="D192" s="33" t="s">
        <v>20</v>
      </c>
      <c r="E192" s="33">
        <v>44110</v>
      </c>
      <c r="F192" s="25" t="s">
        <v>238</v>
      </c>
      <c r="G192" s="25" t="s">
        <v>239</v>
      </c>
      <c r="H192" s="25" t="s">
        <v>20</v>
      </c>
      <c r="I192" s="18" t="s">
        <v>97</v>
      </c>
      <c r="J192" s="18" t="s">
        <v>97</v>
      </c>
      <c r="K192" s="20"/>
    </row>
    <row r="193" spans="1:19" ht="75">
      <c r="A193" s="21">
        <v>99</v>
      </c>
      <c r="B193" s="42">
        <v>6998</v>
      </c>
      <c r="C193" s="15" t="s">
        <v>240</v>
      </c>
      <c r="D193" s="33">
        <v>44097</v>
      </c>
      <c r="E193" s="33">
        <v>44111</v>
      </c>
      <c r="F193" s="17" t="s">
        <v>241</v>
      </c>
      <c r="G193" s="25" t="s">
        <v>242</v>
      </c>
      <c r="H193" s="25" t="s">
        <v>232</v>
      </c>
      <c r="I193" s="18">
        <v>1438584000</v>
      </c>
      <c r="J193" s="19">
        <v>24</v>
      </c>
      <c r="K193" s="20" t="s">
        <v>68</v>
      </c>
      <c r="L193" s="21"/>
      <c r="M193" s="21"/>
      <c r="N193" s="21"/>
      <c r="O193" s="21"/>
      <c r="P193" s="21"/>
      <c r="Q193" s="21"/>
      <c r="R193" s="21"/>
      <c r="S193" s="21"/>
    </row>
    <row r="194" spans="1:19">
      <c r="B194" s="40" t="s">
        <v>9</v>
      </c>
      <c r="C194" s="38" t="s">
        <v>9</v>
      </c>
      <c r="D194" s="16" t="s">
        <v>9</v>
      </c>
      <c r="E194" s="16" t="s">
        <v>9</v>
      </c>
      <c r="F194" s="14" t="s">
        <v>9</v>
      </c>
      <c r="G194" s="14" t="s">
        <v>9</v>
      </c>
      <c r="H194" s="14" t="s">
        <v>9</v>
      </c>
      <c r="I194" s="18">
        <v>1673820000</v>
      </c>
      <c r="J194" s="19">
        <v>24</v>
      </c>
      <c r="K194" s="20" t="s">
        <v>10</v>
      </c>
    </row>
    <row r="195" spans="1:19" ht="45">
      <c r="A195" s="21">
        <v>100</v>
      </c>
      <c r="B195" s="42">
        <v>1952</v>
      </c>
      <c r="C195" s="15" t="s">
        <v>244</v>
      </c>
      <c r="D195" s="16">
        <v>44099</v>
      </c>
      <c r="E195" s="16">
        <v>44113</v>
      </c>
      <c r="F195" s="17" t="s">
        <v>243</v>
      </c>
      <c r="G195" s="25" t="s">
        <v>98</v>
      </c>
      <c r="H195" s="25" t="s">
        <v>20</v>
      </c>
      <c r="I195" s="18">
        <v>1747570000</v>
      </c>
      <c r="J195" s="19">
        <v>55</v>
      </c>
      <c r="K195" s="20" t="s">
        <v>68</v>
      </c>
    </row>
    <row r="196" spans="1:19">
      <c r="B196" s="40" t="s">
        <v>9</v>
      </c>
      <c r="C196" s="38" t="s">
        <v>9</v>
      </c>
      <c r="D196" s="16" t="s">
        <v>9</v>
      </c>
      <c r="E196" s="16" t="s">
        <v>9</v>
      </c>
      <c r="F196" s="14" t="s">
        <v>9</v>
      </c>
      <c r="G196" s="14" t="s">
        <v>9</v>
      </c>
      <c r="H196" s="14" t="s">
        <v>9</v>
      </c>
      <c r="I196" s="18">
        <v>2271775000</v>
      </c>
      <c r="J196" s="19">
        <v>55</v>
      </c>
      <c r="K196" s="20" t="s">
        <v>10</v>
      </c>
    </row>
    <row r="197" spans="1:19" s="21" customFormat="1" ht="105.75" customHeight="1">
      <c r="A197" s="21">
        <v>101</v>
      </c>
      <c r="B197" s="42">
        <v>9677</v>
      </c>
      <c r="C197" s="15" t="s">
        <v>245</v>
      </c>
      <c r="D197" s="16">
        <v>44103</v>
      </c>
      <c r="E197" s="16">
        <v>44116</v>
      </c>
      <c r="F197" s="17" t="s">
        <v>246</v>
      </c>
      <c r="G197" s="17" t="s">
        <v>202</v>
      </c>
      <c r="H197" s="25" t="s">
        <v>72</v>
      </c>
      <c r="I197" s="18">
        <v>177881650</v>
      </c>
      <c r="J197" s="19">
        <v>3.35</v>
      </c>
      <c r="K197" s="20" t="s">
        <v>68</v>
      </c>
    </row>
    <row r="198" spans="1:19" s="21" customFormat="1">
      <c r="B198" s="40" t="s">
        <v>9</v>
      </c>
      <c r="C198" s="38" t="s">
        <v>9</v>
      </c>
      <c r="D198" s="16" t="s">
        <v>9</v>
      </c>
      <c r="E198" s="16" t="s">
        <v>9</v>
      </c>
      <c r="F198" s="14" t="s">
        <v>9</v>
      </c>
      <c r="G198" s="14" t="s">
        <v>9</v>
      </c>
      <c r="H198" s="14" t="s">
        <v>9</v>
      </c>
      <c r="I198" s="18">
        <v>3201802700</v>
      </c>
      <c r="J198" s="19">
        <v>3.35</v>
      </c>
      <c r="K198" s="20" t="s">
        <v>10</v>
      </c>
    </row>
    <row r="199" spans="1:19" s="21" customFormat="1" ht="75">
      <c r="A199" s="21">
        <v>102</v>
      </c>
      <c r="B199" s="42">
        <v>2115</v>
      </c>
      <c r="C199" s="15" t="s">
        <v>250</v>
      </c>
      <c r="D199" s="16">
        <v>44096</v>
      </c>
      <c r="E199" s="16">
        <v>44119</v>
      </c>
      <c r="F199" s="17" t="s">
        <v>247</v>
      </c>
      <c r="G199" s="17" t="s">
        <v>248</v>
      </c>
      <c r="H199" s="17" t="s">
        <v>249</v>
      </c>
      <c r="I199" s="18">
        <v>12600000</v>
      </c>
      <c r="J199" s="19">
        <v>0.36</v>
      </c>
      <c r="K199" s="20" t="s">
        <v>68</v>
      </c>
    </row>
    <row r="200" spans="1:19" s="21" customFormat="1">
      <c r="B200" s="40" t="s">
        <v>9</v>
      </c>
      <c r="C200" s="38" t="s">
        <v>9</v>
      </c>
      <c r="D200" s="16" t="s">
        <v>9</v>
      </c>
      <c r="E200" s="16" t="s">
        <v>9</v>
      </c>
      <c r="F200" s="14" t="s">
        <v>9</v>
      </c>
      <c r="G200" s="14" t="s">
        <v>9</v>
      </c>
      <c r="H200" s="14" t="s">
        <v>9</v>
      </c>
      <c r="I200" s="18">
        <v>113400000</v>
      </c>
      <c r="J200" s="19">
        <v>0.36</v>
      </c>
      <c r="K200" s="20" t="s">
        <v>10</v>
      </c>
    </row>
    <row r="201" spans="1:19" s="21" customFormat="1" ht="30">
      <c r="A201" s="21">
        <v>103</v>
      </c>
      <c r="B201" s="42">
        <v>2130</v>
      </c>
      <c r="C201" s="15" t="s">
        <v>251</v>
      </c>
      <c r="D201" s="16">
        <v>44104</v>
      </c>
      <c r="E201" s="16">
        <v>44119</v>
      </c>
      <c r="F201" s="17" t="s">
        <v>100</v>
      </c>
      <c r="G201" s="25" t="s">
        <v>36</v>
      </c>
      <c r="H201" s="25" t="s">
        <v>72</v>
      </c>
      <c r="I201" s="18">
        <v>42852600</v>
      </c>
      <c r="J201" s="19">
        <v>2.66</v>
      </c>
      <c r="K201" s="20" t="s">
        <v>68</v>
      </c>
    </row>
    <row r="202" spans="1:19" s="21" customFormat="1">
      <c r="B202" s="40" t="s">
        <v>9</v>
      </c>
      <c r="C202" s="38" t="s">
        <v>9</v>
      </c>
      <c r="D202" s="16" t="s">
        <v>9</v>
      </c>
      <c r="E202" s="16" t="s">
        <v>9</v>
      </c>
      <c r="F202" s="14" t="s">
        <v>9</v>
      </c>
      <c r="G202" s="14" t="s">
        <v>9</v>
      </c>
      <c r="H202" s="14" t="s">
        <v>9</v>
      </c>
      <c r="I202" s="18">
        <v>99989400</v>
      </c>
      <c r="J202" s="19">
        <v>2.66</v>
      </c>
      <c r="K202" s="20" t="s">
        <v>10</v>
      </c>
    </row>
    <row r="203" spans="1:19" s="21" customFormat="1" ht="45">
      <c r="A203" s="21">
        <v>104</v>
      </c>
      <c r="B203" s="42">
        <v>6989</v>
      </c>
      <c r="C203" s="15" t="s">
        <v>252</v>
      </c>
      <c r="D203" s="16">
        <v>44111</v>
      </c>
      <c r="E203" s="16">
        <v>44123</v>
      </c>
      <c r="F203" s="17" t="s">
        <v>253</v>
      </c>
      <c r="G203" s="25" t="s">
        <v>36</v>
      </c>
      <c r="H203" s="25" t="s">
        <v>72</v>
      </c>
      <c r="I203" s="18">
        <v>1602000000</v>
      </c>
      <c r="J203" s="19">
        <v>10.68</v>
      </c>
      <c r="K203" s="20" t="s">
        <v>68</v>
      </c>
    </row>
    <row r="204" spans="1:19" s="21" customFormat="1">
      <c r="B204" s="40" t="s">
        <v>9</v>
      </c>
      <c r="C204" s="38" t="s">
        <v>9</v>
      </c>
      <c r="D204" s="16" t="s">
        <v>9</v>
      </c>
      <c r="E204" s="16" t="s">
        <v>9</v>
      </c>
      <c r="F204" s="14" t="s">
        <v>9</v>
      </c>
      <c r="G204" s="14" t="s">
        <v>9</v>
      </c>
      <c r="H204" s="14" t="s">
        <v>9</v>
      </c>
      <c r="I204" s="18">
        <v>1842193200</v>
      </c>
      <c r="J204" s="19">
        <v>10.68</v>
      </c>
      <c r="K204" s="20" t="s">
        <v>10</v>
      </c>
    </row>
    <row r="205" spans="1:19" s="21" customFormat="1" ht="30">
      <c r="A205" s="21">
        <v>105</v>
      </c>
      <c r="B205" s="42">
        <v>1597</v>
      </c>
      <c r="C205" s="15" t="s">
        <v>254</v>
      </c>
      <c r="D205" s="16">
        <v>44103</v>
      </c>
      <c r="E205" s="16">
        <v>44124</v>
      </c>
      <c r="F205" s="17" t="s">
        <v>24</v>
      </c>
      <c r="G205" s="25" t="s">
        <v>159</v>
      </c>
      <c r="H205" s="25" t="s">
        <v>72</v>
      </c>
      <c r="I205" s="18">
        <v>50000000</v>
      </c>
      <c r="J205" s="19">
        <v>2</v>
      </c>
      <c r="K205" s="20" t="s">
        <v>68</v>
      </c>
    </row>
    <row r="206" spans="1:19" s="21" customFormat="1">
      <c r="B206" s="40" t="s">
        <v>9</v>
      </c>
      <c r="C206" s="38" t="s">
        <v>9</v>
      </c>
      <c r="D206" s="16" t="s">
        <v>9</v>
      </c>
      <c r="E206" s="16" t="s">
        <v>9</v>
      </c>
      <c r="F206" s="14" t="s">
        <v>9</v>
      </c>
      <c r="G206" s="14" t="s">
        <v>9</v>
      </c>
      <c r="H206" s="14" t="s">
        <v>9</v>
      </c>
      <c r="I206" s="18">
        <v>75000000</v>
      </c>
      <c r="J206" s="19">
        <v>2</v>
      </c>
      <c r="K206" s="20" t="s">
        <v>10</v>
      </c>
    </row>
    <row r="207" spans="1:19" s="21" customFormat="1" ht="45">
      <c r="A207" s="21">
        <v>106</v>
      </c>
      <c r="B207" s="42">
        <v>2132</v>
      </c>
      <c r="C207" s="15" t="s">
        <v>255</v>
      </c>
      <c r="D207" s="16">
        <v>44104</v>
      </c>
      <c r="E207" s="16">
        <v>44124</v>
      </c>
      <c r="F207" s="17" t="s">
        <v>256</v>
      </c>
      <c r="G207" s="17" t="s">
        <v>90</v>
      </c>
      <c r="H207" s="25" t="s">
        <v>72</v>
      </c>
      <c r="I207" s="18">
        <v>52000000</v>
      </c>
      <c r="J207" s="19">
        <v>0.32500000000000001</v>
      </c>
      <c r="K207" s="20" t="s">
        <v>68</v>
      </c>
    </row>
    <row r="208" spans="1:19" s="21" customFormat="1">
      <c r="B208" s="40" t="s">
        <v>9</v>
      </c>
      <c r="C208" s="38" t="s">
        <v>9</v>
      </c>
      <c r="D208" s="16" t="s">
        <v>9</v>
      </c>
      <c r="E208" s="16" t="s">
        <v>9</v>
      </c>
      <c r="F208" s="14" t="s">
        <v>9</v>
      </c>
      <c r="G208" s="14" t="s">
        <v>9</v>
      </c>
      <c r="H208" s="14" t="s">
        <v>9</v>
      </c>
      <c r="I208" s="18">
        <v>78000000</v>
      </c>
      <c r="J208" s="19">
        <v>0.32500000000000001</v>
      </c>
      <c r="K208" s="20" t="s">
        <v>10</v>
      </c>
    </row>
    <row r="209" spans="1:11" s="21" customFormat="1" ht="30">
      <c r="A209" s="21">
        <v>107</v>
      </c>
      <c r="B209" s="42">
        <v>2107</v>
      </c>
      <c r="C209" s="15" t="s">
        <v>258</v>
      </c>
      <c r="D209" s="16">
        <v>44116</v>
      </c>
      <c r="E209" s="16">
        <v>44126</v>
      </c>
      <c r="F209" s="17" t="s">
        <v>257</v>
      </c>
      <c r="G209" s="25" t="s">
        <v>159</v>
      </c>
      <c r="H209" s="25" t="s">
        <v>72</v>
      </c>
      <c r="I209" s="18">
        <v>240000000</v>
      </c>
      <c r="J209" s="19">
        <v>2.4</v>
      </c>
      <c r="K209" s="20" t="s">
        <v>68</v>
      </c>
    </row>
    <row r="210" spans="1:11" s="21" customFormat="1">
      <c r="B210" s="40" t="s">
        <v>9</v>
      </c>
      <c r="C210" s="38" t="s">
        <v>9</v>
      </c>
      <c r="D210" s="16" t="s">
        <v>9</v>
      </c>
      <c r="E210" s="16" t="s">
        <v>9</v>
      </c>
      <c r="F210" s="14" t="s">
        <v>9</v>
      </c>
      <c r="G210" s="14" t="s">
        <v>9</v>
      </c>
      <c r="H210" s="14" t="s">
        <v>9</v>
      </c>
      <c r="I210" s="18">
        <v>360000000</v>
      </c>
      <c r="J210" s="19">
        <v>2.4</v>
      </c>
      <c r="K210" s="20" t="s">
        <v>10</v>
      </c>
    </row>
    <row r="211" spans="1:11" s="21" customFormat="1" ht="45">
      <c r="A211" s="21">
        <v>108</v>
      </c>
      <c r="B211" s="42">
        <v>2169</v>
      </c>
      <c r="C211" s="15" t="s">
        <v>259</v>
      </c>
      <c r="D211" s="16">
        <v>44116</v>
      </c>
      <c r="E211" s="16">
        <v>44127</v>
      </c>
      <c r="F211" s="17" t="s">
        <v>217</v>
      </c>
      <c r="G211" s="25" t="s">
        <v>36</v>
      </c>
      <c r="H211" s="25" t="s">
        <v>125</v>
      </c>
      <c r="I211" s="18">
        <v>23750000</v>
      </c>
      <c r="J211" s="19">
        <v>0.95</v>
      </c>
      <c r="K211" s="20" t="s">
        <v>68</v>
      </c>
    </row>
    <row r="212" spans="1:11" s="21" customFormat="1">
      <c r="B212" s="40" t="s">
        <v>9</v>
      </c>
      <c r="C212" s="38" t="s">
        <v>9</v>
      </c>
      <c r="D212" s="16" t="s">
        <v>9</v>
      </c>
      <c r="E212" s="16" t="s">
        <v>9</v>
      </c>
      <c r="F212" s="14" t="s">
        <v>9</v>
      </c>
      <c r="G212" s="14" t="s">
        <v>9</v>
      </c>
      <c r="H212" s="14" t="s">
        <v>9</v>
      </c>
      <c r="I212" s="18">
        <v>213750000</v>
      </c>
      <c r="J212" s="19">
        <v>0.95</v>
      </c>
      <c r="K212" s="20" t="s">
        <v>10</v>
      </c>
    </row>
    <row r="213" spans="1:11" ht="75">
      <c r="A213" s="21">
        <v>109</v>
      </c>
      <c r="B213" s="42">
        <v>2096</v>
      </c>
      <c r="C213" s="15" t="s">
        <v>260</v>
      </c>
      <c r="D213" s="16">
        <v>44117</v>
      </c>
      <c r="E213" s="16">
        <v>44131</v>
      </c>
      <c r="F213" s="17" t="s">
        <v>261</v>
      </c>
      <c r="G213" s="25" t="s">
        <v>159</v>
      </c>
      <c r="H213" s="25" t="s">
        <v>93</v>
      </c>
      <c r="I213" s="18">
        <v>1784904500</v>
      </c>
      <c r="J213" s="19">
        <v>13.7</v>
      </c>
      <c r="K213" s="20" t="s">
        <v>68</v>
      </c>
    </row>
    <row r="214" spans="1:11">
      <c r="B214" s="40" t="s">
        <v>9</v>
      </c>
      <c r="C214" s="38" t="s">
        <v>9</v>
      </c>
      <c r="D214" s="16" t="s">
        <v>9</v>
      </c>
      <c r="E214" s="16" t="s">
        <v>9</v>
      </c>
      <c r="F214" s="14" t="s">
        <v>9</v>
      </c>
      <c r="G214" s="14" t="s">
        <v>9</v>
      </c>
      <c r="H214" s="14" t="s">
        <v>9</v>
      </c>
      <c r="I214" s="18">
        <v>1825374300</v>
      </c>
      <c r="J214" s="19">
        <v>13.7</v>
      </c>
      <c r="K214" s="20" t="s">
        <v>10</v>
      </c>
    </row>
    <row r="215" spans="1:11" s="21" customFormat="1" ht="60">
      <c r="A215" s="21">
        <v>110</v>
      </c>
      <c r="B215" s="42">
        <v>9993</v>
      </c>
      <c r="C215" s="15" t="s">
        <v>262</v>
      </c>
      <c r="D215" s="16">
        <v>44120</v>
      </c>
      <c r="E215" s="16">
        <v>44133</v>
      </c>
      <c r="F215" s="17" t="s">
        <v>263</v>
      </c>
      <c r="G215" s="25" t="s">
        <v>163</v>
      </c>
      <c r="H215" s="25" t="s">
        <v>93</v>
      </c>
      <c r="I215" s="18">
        <v>258000000</v>
      </c>
      <c r="J215" s="19">
        <v>4.3</v>
      </c>
      <c r="K215" s="20" t="s">
        <v>68</v>
      </c>
    </row>
    <row r="216" spans="1:11" s="21" customFormat="1">
      <c r="B216" s="40" t="s">
        <v>9</v>
      </c>
      <c r="C216" s="38" t="s">
        <v>9</v>
      </c>
      <c r="D216" s="16" t="s">
        <v>9</v>
      </c>
      <c r="E216" s="16" t="s">
        <v>9</v>
      </c>
      <c r="F216" s="14" t="s">
        <v>9</v>
      </c>
      <c r="G216" s="14" t="s">
        <v>9</v>
      </c>
      <c r="H216" s="14" t="s">
        <v>9</v>
      </c>
      <c r="I216" s="18">
        <v>2516476100</v>
      </c>
      <c r="J216" s="19">
        <v>4.3</v>
      </c>
      <c r="K216" s="20" t="s">
        <v>10</v>
      </c>
    </row>
    <row r="217" spans="1:11" s="21" customFormat="1" ht="60">
      <c r="A217" s="21">
        <v>111</v>
      </c>
      <c r="B217" s="42">
        <v>3913</v>
      </c>
      <c r="C217" s="15" t="s">
        <v>264</v>
      </c>
      <c r="D217" s="16">
        <v>44123</v>
      </c>
      <c r="E217" s="16">
        <v>44134</v>
      </c>
      <c r="F217" s="17" t="s">
        <v>266</v>
      </c>
      <c r="G217" s="25" t="s">
        <v>12</v>
      </c>
      <c r="H217" s="25" t="s">
        <v>93</v>
      </c>
      <c r="I217" s="18">
        <v>907476240</v>
      </c>
      <c r="J217" s="19">
        <v>7.89</v>
      </c>
      <c r="K217" s="20" t="s">
        <v>68</v>
      </c>
    </row>
    <row r="218" spans="1:11" s="21" customFormat="1">
      <c r="B218" s="40" t="s">
        <v>9</v>
      </c>
      <c r="C218" s="38" t="s">
        <v>9</v>
      </c>
      <c r="D218" s="16" t="s">
        <v>9</v>
      </c>
      <c r="E218" s="16" t="s">
        <v>9</v>
      </c>
      <c r="F218" s="14" t="s">
        <v>9</v>
      </c>
      <c r="G218" s="14" t="s">
        <v>9</v>
      </c>
      <c r="H218" s="14" t="s">
        <v>9</v>
      </c>
      <c r="I218" s="18">
        <v>2117423520</v>
      </c>
      <c r="J218" s="19">
        <v>7.89</v>
      </c>
      <c r="K218" s="20" t="s">
        <v>10</v>
      </c>
    </row>
    <row r="219" spans="1:11" s="21" customFormat="1" ht="48">
      <c r="A219" s="21">
        <v>112</v>
      </c>
      <c r="B219" s="42">
        <v>873</v>
      </c>
      <c r="C219" s="15" t="s">
        <v>265</v>
      </c>
      <c r="D219" s="16">
        <v>44124</v>
      </c>
      <c r="E219" s="16">
        <v>44134</v>
      </c>
      <c r="F219" s="17" t="s">
        <v>267</v>
      </c>
      <c r="G219" s="25" t="s">
        <v>19</v>
      </c>
      <c r="H219" s="25" t="s">
        <v>72</v>
      </c>
      <c r="I219" s="18">
        <v>976478400.00000012</v>
      </c>
      <c r="J219" s="19">
        <v>16.600000000000001</v>
      </c>
      <c r="K219" s="20" t="s">
        <v>68</v>
      </c>
    </row>
    <row r="220" spans="1:11" s="21" customFormat="1">
      <c r="B220" s="40" t="s">
        <v>9</v>
      </c>
      <c r="C220" s="38" t="s">
        <v>9</v>
      </c>
      <c r="D220" s="16" t="s">
        <v>9</v>
      </c>
      <c r="E220" s="16" t="s">
        <v>9</v>
      </c>
      <c r="F220" s="14" t="s">
        <v>9</v>
      </c>
      <c r="G220" s="14" t="s">
        <v>9</v>
      </c>
      <c r="H220" s="14" t="s">
        <v>9</v>
      </c>
      <c r="I220" s="18">
        <v>8971353800</v>
      </c>
      <c r="J220" s="19">
        <v>16.600000000000001</v>
      </c>
      <c r="K220" s="20" t="s">
        <v>10</v>
      </c>
    </row>
    <row r="221" spans="1:11" s="21" customFormat="1" ht="120">
      <c r="A221" s="21">
        <v>113</v>
      </c>
      <c r="B221" s="42">
        <v>9698</v>
      </c>
      <c r="C221" s="15" t="s">
        <v>278</v>
      </c>
      <c r="D221" s="16">
        <v>44125</v>
      </c>
      <c r="E221" s="16">
        <v>44137</v>
      </c>
      <c r="F221" s="17" t="s">
        <v>268</v>
      </c>
      <c r="G221" s="25" t="s">
        <v>36</v>
      </c>
      <c r="H221" s="25" t="s">
        <v>20</v>
      </c>
      <c r="I221" s="18">
        <v>647040000</v>
      </c>
      <c r="J221" s="19">
        <v>80.88</v>
      </c>
      <c r="K221" s="20" t="s">
        <v>68</v>
      </c>
    </row>
    <row r="222" spans="1:11" s="21" customFormat="1">
      <c r="B222" s="40" t="s">
        <v>9</v>
      </c>
      <c r="C222" s="38" t="s">
        <v>9</v>
      </c>
      <c r="D222" s="16" t="s">
        <v>9</v>
      </c>
      <c r="E222" s="16" t="s">
        <v>9</v>
      </c>
      <c r="F222" s="14" t="s">
        <v>9</v>
      </c>
      <c r="G222" s="14" t="s">
        <v>9</v>
      </c>
      <c r="H222" s="14" t="s">
        <v>9</v>
      </c>
      <c r="I222" s="18">
        <v>14234880000</v>
      </c>
      <c r="J222" s="19">
        <v>80.88</v>
      </c>
      <c r="K222" s="20" t="s">
        <v>10</v>
      </c>
    </row>
    <row r="223" spans="1:11" s="21" customFormat="1" ht="45">
      <c r="A223" s="21">
        <v>114</v>
      </c>
      <c r="B223" s="42">
        <v>2126</v>
      </c>
      <c r="C223" s="15" t="s">
        <v>269</v>
      </c>
      <c r="D223" s="16">
        <v>44126</v>
      </c>
      <c r="E223" s="16">
        <v>44138</v>
      </c>
      <c r="F223" s="17" t="s">
        <v>270</v>
      </c>
      <c r="G223" s="25" t="s">
        <v>98</v>
      </c>
      <c r="H223" s="25" t="s">
        <v>72</v>
      </c>
      <c r="I223" s="18">
        <v>1162534800</v>
      </c>
      <c r="J223" s="19">
        <v>23.8</v>
      </c>
      <c r="K223" s="20" t="s">
        <v>68</v>
      </c>
    </row>
    <row r="224" spans="1:11" s="21" customFormat="1">
      <c r="B224" s="40" t="s">
        <v>9</v>
      </c>
      <c r="C224" s="38" t="s">
        <v>9</v>
      </c>
      <c r="D224" s="16" t="s">
        <v>9</v>
      </c>
      <c r="E224" s="16" t="s">
        <v>9</v>
      </c>
      <c r="F224" s="14" t="s">
        <v>9</v>
      </c>
      <c r="G224" s="14" t="s">
        <v>9</v>
      </c>
      <c r="H224" s="14" t="s">
        <v>9</v>
      </c>
      <c r="I224" s="18">
        <v>1441696900</v>
      </c>
      <c r="J224" s="19">
        <v>23.8</v>
      </c>
      <c r="K224" s="20" t="s">
        <v>10</v>
      </c>
    </row>
    <row r="225" spans="1:12" s="21" customFormat="1" ht="60">
      <c r="A225" s="21">
        <v>115</v>
      </c>
      <c r="B225" s="40">
        <v>9963</v>
      </c>
      <c r="C225" s="36" t="s">
        <v>271</v>
      </c>
      <c r="D225" s="16" t="s">
        <v>20</v>
      </c>
      <c r="E225" s="16">
        <v>44140</v>
      </c>
      <c r="F225" s="25" t="s">
        <v>272</v>
      </c>
      <c r="G225" s="25" t="s">
        <v>65</v>
      </c>
      <c r="H225" s="25" t="s">
        <v>20</v>
      </c>
      <c r="I225" s="18" t="s">
        <v>97</v>
      </c>
      <c r="J225" s="18" t="s">
        <v>97</v>
      </c>
      <c r="K225" s="20"/>
    </row>
    <row r="226" spans="1:12" s="21" customFormat="1" ht="60">
      <c r="A226" s="21">
        <v>116</v>
      </c>
      <c r="B226" s="42">
        <v>9901</v>
      </c>
      <c r="C226" s="36" t="s">
        <v>284</v>
      </c>
      <c r="D226" s="16">
        <v>44133</v>
      </c>
      <c r="E226" s="16">
        <v>44144</v>
      </c>
      <c r="F226" s="17" t="s">
        <v>282</v>
      </c>
      <c r="G226" s="17" t="s">
        <v>65</v>
      </c>
      <c r="H226" s="25" t="s">
        <v>134</v>
      </c>
      <c r="I226" s="18">
        <v>607614000</v>
      </c>
      <c r="J226" s="19">
        <v>1190</v>
      </c>
      <c r="K226" s="20" t="s">
        <v>68</v>
      </c>
    </row>
    <row r="227" spans="1:12" s="21" customFormat="1">
      <c r="B227" s="40" t="s">
        <v>9</v>
      </c>
      <c r="C227" s="38" t="s">
        <v>9</v>
      </c>
      <c r="D227" s="16" t="s">
        <v>9</v>
      </c>
      <c r="E227" s="16" t="s">
        <v>9</v>
      </c>
      <c r="F227" s="14" t="s">
        <v>9</v>
      </c>
      <c r="G227" s="14" t="s">
        <v>9</v>
      </c>
      <c r="H227" s="14" t="s">
        <v>9</v>
      </c>
      <c r="I227" s="18">
        <v>11038321000</v>
      </c>
      <c r="J227" s="19">
        <v>1190</v>
      </c>
      <c r="K227" s="20" t="s">
        <v>10</v>
      </c>
    </row>
    <row r="228" spans="1:12" s="21" customFormat="1" ht="90">
      <c r="A228" s="21">
        <v>117</v>
      </c>
      <c r="B228" s="42">
        <v>9995</v>
      </c>
      <c r="C228" s="15" t="s">
        <v>281</v>
      </c>
      <c r="D228" s="16">
        <v>44132</v>
      </c>
      <c r="E228" s="16">
        <v>44144</v>
      </c>
      <c r="F228" s="17" t="s">
        <v>283</v>
      </c>
      <c r="G228" s="25" t="s">
        <v>163</v>
      </c>
      <c r="H228" s="25" t="s">
        <v>93</v>
      </c>
      <c r="I228" s="18">
        <v>1595041500</v>
      </c>
      <c r="J228" s="19">
        <v>52.1</v>
      </c>
      <c r="K228" s="20" t="s">
        <v>68</v>
      </c>
    </row>
    <row r="229" spans="1:12" s="21" customFormat="1">
      <c r="B229" s="40" t="s">
        <v>9</v>
      </c>
      <c r="C229" s="38" t="s">
        <v>9</v>
      </c>
      <c r="D229" s="16" t="s">
        <v>9</v>
      </c>
      <c r="E229" s="16" t="s">
        <v>9</v>
      </c>
      <c r="F229" s="14" t="s">
        <v>9</v>
      </c>
      <c r="G229" s="14" t="s">
        <v>9</v>
      </c>
      <c r="H229" s="14" t="s">
        <v>9</v>
      </c>
      <c r="I229" s="18">
        <v>2990670250</v>
      </c>
      <c r="J229" s="19">
        <v>52.1</v>
      </c>
      <c r="K229" s="20" t="s">
        <v>10</v>
      </c>
    </row>
    <row r="230" spans="1:12" s="21" customFormat="1" ht="30">
      <c r="A230" s="21">
        <v>118</v>
      </c>
      <c r="B230" s="42">
        <v>1351</v>
      </c>
      <c r="C230" s="15" t="s">
        <v>286</v>
      </c>
      <c r="D230" s="16">
        <v>44132</v>
      </c>
      <c r="E230" s="16">
        <v>44146</v>
      </c>
      <c r="F230" s="17" t="s">
        <v>287</v>
      </c>
      <c r="G230" s="25" t="s">
        <v>98</v>
      </c>
      <c r="H230" s="25" t="s">
        <v>72</v>
      </c>
      <c r="I230" s="18">
        <v>41250000</v>
      </c>
      <c r="J230" s="19">
        <v>1.1000000000000001</v>
      </c>
      <c r="K230" s="20" t="s">
        <v>68</v>
      </c>
    </row>
    <row r="231" spans="1:12" s="21" customFormat="1">
      <c r="B231" s="40" t="s">
        <v>9</v>
      </c>
      <c r="C231" s="38" t="s">
        <v>9</v>
      </c>
      <c r="D231" s="16" t="s">
        <v>9</v>
      </c>
      <c r="E231" s="16" t="s">
        <v>9</v>
      </c>
      <c r="F231" s="14" t="s">
        <v>9</v>
      </c>
      <c r="G231" s="14" t="s">
        <v>9</v>
      </c>
      <c r="H231" s="14" t="s">
        <v>9</v>
      </c>
      <c r="I231" s="18">
        <v>96250000.000000015</v>
      </c>
      <c r="J231" s="19">
        <v>1.1000000000000001</v>
      </c>
      <c r="K231" s="20" t="s">
        <v>10</v>
      </c>
    </row>
    <row r="232" spans="1:12" s="21" customFormat="1" ht="45">
      <c r="A232" s="21">
        <v>119</v>
      </c>
      <c r="B232" s="42">
        <v>9666</v>
      </c>
      <c r="C232" s="15" t="s">
        <v>288</v>
      </c>
      <c r="D232" s="16">
        <v>44140</v>
      </c>
      <c r="E232" s="16">
        <v>44152</v>
      </c>
      <c r="F232" s="17" t="s">
        <v>290</v>
      </c>
      <c r="G232" s="25" t="s">
        <v>98</v>
      </c>
      <c r="H232" s="25" t="s">
        <v>20</v>
      </c>
      <c r="I232" s="18">
        <v>802052100</v>
      </c>
      <c r="J232" s="19">
        <v>44.7</v>
      </c>
      <c r="K232" s="20" t="s">
        <v>68</v>
      </c>
    </row>
    <row r="233" spans="1:12" s="21" customFormat="1">
      <c r="B233" s="40" t="s">
        <v>9</v>
      </c>
      <c r="C233" s="38" t="s">
        <v>9</v>
      </c>
      <c r="D233" s="16" t="s">
        <v>9</v>
      </c>
      <c r="E233" s="16" t="s">
        <v>9</v>
      </c>
      <c r="F233" s="14" t="s">
        <v>9</v>
      </c>
      <c r="G233" s="14" t="s">
        <v>9</v>
      </c>
      <c r="H233" s="14" t="s">
        <v>9</v>
      </c>
      <c r="I233" s="18">
        <v>6030257970</v>
      </c>
      <c r="J233" s="19">
        <v>44.7</v>
      </c>
      <c r="K233" s="20" t="s">
        <v>10</v>
      </c>
    </row>
    <row r="234" spans="1:12" s="21" customFormat="1" ht="60">
      <c r="A234" s="21">
        <v>120</v>
      </c>
      <c r="B234" s="42">
        <v>6900</v>
      </c>
      <c r="C234" s="15" t="s">
        <v>289</v>
      </c>
      <c r="D234" s="16">
        <v>44135</v>
      </c>
      <c r="E234" s="16">
        <v>44152</v>
      </c>
      <c r="F234" s="17" t="s">
        <v>291</v>
      </c>
      <c r="G234" s="25" t="s">
        <v>12</v>
      </c>
      <c r="H234" s="25" t="s">
        <v>93</v>
      </c>
      <c r="I234" s="18">
        <v>102002639.99999999</v>
      </c>
      <c r="J234" s="19">
        <v>2.2799999999999998</v>
      </c>
      <c r="K234" s="20" t="s">
        <v>68</v>
      </c>
    </row>
    <row r="235" spans="1:12" s="21" customFormat="1">
      <c r="B235" s="40" t="s">
        <v>9</v>
      </c>
      <c r="C235" s="38" t="s">
        <v>9</v>
      </c>
      <c r="D235" s="16" t="s">
        <v>9</v>
      </c>
      <c r="E235" s="16" t="s">
        <v>9</v>
      </c>
      <c r="F235" s="14" t="s">
        <v>9</v>
      </c>
      <c r="G235" s="14" t="s">
        <v>9</v>
      </c>
      <c r="H235" s="14" t="s">
        <v>9</v>
      </c>
      <c r="I235" s="18">
        <v>1204300560</v>
      </c>
      <c r="J235" s="19">
        <v>2.2799999999999998</v>
      </c>
      <c r="K235" s="20" t="s">
        <v>10</v>
      </c>
    </row>
    <row r="236" spans="1:12" s="21" customFormat="1" ht="60">
      <c r="A236" s="21">
        <v>121</v>
      </c>
      <c r="B236" s="42">
        <v>2599</v>
      </c>
      <c r="C236" s="15" t="s">
        <v>293</v>
      </c>
      <c r="D236" s="16">
        <v>44134</v>
      </c>
      <c r="E236" s="16">
        <v>44153</v>
      </c>
      <c r="F236" s="17" t="s">
        <v>295</v>
      </c>
      <c r="G236" s="25" t="s">
        <v>12</v>
      </c>
      <c r="H236" s="25" t="s">
        <v>296</v>
      </c>
      <c r="I236" s="18">
        <v>181797980</v>
      </c>
      <c r="J236" s="19">
        <v>5.59</v>
      </c>
      <c r="K236" s="20" t="s">
        <v>68</v>
      </c>
    </row>
    <row r="237" spans="1:12" s="21" customFormat="1">
      <c r="B237" s="40" t="s">
        <v>9</v>
      </c>
      <c r="C237" s="38" t="s">
        <v>9</v>
      </c>
      <c r="D237" s="16" t="s">
        <v>9</v>
      </c>
      <c r="E237" s="16" t="s">
        <v>9</v>
      </c>
      <c r="F237" s="14" t="s">
        <v>9</v>
      </c>
      <c r="G237" s="14" t="s">
        <v>9</v>
      </c>
      <c r="H237" s="14" t="s">
        <v>9</v>
      </c>
      <c r="I237" s="18">
        <v>3172202020</v>
      </c>
      <c r="J237" s="19">
        <v>5.59</v>
      </c>
      <c r="K237" s="20" t="s">
        <v>10</v>
      </c>
      <c r="L237" s="41" t="s">
        <v>292</v>
      </c>
    </row>
    <row r="238" spans="1:12" s="21" customFormat="1" ht="45">
      <c r="A238" s="21">
        <v>122</v>
      </c>
      <c r="B238" s="42">
        <v>1795</v>
      </c>
      <c r="C238" s="15" t="s">
        <v>294</v>
      </c>
      <c r="D238" s="16">
        <v>44134</v>
      </c>
      <c r="E238" s="16">
        <v>44153</v>
      </c>
      <c r="F238" s="17" t="s">
        <v>24</v>
      </c>
      <c r="G238" s="17" t="s">
        <v>297</v>
      </c>
      <c r="H238" s="25" t="s">
        <v>72</v>
      </c>
      <c r="I238" s="18">
        <v>25200000</v>
      </c>
      <c r="J238" s="19">
        <v>0.84</v>
      </c>
      <c r="K238" s="20" t="s">
        <v>68</v>
      </c>
    </row>
    <row r="239" spans="1:12" s="21" customFormat="1">
      <c r="B239" s="40" t="s">
        <v>9</v>
      </c>
      <c r="C239" s="38" t="s">
        <v>9</v>
      </c>
      <c r="D239" s="16" t="s">
        <v>9</v>
      </c>
      <c r="E239" s="16" t="s">
        <v>9</v>
      </c>
      <c r="F239" s="14" t="s">
        <v>9</v>
      </c>
      <c r="G239" s="14" t="s">
        <v>9</v>
      </c>
      <c r="H239" s="14" t="s">
        <v>9</v>
      </c>
      <c r="I239" s="18">
        <v>100800000</v>
      </c>
      <c r="J239" s="19">
        <v>0.84</v>
      </c>
      <c r="K239" s="20" t="s">
        <v>10</v>
      </c>
      <c r="L239" s="41" t="s">
        <v>292</v>
      </c>
    </row>
    <row r="240" spans="1:12" s="21" customFormat="1" ht="60">
      <c r="A240" s="21">
        <v>123</v>
      </c>
      <c r="B240" s="42">
        <v>1516</v>
      </c>
      <c r="C240" s="15" t="s">
        <v>298</v>
      </c>
      <c r="D240" s="16">
        <v>44144</v>
      </c>
      <c r="E240" s="16">
        <v>44154</v>
      </c>
      <c r="F240" s="17" t="s">
        <v>299</v>
      </c>
      <c r="G240" s="25" t="s">
        <v>19</v>
      </c>
      <c r="H240" s="25" t="s">
        <v>72</v>
      </c>
      <c r="I240" s="18">
        <v>560280000</v>
      </c>
      <c r="J240" s="19">
        <v>11.6</v>
      </c>
      <c r="K240" s="20" t="s">
        <v>68</v>
      </c>
    </row>
    <row r="241" spans="1:11" s="21" customFormat="1">
      <c r="B241" s="40" t="s">
        <v>9</v>
      </c>
      <c r="C241" s="38" t="s">
        <v>9</v>
      </c>
      <c r="D241" s="16" t="s">
        <v>9</v>
      </c>
      <c r="E241" s="16" t="s">
        <v>9</v>
      </c>
      <c r="F241" s="14" t="s">
        <v>9</v>
      </c>
      <c r="G241" s="14" t="s">
        <v>9</v>
      </c>
      <c r="H241" s="14" t="s">
        <v>9</v>
      </c>
      <c r="I241" s="18">
        <v>7443720000</v>
      </c>
      <c r="J241" s="19">
        <v>11.6</v>
      </c>
      <c r="K241" s="20" t="s">
        <v>10</v>
      </c>
    </row>
    <row r="242" spans="1:11" s="21" customFormat="1" ht="60">
      <c r="A242" s="21">
        <v>124</v>
      </c>
      <c r="B242" s="42">
        <v>6996</v>
      </c>
      <c r="C242" s="15" t="s">
        <v>300</v>
      </c>
      <c r="D242" s="16">
        <v>44144</v>
      </c>
      <c r="E242" s="16">
        <v>44155</v>
      </c>
      <c r="F242" s="17" t="s">
        <v>301</v>
      </c>
      <c r="G242" s="25" t="s">
        <v>12</v>
      </c>
      <c r="H242" s="25" t="s">
        <v>72</v>
      </c>
      <c r="I242" s="18">
        <v>1393552159.9999998</v>
      </c>
      <c r="J242" s="19">
        <v>18.079999999999998</v>
      </c>
      <c r="K242" s="20" t="s">
        <v>68</v>
      </c>
    </row>
    <row r="243" spans="1:11" s="21" customFormat="1">
      <c r="B243" s="40" t="s">
        <v>9</v>
      </c>
      <c r="C243" s="38" t="s">
        <v>9</v>
      </c>
      <c r="D243" s="16" t="s">
        <v>9</v>
      </c>
      <c r="E243" s="16" t="s">
        <v>9</v>
      </c>
      <c r="F243" s="14" t="s">
        <v>9</v>
      </c>
      <c r="G243" s="14" t="s">
        <v>9</v>
      </c>
      <c r="H243" s="14" t="s">
        <v>9</v>
      </c>
      <c r="I243" s="18">
        <v>1447466719.9999998</v>
      </c>
      <c r="J243" s="19">
        <v>18.079999999999998</v>
      </c>
      <c r="K243" s="20" t="s">
        <v>10</v>
      </c>
    </row>
    <row r="244" spans="1:11" s="21" customFormat="1" ht="120">
      <c r="A244" s="21">
        <v>125</v>
      </c>
      <c r="B244" s="40">
        <v>6666</v>
      </c>
      <c r="C244" s="15" t="s">
        <v>302</v>
      </c>
      <c r="D244" s="16">
        <v>44158</v>
      </c>
      <c r="E244" s="16">
        <v>44167</v>
      </c>
      <c r="F244" s="14" t="s">
        <v>303</v>
      </c>
      <c r="G244" s="25" t="s">
        <v>98</v>
      </c>
      <c r="H244" s="25" t="s">
        <v>72</v>
      </c>
      <c r="I244" s="18">
        <v>1427034400</v>
      </c>
      <c r="J244" s="19">
        <v>8.8000000000000007</v>
      </c>
      <c r="K244" s="20" t="s">
        <v>68</v>
      </c>
    </row>
    <row r="245" spans="1:11" s="21" customFormat="1">
      <c r="B245" s="40" t="s">
        <v>9</v>
      </c>
      <c r="C245" s="38" t="s">
        <v>9</v>
      </c>
      <c r="D245" s="16" t="s">
        <v>9</v>
      </c>
      <c r="E245" s="16" t="s">
        <v>9</v>
      </c>
      <c r="F245" s="14" t="s">
        <v>9</v>
      </c>
      <c r="G245" s="14" t="s">
        <v>9</v>
      </c>
      <c r="H245" s="14" t="s">
        <v>9</v>
      </c>
      <c r="I245" s="18">
        <v>12843239200</v>
      </c>
      <c r="J245" s="19">
        <v>8.8000000000000007</v>
      </c>
      <c r="K245" s="20" t="s">
        <v>10</v>
      </c>
    </row>
    <row r="246" spans="1:11" s="47" customFormat="1" ht="30">
      <c r="A246" s="47">
        <v>126</v>
      </c>
      <c r="B246" s="40">
        <v>2110</v>
      </c>
      <c r="C246" s="15" t="s">
        <v>304</v>
      </c>
      <c r="D246" s="43">
        <v>44158</v>
      </c>
      <c r="E246" s="43">
        <v>44172</v>
      </c>
      <c r="F246" s="42" t="s">
        <v>148</v>
      </c>
      <c r="G246" s="42" t="s">
        <v>59</v>
      </c>
      <c r="H246" s="49" t="s">
        <v>72</v>
      </c>
      <c r="I246" s="44">
        <v>37530000</v>
      </c>
      <c r="J246" s="45">
        <v>0.22500000000000001</v>
      </c>
      <c r="K246" s="46" t="s">
        <v>68</v>
      </c>
    </row>
    <row r="247" spans="1:11" s="47" customFormat="1">
      <c r="B247" s="40" t="s">
        <v>9</v>
      </c>
      <c r="C247" s="50" t="s">
        <v>9</v>
      </c>
      <c r="D247" s="43" t="s">
        <v>9</v>
      </c>
      <c r="E247" s="43" t="s">
        <v>9</v>
      </c>
      <c r="F247" s="42" t="s">
        <v>9</v>
      </c>
      <c r="G247" s="42" t="s">
        <v>9</v>
      </c>
      <c r="H247" s="42" t="s">
        <v>9</v>
      </c>
      <c r="I247" s="44">
        <v>87570000</v>
      </c>
      <c r="J247" s="45">
        <v>0.22500000000000001</v>
      </c>
      <c r="K247" s="46" t="s">
        <v>10</v>
      </c>
    </row>
    <row r="248" spans="1:11" s="47" customFormat="1" ht="60">
      <c r="A248" s="47">
        <v>127</v>
      </c>
      <c r="B248" s="17">
        <v>6618</v>
      </c>
      <c r="C248" s="15" t="s">
        <v>305</v>
      </c>
      <c r="D248" s="43">
        <v>44161</v>
      </c>
      <c r="E248" s="43">
        <v>44173</v>
      </c>
      <c r="F248" s="42" t="s">
        <v>306</v>
      </c>
      <c r="G248" s="17" t="s">
        <v>65</v>
      </c>
      <c r="H248" s="49" t="s">
        <v>134</v>
      </c>
      <c r="I248" s="44">
        <v>2964995220</v>
      </c>
      <c r="J248" s="45">
        <v>70.58</v>
      </c>
      <c r="K248" s="46" t="s">
        <v>68</v>
      </c>
    </row>
    <row r="249" spans="1:11" s="47" customFormat="1">
      <c r="B249" s="40" t="s">
        <v>9</v>
      </c>
      <c r="C249" s="50" t="s">
        <v>9</v>
      </c>
      <c r="D249" s="43" t="s">
        <v>9</v>
      </c>
      <c r="E249" s="43" t="s">
        <v>9</v>
      </c>
      <c r="F249" s="42" t="s">
        <v>9</v>
      </c>
      <c r="G249" s="42" t="s">
        <v>9</v>
      </c>
      <c r="H249" s="42" t="s">
        <v>9</v>
      </c>
      <c r="I249" s="44">
        <v>28032682080</v>
      </c>
      <c r="J249" s="45">
        <v>70.58</v>
      </c>
      <c r="K249" s="46" t="s">
        <v>10</v>
      </c>
    </row>
    <row r="250" spans="1:11" s="47" customFormat="1" ht="120">
      <c r="A250" s="47">
        <v>128</v>
      </c>
      <c r="B250" s="40">
        <v>1209</v>
      </c>
      <c r="C250" s="15" t="s">
        <v>307</v>
      </c>
      <c r="D250" s="43">
        <v>44160</v>
      </c>
      <c r="E250" s="43">
        <v>44174</v>
      </c>
      <c r="F250" s="42" t="s">
        <v>310</v>
      </c>
      <c r="G250" s="49" t="s">
        <v>308</v>
      </c>
      <c r="H250" s="42" t="s">
        <v>309</v>
      </c>
      <c r="I250" s="44">
        <v>919875000</v>
      </c>
      <c r="J250" s="45">
        <v>22.3</v>
      </c>
      <c r="K250" s="46" t="s">
        <v>68</v>
      </c>
    </row>
    <row r="251" spans="1:11" s="47" customFormat="1">
      <c r="B251" s="40" t="s">
        <v>9</v>
      </c>
      <c r="C251" s="50" t="s">
        <v>9</v>
      </c>
      <c r="D251" s="43" t="s">
        <v>9</v>
      </c>
      <c r="E251" s="43" t="s">
        <v>9</v>
      </c>
      <c r="F251" s="42" t="s">
        <v>9</v>
      </c>
      <c r="G251" s="42" t="s">
        <v>9</v>
      </c>
      <c r="H251" s="42" t="s">
        <v>9</v>
      </c>
      <c r="I251" s="44">
        <v>11345125000</v>
      </c>
      <c r="J251" s="45">
        <v>22.3</v>
      </c>
      <c r="K251" s="46" t="s">
        <v>10</v>
      </c>
    </row>
    <row r="252" spans="1:11" s="47" customFormat="1" ht="45">
      <c r="A252" s="47">
        <v>129</v>
      </c>
      <c r="B252" s="42">
        <v>1153</v>
      </c>
      <c r="C252" s="15" t="s">
        <v>312</v>
      </c>
      <c r="D252" s="43">
        <v>44162</v>
      </c>
      <c r="E252" s="43">
        <v>44174</v>
      </c>
      <c r="F252" s="17" t="s">
        <v>311</v>
      </c>
      <c r="G252" s="49" t="s">
        <v>242</v>
      </c>
      <c r="H252" s="49" t="s">
        <v>313</v>
      </c>
      <c r="I252" s="44">
        <v>57900000</v>
      </c>
      <c r="J252" s="45">
        <v>3.86</v>
      </c>
      <c r="K252" s="46" t="s">
        <v>68</v>
      </c>
    </row>
    <row r="253" spans="1:11" s="47" customFormat="1">
      <c r="B253" s="40" t="s">
        <v>9</v>
      </c>
      <c r="C253" s="50" t="s">
        <v>9</v>
      </c>
      <c r="D253" s="43" t="s">
        <v>9</v>
      </c>
      <c r="E253" s="43" t="s">
        <v>9</v>
      </c>
      <c r="F253" s="42" t="s">
        <v>9</v>
      </c>
      <c r="G253" s="42" t="s">
        <v>9</v>
      </c>
      <c r="H253" s="42" t="s">
        <v>9</v>
      </c>
      <c r="I253" s="44">
        <v>566296740</v>
      </c>
      <c r="J253" s="45">
        <v>3.86</v>
      </c>
      <c r="K253" s="46" t="s">
        <v>10</v>
      </c>
    </row>
    <row r="254" spans="1:11" s="47" customFormat="1" ht="60">
      <c r="A254" s="47">
        <v>130</v>
      </c>
      <c r="B254" s="42">
        <v>2142</v>
      </c>
      <c r="C254" s="15" t="s">
        <v>314</v>
      </c>
      <c r="D254" s="43">
        <v>44165</v>
      </c>
      <c r="E254" s="43">
        <v>44175</v>
      </c>
      <c r="F254" s="17" t="s">
        <v>317</v>
      </c>
      <c r="G254" s="49" t="s">
        <v>12</v>
      </c>
      <c r="H254" s="49" t="s">
        <v>134</v>
      </c>
      <c r="I254" s="44">
        <v>684490200</v>
      </c>
      <c r="J254" s="45">
        <v>12.38</v>
      </c>
      <c r="K254" s="46" t="s">
        <v>68</v>
      </c>
    </row>
    <row r="255" spans="1:11" s="47" customFormat="1">
      <c r="B255" s="40" t="s">
        <v>9</v>
      </c>
      <c r="C255" s="50" t="s">
        <v>9</v>
      </c>
      <c r="D255" s="43" t="s">
        <v>9</v>
      </c>
      <c r="E255" s="43" t="s">
        <v>9</v>
      </c>
      <c r="F255" s="42" t="s">
        <v>9</v>
      </c>
      <c r="G255" s="42" t="s">
        <v>9</v>
      </c>
      <c r="H255" s="42" t="s">
        <v>9</v>
      </c>
      <c r="I255" s="44">
        <v>1026685780.0000001</v>
      </c>
      <c r="J255" s="45">
        <v>12.38</v>
      </c>
      <c r="K255" s="46" t="s">
        <v>10</v>
      </c>
    </row>
    <row r="256" spans="1:11" s="47" customFormat="1" ht="60">
      <c r="A256" s="47">
        <v>131</v>
      </c>
      <c r="B256" s="42">
        <v>6999</v>
      </c>
      <c r="C256" s="15" t="s">
        <v>315</v>
      </c>
      <c r="D256" s="43">
        <v>44161</v>
      </c>
      <c r="E256" s="43">
        <v>44175</v>
      </c>
      <c r="F256" s="17" t="s">
        <v>57</v>
      </c>
      <c r="G256" s="49" t="s">
        <v>12</v>
      </c>
      <c r="H256" s="17" t="s">
        <v>316</v>
      </c>
      <c r="I256" s="44">
        <v>81355620</v>
      </c>
      <c r="J256" s="45">
        <v>5.69</v>
      </c>
      <c r="K256" s="46" t="s">
        <v>68</v>
      </c>
    </row>
    <row r="257" spans="1:11" s="47" customFormat="1">
      <c r="B257" s="40" t="s">
        <v>9</v>
      </c>
      <c r="C257" s="50" t="s">
        <v>9</v>
      </c>
      <c r="D257" s="43" t="s">
        <v>9</v>
      </c>
      <c r="E257" s="43" t="s">
        <v>9</v>
      </c>
      <c r="F257" s="42" t="s">
        <v>9</v>
      </c>
      <c r="G257" s="42" t="s">
        <v>9</v>
      </c>
      <c r="H257" s="42" t="s">
        <v>9</v>
      </c>
      <c r="I257" s="44">
        <v>1341144380</v>
      </c>
      <c r="J257" s="45">
        <v>5.69</v>
      </c>
      <c r="K257" s="46" t="s">
        <v>10</v>
      </c>
    </row>
    <row r="258" spans="1:11" s="46" customFormat="1" ht="60">
      <c r="A258" s="47">
        <v>132</v>
      </c>
      <c r="B258" s="42">
        <v>2117</v>
      </c>
      <c r="C258" s="15" t="s">
        <v>318</v>
      </c>
      <c r="D258" s="43">
        <v>44162</v>
      </c>
      <c r="E258" s="43">
        <v>44176</v>
      </c>
      <c r="F258" s="17" t="s">
        <v>321</v>
      </c>
      <c r="G258" s="49" t="s">
        <v>324</v>
      </c>
      <c r="H258" s="17" t="s">
        <v>327</v>
      </c>
      <c r="I258" s="44">
        <v>116211599.99999999</v>
      </c>
      <c r="J258" s="45">
        <v>4.5599999999999996</v>
      </c>
      <c r="K258" s="46" t="s">
        <v>68</v>
      </c>
    </row>
    <row r="259" spans="1:11" s="47" customFormat="1">
      <c r="B259" s="42" t="s">
        <v>9</v>
      </c>
      <c r="C259" s="50" t="s">
        <v>9</v>
      </c>
      <c r="D259" s="43" t="s">
        <v>9</v>
      </c>
      <c r="E259" s="43" t="s">
        <v>9</v>
      </c>
      <c r="F259" s="42" t="s">
        <v>9</v>
      </c>
      <c r="G259" s="49" t="s">
        <v>9</v>
      </c>
      <c r="H259" s="42" t="s">
        <v>9</v>
      </c>
      <c r="I259" s="44">
        <v>1404092399.9999998</v>
      </c>
      <c r="J259" s="45">
        <v>4.5599999999999996</v>
      </c>
      <c r="K259" s="46" t="s">
        <v>10</v>
      </c>
    </row>
    <row r="260" spans="1:11" s="47" customFormat="1" ht="45">
      <c r="A260" s="47">
        <v>133</v>
      </c>
      <c r="B260" s="42">
        <v>9992</v>
      </c>
      <c r="C260" s="15" t="s">
        <v>320</v>
      </c>
      <c r="D260" s="43">
        <v>44166</v>
      </c>
      <c r="E260" s="43">
        <v>44176</v>
      </c>
      <c r="F260" s="17" t="s">
        <v>323</v>
      </c>
      <c r="G260" s="49" t="s">
        <v>326</v>
      </c>
      <c r="H260" s="49" t="s">
        <v>232</v>
      </c>
      <c r="I260" s="44">
        <v>2455768700</v>
      </c>
      <c r="J260" s="45">
        <v>38.5</v>
      </c>
      <c r="K260" s="46" t="s">
        <v>68</v>
      </c>
    </row>
    <row r="261" spans="1:11" s="47" customFormat="1">
      <c r="A261" s="42"/>
      <c r="B261" s="42" t="s">
        <v>9</v>
      </c>
      <c r="C261" s="50" t="s">
        <v>9</v>
      </c>
      <c r="D261" s="43" t="s">
        <v>9</v>
      </c>
      <c r="E261" s="43" t="s">
        <v>9</v>
      </c>
      <c r="F261" s="42" t="s">
        <v>9</v>
      </c>
      <c r="G261" s="49" t="s">
        <v>9</v>
      </c>
      <c r="H261" s="42" t="s">
        <v>9</v>
      </c>
      <c r="I261" s="44">
        <v>3553018700</v>
      </c>
      <c r="J261" s="45">
        <v>38.5</v>
      </c>
      <c r="K261" s="46" t="s">
        <v>10</v>
      </c>
    </row>
    <row r="262" spans="1:11" s="47" customFormat="1" ht="60">
      <c r="A262" s="47">
        <v>134</v>
      </c>
      <c r="B262" s="42">
        <v>1481</v>
      </c>
      <c r="C262" s="15" t="s">
        <v>319</v>
      </c>
      <c r="D262" s="43" t="s">
        <v>232</v>
      </c>
      <c r="E262" s="43">
        <v>44176</v>
      </c>
      <c r="F262" s="49" t="s">
        <v>322</v>
      </c>
      <c r="G262" s="49" t="s">
        <v>325</v>
      </c>
      <c r="H262" s="49" t="s">
        <v>232</v>
      </c>
      <c r="I262" s="44" t="s">
        <v>97</v>
      </c>
      <c r="J262" s="44" t="s">
        <v>97</v>
      </c>
      <c r="K262" s="46"/>
    </row>
    <row r="263" spans="1:11" s="47" customFormat="1" ht="105">
      <c r="A263" s="47">
        <v>135</v>
      </c>
      <c r="B263" s="42">
        <v>6993</v>
      </c>
      <c r="C263" s="15" t="s">
        <v>328</v>
      </c>
      <c r="D263" s="43">
        <v>44169</v>
      </c>
      <c r="E263" s="43">
        <v>44181</v>
      </c>
      <c r="F263" s="17" t="s">
        <v>329</v>
      </c>
      <c r="G263" s="49" t="s">
        <v>98</v>
      </c>
      <c r="H263" s="49" t="s">
        <v>20</v>
      </c>
      <c r="I263" s="44">
        <v>4916095660</v>
      </c>
      <c r="J263" s="45">
        <v>13.16</v>
      </c>
      <c r="K263" s="46" t="s">
        <v>68</v>
      </c>
    </row>
    <row r="264" spans="1:11" s="47" customFormat="1">
      <c r="B264" s="40" t="s">
        <v>9</v>
      </c>
      <c r="C264" s="50" t="s">
        <v>9</v>
      </c>
      <c r="D264" s="43" t="s">
        <v>9</v>
      </c>
      <c r="E264" s="43" t="s">
        <v>9</v>
      </c>
      <c r="F264" s="42" t="s">
        <v>9</v>
      </c>
      <c r="G264" s="42" t="s">
        <v>9</v>
      </c>
      <c r="H264" s="42" t="s">
        <v>9</v>
      </c>
      <c r="I264" s="44">
        <v>6390910540</v>
      </c>
      <c r="J264" s="45">
        <v>13.16</v>
      </c>
      <c r="K264" s="46" t="s">
        <v>10</v>
      </c>
    </row>
    <row r="265" spans="1:11" s="46" customFormat="1" ht="33" customHeight="1">
      <c r="A265" s="47">
        <v>136</v>
      </c>
      <c r="B265" s="42">
        <v>2131</v>
      </c>
      <c r="C265" s="15" t="s">
        <v>330</v>
      </c>
      <c r="D265" s="43">
        <v>44172</v>
      </c>
      <c r="E265" s="43">
        <v>44182</v>
      </c>
      <c r="F265" s="17" t="s">
        <v>332</v>
      </c>
      <c r="G265" s="49" t="s">
        <v>163</v>
      </c>
      <c r="H265" s="49" t="s">
        <v>20</v>
      </c>
      <c r="I265" s="44">
        <v>698000000</v>
      </c>
      <c r="J265" s="45">
        <v>6.98</v>
      </c>
      <c r="K265" s="46" t="s">
        <v>68</v>
      </c>
    </row>
    <row r="266" spans="1:11" s="47" customFormat="1">
      <c r="B266" s="40" t="s">
        <v>9</v>
      </c>
      <c r="C266" s="50" t="s">
        <v>9</v>
      </c>
      <c r="D266" s="43" t="s">
        <v>9</v>
      </c>
      <c r="E266" s="43" t="s">
        <v>9</v>
      </c>
      <c r="F266" s="42" t="s">
        <v>9</v>
      </c>
      <c r="G266" s="42" t="s">
        <v>9</v>
      </c>
      <c r="H266" s="42" t="s">
        <v>9</v>
      </c>
      <c r="I266" s="44">
        <v>895659640</v>
      </c>
      <c r="J266" s="45">
        <v>6.98</v>
      </c>
      <c r="K266" s="46" t="s">
        <v>10</v>
      </c>
    </row>
    <row r="267" spans="1:11" s="47" customFormat="1" ht="90">
      <c r="A267" s="47">
        <v>137</v>
      </c>
      <c r="B267" s="42">
        <v>6677</v>
      </c>
      <c r="C267" s="15" t="s">
        <v>331</v>
      </c>
      <c r="D267" s="43">
        <v>44172</v>
      </c>
      <c r="E267" s="43">
        <v>44182</v>
      </c>
      <c r="F267" s="17" t="s">
        <v>333</v>
      </c>
      <c r="G267" s="49" t="s">
        <v>19</v>
      </c>
      <c r="H267" s="17" t="s">
        <v>29</v>
      </c>
      <c r="I267" s="44">
        <v>174048000</v>
      </c>
      <c r="J267" s="45">
        <v>5.88</v>
      </c>
      <c r="K267" s="46" t="s">
        <v>68</v>
      </c>
    </row>
    <row r="268" spans="1:11" s="47" customFormat="1">
      <c r="B268" s="40" t="s">
        <v>9</v>
      </c>
      <c r="C268" s="50" t="s">
        <v>9</v>
      </c>
      <c r="D268" s="43" t="s">
        <v>9</v>
      </c>
      <c r="E268" s="43" t="s">
        <v>9</v>
      </c>
      <c r="F268" s="42" t="s">
        <v>9</v>
      </c>
      <c r="G268" s="42" t="s">
        <v>9</v>
      </c>
      <c r="H268" s="42" t="s">
        <v>9</v>
      </c>
      <c r="I268" s="44">
        <v>1566432000</v>
      </c>
      <c r="J268" s="45">
        <v>5.88</v>
      </c>
      <c r="K268" s="46" t="s">
        <v>10</v>
      </c>
    </row>
    <row r="269" spans="1:11" s="47" customFormat="1" ht="45">
      <c r="A269" s="47">
        <v>138</v>
      </c>
      <c r="B269" s="42">
        <v>2148</v>
      </c>
      <c r="C269" s="15" t="s">
        <v>334</v>
      </c>
      <c r="D269" s="43">
        <v>44173</v>
      </c>
      <c r="E269" s="43">
        <v>44183</v>
      </c>
      <c r="F269" s="17" t="s">
        <v>335</v>
      </c>
      <c r="G269" s="49" t="s">
        <v>12</v>
      </c>
      <c r="H269" s="17" t="s">
        <v>72</v>
      </c>
      <c r="I269" s="44">
        <v>775559999.99999988</v>
      </c>
      <c r="J269" s="45">
        <v>5.52</v>
      </c>
      <c r="K269" s="46" t="s">
        <v>68</v>
      </c>
    </row>
    <row r="270" spans="1:11" s="47" customFormat="1">
      <c r="B270" s="40" t="s">
        <v>9</v>
      </c>
      <c r="C270" s="50" t="s">
        <v>9</v>
      </c>
      <c r="D270" s="43" t="s">
        <v>9</v>
      </c>
      <c r="E270" s="43" t="s">
        <v>9</v>
      </c>
      <c r="F270" s="42" t="s">
        <v>9</v>
      </c>
      <c r="G270" s="42" t="s">
        <v>9</v>
      </c>
      <c r="H270" s="42" t="s">
        <v>9</v>
      </c>
      <c r="I270" s="44">
        <v>1008227999.9999999</v>
      </c>
      <c r="J270" s="45">
        <v>5.52</v>
      </c>
      <c r="K270" s="46" t="s">
        <v>10</v>
      </c>
    </row>
    <row r="271" spans="1:11" s="47" customFormat="1" ht="75">
      <c r="A271" s="47">
        <v>139</v>
      </c>
      <c r="B271" s="42">
        <v>1167</v>
      </c>
      <c r="C271" s="15" t="s">
        <v>336</v>
      </c>
      <c r="D271" s="43">
        <v>44174</v>
      </c>
      <c r="E271" s="43">
        <v>44186</v>
      </c>
      <c r="F271" s="17" t="s">
        <v>337</v>
      </c>
      <c r="G271" s="49" t="s">
        <v>127</v>
      </c>
      <c r="H271" s="17" t="s">
        <v>134</v>
      </c>
      <c r="I271" s="44">
        <v>675360000</v>
      </c>
      <c r="J271" s="45">
        <v>14</v>
      </c>
      <c r="K271" s="46" t="s">
        <v>68</v>
      </c>
    </row>
    <row r="272" spans="1:11" s="47" customFormat="1">
      <c r="B272" s="40" t="s">
        <v>9</v>
      </c>
      <c r="C272" s="50" t="s">
        <v>9</v>
      </c>
      <c r="D272" s="43" t="s">
        <v>9</v>
      </c>
      <c r="E272" s="43" t="s">
        <v>9</v>
      </c>
      <c r="F272" s="42" t="s">
        <v>9</v>
      </c>
      <c r="G272" s="42" t="s">
        <v>9</v>
      </c>
      <c r="H272" s="42" t="s">
        <v>9</v>
      </c>
      <c r="I272" s="44">
        <v>840621600</v>
      </c>
      <c r="J272" s="45">
        <v>14</v>
      </c>
      <c r="K272" s="46" t="s">
        <v>10</v>
      </c>
    </row>
    <row r="273" spans="1:11" s="47" customFormat="1" ht="90">
      <c r="A273" s="47">
        <v>140</v>
      </c>
      <c r="B273" s="42">
        <v>6690</v>
      </c>
      <c r="C273" s="15" t="s">
        <v>340</v>
      </c>
      <c r="D273" s="43">
        <v>44151</v>
      </c>
      <c r="E273" s="43">
        <v>44188</v>
      </c>
      <c r="F273" s="17" t="s">
        <v>339</v>
      </c>
      <c r="G273" s="17" t="s">
        <v>90</v>
      </c>
      <c r="H273" s="55" t="s">
        <v>134</v>
      </c>
      <c r="I273" s="61" t="s">
        <v>341</v>
      </c>
      <c r="J273" s="62" t="s">
        <v>341</v>
      </c>
      <c r="K273" s="46"/>
    </row>
    <row r="274" spans="1:11" s="47" customFormat="1" ht="45">
      <c r="A274" s="47">
        <v>141</v>
      </c>
      <c r="B274" s="40">
        <v>2135</v>
      </c>
      <c r="C274" s="15" t="s">
        <v>345</v>
      </c>
      <c r="D274" s="43">
        <v>44180</v>
      </c>
      <c r="E274" s="43">
        <v>44193</v>
      </c>
      <c r="F274" s="42" t="s">
        <v>342</v>
      </c>
      <c r="G274" s="42" t="s">
        <v>343</v>
      </c>
      <c r="H274" s="55" t="s">
        <v>344</v>
      </c>
      <c r="I274" s="44">
        <v>68500000</v>
      </c>
      <c r="J274" s="45">
        <v>0.4</v>
      </c>
      <c r="K274" s="46" t="s">
        <v>68</v>
      </c>
    </row>
    <row r="275" spans="1:11" s="47" customFormat="1">
      <c r="B275" s="40" t="s">
        <v>9</v>
      </c>
      <c r="C275" s="50" t="s">
        <v>9</v>
      </c>
      <c r="D275" s="43" t="s">
        <v>9</v>
      </c>
      <c r="E275" s="43" t="s">
        <v>9</v>
      </c>
      <c r="F275" s="42" t="s">
        <v>9</v>
      </c>
      <c r="G275" s="42" t="s">
        <v>9</v>
      </c>
      <c r="H275" s="42" t="s">
        <v>9</v>
      </c>
      <c r="I275" s="44">
        <v>82116000</v>
      </c>
      <c r="J275" s="45">
        <v>0.4</v>
      </c>
      <c r="K275" s="46" t="s">
        <v>10</v>
      </c>
    </row>
    <row r="276" spans="1:11" s="47" customFormat="1" ht="45">
      <c r="A276" s="47">
        <v>142</v>
      </c>
      <c r="B276" s="42">
        <v>1940</v>
      </c>
      <c r="C276" s="15" t="s">
        <v>346</v>
      </c>
      <c r="D276" s="43">
        <v>44181</v>
      </c>
      <c r="E276" s="43">
        <v>44194</v>
      </c>
      <c r="F276" s="17" t="s">
        <v>347</v>
      </c>
      <c r="G276" s="17" t="s">
        <v>98</v>
      </c>
      <c r="H276" s="55" t="s">
        <v>20</v>
      </c>
      <c r="I276" s="52">
        <v>41100000</v>
      </c>
      <c r="J276" s="45">
        <v>1.37</v>
      </c>
      <c r="K276" s="46" t="s">
        <v>68</v>
      </c>
    </row>
    <row r="277" spans="1:11" s="47" customFormat="1">
      <c r="B277" s="42" t="s">
        <v>9</v>
      </c>
      <c r="C277" s="15" t="s">
        <v>9</v>
      </c>
      <c r="D277" s="43" t="s">
        <v>9</v>
      </c>
      <c r="E277" s="43" t="s">
        <v>9</v>
      </c>
      <c r="F277" s="17" t="s">
        <v>9</v>
      </c>
      <c r="G277" s="17" t="s">
        <v>9</v>
      </c>
      <c r="H277" s="55" t="s">
        <v>9</v>
      </c>
      <c r="I277" s="62">
        <v>369900000</v>
      </c>
      <c r="J277" s="45">
        <v>1.37</v>
      </c>
      <c r="K277" s="46" t="s">
        <v>10</v>
      </c>
    </row>
    <row r="278" spans="1:11" s="47" customFormat="1" ht="60">
      <c r="A278" s="47">
        <v>143</v>
      </c>
      <c r="B278" s="42">
        <v>2127</v>
      </c>
      <c r="C278" s="15" t="s">
        <v>349</v>
      </c>
      <c r="D278" s="43">
        <v>44179</v>
      </c>
      <c r="E278" s="43">
        <v>44194</v>
      </c>
      <c r="F278" s="17" t="s">
        <v>348</v>
      </c>
      <c r="G278" s="17" t="s">
        <v>149</v>
      </c>
      <c r="H278" s="55" t="s">
        <v>20</v>
      </c>
      <c r="I278" s="62">
        <v>531000000</v>
      </c>
      <c r="J278" s="45">
        <v>1.77</v>
      </c>
      <c r="K278" s="46" t="s">
        <v>68</v>
      </c>
    </row>
    <row r="279" spans="1:11" s="47" customFormat="1">
      <c r="B279" s="42" t="s">
        <v>9</v>
      </c>
      <c r="C279" s="15" t="s">
        <v>9</v>
      </c>
      <c r="D279" s="43" t="s">
        <v>9</v>
      </c>
      <c r="E279" s="43" t="s">
        <v>9</v>
      </c>
      <c r="F279" s="17" t="s">
        <v>9</v>
      </c>
      <c r="G279" s="17" t="s">
        <v>9</v>
      </c>
      <c r="H279" s="55" t="s">
        <v>9</v>
      </c>
      <c r="I279" s="62">
        <v>918789300</v>
      </c>
      <c r="J279" s="45">
        <v>1.77</v>
      </c>
      <c r="K279" s="46" t="s">
        <v>10</v>
      </c>
    </row>
    <row r="280" spans="1:11" s="47" customFormat="1" ht="45">
      <c r="A280" s="47">
        <v>144</v>
      </c>
      <c r="B280" s="40">
        <v>1379</v>
      </c>
      <c r="C280" s="15" t="s">
        <v>350</v>
      </c>
      <c r="D280" s="43">
        <v>44176</v>
      </c>
      <c r="E280" s="43">
        <v>44195</v>
      </c>
      <c r="F280" s="42" t="s">
        <v>87</v>
      </c>
      <c r="G280" s="42" t="s">
        <v>36</v>
      </c>
      <c r="H280" s="42" t="s">
        <v>352</v>
      </c>
      <c r="I280" s="62">
        <v>37500000</v>
      </c>
      <c r="J280" s="45">
        <v>6.25</v>
      </c>
      <c r="K280" s="46" t="s">
        <v>68</v>
      </c>
    </row>
    <row r="281" spans="1:11" s="47" customFormat="1">
      <c r="B281" s="40" t="s">
        <v>9</v>
      </c>
      <c r="C281" s="50" t="s">
        <v>9</v>
      </c>
      <c r="D281" s="43" t="s">
        <v>9</v>
      </c>
      <c r="E281" s="43" t="s">
        <v>9</v>
      </c>
      <c r="F281" s="42" t="s">
        <v>9</v>
      </c>
      <c r="G281" s="42" t="s">
        <v>9</v>
      </c>
      <c r="H281" s="42" t="s">
        <v>9</v>
      </c>
      <c r="I281" s="44">
        <v>87500000</v>
      </c>
      <c r="J281" s="45">
        <v>6.25</v>
      </c>
      <c r="K281" s="46" t="s">
        <v>10</v>
      </c>
    </row>
    <row r="282" spans="1:11" s="47" customFormat="1" ht="45">
      <c r="A282" s="47">
        <v>145</v>
      </c>
      <c r="B282" s="42">
        <v>1945</v>
      </c>
      <c r="C282" s="15" t="s">
        <v>351</v>
      </c>
      <c r="D282" s="43">
        <v>44181</v>
      </c>
      <c r="E282" s="43">
        <v>44195</v>
      </c>
      <c r="F282" s="17" t="s">
        <v>24</v>
      </c>
      <c r="G282" s="42" t="s">
        <v>98</v>
      </c>
      <c r="H282" s="55" t="s">
        <v>20</v>
      </c>
      <c r="I282" s="44">
        <v>220000000</v>
      </c>
      <c r="J282" s="45">
        <v>11</v>
      </c>
      <c r="K282" s="46" t="s">
        <v>68</v>
      </c>
    </row>
    <row r="283" spans="1:11" s="47" customFormat="1">
      <c r="B283" s="40" t="s">
        <v>9</v>
      </c>
      <c r="C283" s="50" t="s">
        <v>9</v>
      </c>
      <c r="D283" s="43" t="s">
        <v>9</v>
      </c>
      <c r="E283" s="43" t="s">
        <v>9</v>
      </c>
      <c r="F283" s="42" t="s">
        <v>9</v>
      </c>
      <c r="G283" s="42" t="s">
        <v>9</v>
      </c>
      <c r="H283" s="42" t="s">
        <v>9</v>
      </c>
      <c r="I283" s="44">
        <v>286000000</v>
      </c>
      <c r="J283" s="45">
        <v>11</v>
      </c>
      <c r="K283" s="46" t="s">
        <v>10</v>
      </c>
    </row>
    <row r="284" spans="1:11" s="47" customFormat="1" ht="45">
      <c r="A284" s="47">
        <v>146</v>
      </c>
      <c r="B284" s="42">
        <v>2156</v>
      </c>
      <c r="C284" s="15" t="s">
        <v>353</v>
      </c>
      <c r="D284" s="43">
        <v>44193</v>
      </c>
      <c r="E284" s="43">
        <v>44196</v>
      </c>
      <c r="F284" s="17" t="s">
        <v>196</v>
      </c>
      <c r="G284" s="55" t="s">
        <v>248</v>
      </c>
      <c r="H284" s="55" t="s">
        <v>20</v>
      </c>
      <c r="I284" s="62" t="s">
        <v>354</v>
      </c>
      <c r="J284" s="62" t="s">
        <v>354</v>
      </c>
      <c r="K284" s="46"/>
    </row>
    <row r="285" spans="1:11" s="47" customFormat="1">
      <c r="B285" s="42"/>
      <c r="C285" s="15"/>
      <c r="D285" s="43"/>
      <c r="E285" s="43"/>
      <c r="F285" s="17"/>
      <c r="G285" s="17"/>
      <c r="H285" s="55"/>
      <c r="I285" s="62"/>
      <c r="J285" s="62"/>
      <c r="K285" s="46"/>
    </row>
    <row r="286" spans="1:11" s="47" customFormat="1">
      <c r="B286" s="42"/>
      <c r="C286" s="15"/>
      <c r="D286" s="43"/>
      <c r="E286" s="43"/>
      <c r="F286" s="17"/>
      <c r="G286" s="17"/>
      <c r="H286" s="55"/>
      <c r="I286" s="62"/>
      <c r="J286" s="62"/>
      <c r="K286" s="46"/>
    </row>
    <row r="287" spans="1:11">
      <c r="A287" s="58" t="s">
        <v>338</v>
      </c>
      <c r="B287" s="53"/>
      <c r="C287" s="54"/>
      <c r="D287" s="59"/>
      <c r="E287" s="60"/>
      <c r="F287" s="55"/>
      <c r="G287" s="55"/>
      <c r="H287" s="55"/>
      <c r="I287" s="52"/>
      <c r="J287" s="56"/>
      <c r="K287" s="57"/>
    </row>
    <row r="288" spans="1:11">
      <c r="C288" s="34" t="s">
        <v>11</v>
      </c>
    </row>
    <row r="289" spans="3:3">
      <c r="C289" s="15" t="s">
        <v>280</v>
      </c>
    </row>
    <row r="290" spans="3:3">
      <c r="C290" s="34" t="s">
        <v>357</v>
      </c>
    </row>
  </sheetData>
  <phoneticPr fontId="1" type="noConversion"/>
  <pageMargins left="0.47244094488188998" right="0.15748031496063" top="0.97047244099999996" bottom="0.47" header="0.39370078740157499" footer="0.118110236220472"/>
  <pageSetup paperSize="9" scale="68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21CF38F-26C0-4B0D-87AB-B90D638523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8FCFCE-9883-4F05-855F-78A6645FC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09311FB-C656-467C-B5B0-DA8A169DF54E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Freda Lam</cp:lastModifiedBy>
  <cp:lastPrinted>2020-12-10T03:39:05Z</cp:lastPrinted>
  <dcterms:created xsi:type="dcterms:W3CDTF">1998-12-03T07:18:48Z</dcterms:created>
  <dcterms:modified xsi:type="dcterms:W3CDTF">2021-01-27T08:04:15Z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