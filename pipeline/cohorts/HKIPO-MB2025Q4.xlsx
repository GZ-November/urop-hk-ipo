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48"/>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70</v>
      </c>
      <c r="B2" s="47" t="inlineStr">
        <is>
          <t>2652.HK</t>
        </is>
      </c>
      <c r="C2" s="44" t="inlineStr">
        <is>
          <t>CF PharmTech, Inc. - H shares</t>
        </is>
      </c>
      <c r="D2" s="130" t="n">
        <v>45926</v>
      </c>
      <c r="E2" s="48" t="n">
        <v>45938</v>
      </c>
      <c r="F2" s="43" t="inlineStr">
        <is>
          <t>CITIC Securities (Hong Kong) Limited/
CMB International Capital Limited</t>
        </is>
      </c>
      <c r="G2" s="43" t="inlineStr">
        <is>
          <t>Ernst &amp; Young</t>
        </is>
      </c>
      <c r="H2" s="43" t="inlineStr">
        <is>
          <t>Cushman &amp; Wakefield Limited</t>
        </is>
      </c>
      <c r="I2" s="131" t="n">
        <v>60770000</v>
      </c>
      <c r="J2" s="132" t="n">
        <v>546900500</v>
      </c>
      <c r="K2" s="133" t="n">
        <v>14.75</v>
      </c>
      <c r="L2" t="n">
        <v>411978387</v>
      </c>
      <c r="M2" s="67" t="n">
        <v>41198000</v>
      </c>
      <c r="N2" t="n">
        <v>370780387</v>
      </c>
      <c r="O2" t="n">
        <v>370780387</v>
      </c>
      <c r="P2" t="n">
        <v>0</v>
      </c>
      <c r="Q2" t="n">
        <v>41198000</v>
      </c>
      <c r="R2" s="67" t="n">
        <v>37078000</v>
      </c>
      <c r="S2" s="67" t="n">
        <v>4120000</v>
      </c>
      <c r="T2" s="134" t="n">
        <v>14.75</v>
      </c>
      <c r="U2" s="134" t="n">
        <v>14.75</v>
      </c>
      <c r="V2" s="169" t="n">
        <v>0</v>
      </c>
      <c r="W2" s="169" t="n">
        <v>0</v>
      </c>
      <c r="X2" s="170" t="inlineStr">
        <is>
          <t>Fixed price</t>
        </is>
      </c>
      <c r="Y2" s="26" t="inlineStr">
        <is>
          <t>RMB</t>
        </is>
      </c>
      <c r="Z2" s="117" t="n">
        <v>1135145000</v>
      </c>
      <c r="AA2" s="117" t="n">
        <v>1259026000</v>
      </c>
      <c r="AB2" s="117" t="n">
        <v>1247980000</v>
      </c>
      <c r="AC2" s="117" t="n">
        <v>910023000</v>
      </c>
      <c r="AD2" s="117" t="n">
        <v>939282000</v>
      </c>
      <c r="AE2" s="117" t="n">
        <v>958737000</v>
      </c>
      <c r="AF2" s="117" t="n">
        <v>225122000</v>
      </c>
      <c r="AG2" s="117" t="n">
        <v>319744000</v>
      </c>
      <c r="AH2" s="117" t="n">
        <v>289243000</v>
      </c>
      <c r="AI2" s="117" t="n">
        <v>556421000</v>
      </c>
      <c r="AJ2" s="117" t="n">
        <v>607752000</v>
      </c>
      <c r="AK2" s="117" t="n">
        <v>543768000</v>
      </c>
      <c r="AL2" s="117" t="n">
        <v>22443000</v>
      </c>
      <c r="AM2" s="117" t="n">
        <v>19184000</v>
      </c>
      <c r="AN2" s="117" t="n">
        <v>45708000</v>
      </c>
      <c r="AO2" s="117" t="n">
        <v>31726000</v>
      </c>
      <c r="AP2" s="117" t="n">
        <v>21088000</v>
      </c>
      <c r="AQ2" s="117" t="n">
        <v>51260000</v>
      </c>
      <c r="AR2" s="135" t="n">
        <v>0.03</v>
      </c>
      <c r="AS2" s="135" t="n">
        <v>0.03</v>
      </c>
      <c r="AT2" s="70" t="inlineStr">
        <is>
          <t>NaN</t>
        </is>
      </c>
      <c r="AU2" s="51" t="inlineStr">
        <is>
          <t>R&amp;D, manufacturing and commercialization of inhalation technologies and inhalation drugs for respiratory diseases</t>
        </is>
      </c>
      <c r="AV2" s="51" t="inlineStr">
        <is>
          <t>Main Board, Rule 8.05(3) market capitalisation/revenue test</t>
        </is>
      </c>
      <c r="AW2" s="136" t="n">
        <v>45747</v>
      </c>
      <c r="AX2" s="137" t="n">
        <v>-6851000</v>
      </c>
      <c r="AY2" s="117" t="n">
        <v>90001000</v>
      </c>
      <c r="AZ2" s="117" t="n">
        <v>32338000</v>
      </c>
      <c r="BA2" s="117" t="n">
        <v>5900000</v>
      </c>
      <c r="BB2" s="138" t="n">
        <v>0.656</v>
      </c>
      <c r="BC2" s="139" t="n">
        <v>0.25</v>
      </c>
      <c r="BD2" s="80" t="n">
        <v>1</v>
      </c>
      <c r="BE2" s="161" t="n">
        <v>1</v>
      </c>
      <c r="BF2" s="161" t="n">
        <v>1</v>
      </c>
      <c r="BG2" s="161" t="inlineStr">
        <is>
          <t>NaN</t>
        </is>
      </c>
      <c r="BH2" s="161" t="n">
        <v>1</v>
      </c>
      <c r="BI2" s="161" t="inlineStr">
        <is>
          <t>NaN</t>
        </is>
      </c>
      <c r="BJ2" s="162" t="inlineStr">
        <is>
          <t>FIIF; China-Singapore Ventures; Jiequan Oriza; Shanghai Sihongda; SL Pharmaceutical; Jiangsu CMB; Nanjing CMB; Lianyi Investment; Shenzhen GTJA; Jiangsu GTJA; CICC Generation Fund; Meimin Investment; GP Healthcare Capital Phase I; Longmen Changfeng; CICC Biomedical Fund; Yuanming Capital; Unique Classic Limited; Longmen No. 1; Longmen Yusen; CCBI Investment; Yantai Duoying; Qingdao Finnova; Shanghai Hanren; Changzhou Longcheng; Ningbo Yuanchuan; Guangzhou Yongping; Changzhou Yongjun; Cornerstone Fund; Jinpu Merger Fund; Shanghai Jianli; Mengxi Venture; Tianjin Yuanyi; Langma No. 18; Langma No. 17; Boyuan Venture; Yangtze River Delta Fund; Changzhou Feijun; Guangzhou Feijun; Qianhai Kangda; Wosheng Huijia; Taichu Investment; Yangzhou Tenglan; Changzhou Tengren; Wuxi Lejin; Xinfei Dingke; Xinding Kenge; Suzhou Yueliang; Shengyuan Investment; Ms. CHEN Xiangyun; Xinxing Venture; Zhiyuan Investment; Suzhou Wosheng; Shenzhen Gongying; Mr. MI Jinyong; Mr. GENG Shaofeng</t>
        </is>
      </c>
      <c r="BK2" s="163" t="inlineStr">
        <is>
          <t>NaN</t>
        </is>
      </c>
      <c r="BL2" s="161" t="inlineStr">
        <is>
          <t>NaN</t>
        </is>
      </c>
      <c r="BM2" s="164" t="inlineStr">
        <is>
          <t>Series A Financing</t>
        </is>
      </c>
      <c r="BN2" s="165" t="n">
        <v>14.79</v>
      </c>
      <c r="BO2" s="51" t="inlineStr">
        <is>
          <t>自然人 (natural persons acting in concert)</t>
        </is>
      </c>
      <c r="BP2" s="135" t="n">
        <v>0.2453</v>
      </c>
      <c r="BQ2" s="135" t="n">
        <v>0.2453</v>
      </c>
      <c r="BR2" s="137" t="n">
        <v>78803000</v>
      </c>
      <c r="BS2" s="73" t="inlineStr">
        <is>
          <t>规模商业化/商业化初期 (CF017 approved May 2021 and included in VBP; six NMPA/FDA approvals; over 20 candidates)</t>
        </is>
      </c>
      <c r="BT2" s="138" t="n">
        <v>0</v>
      </c>
      <c r="BU2" s="60" t="inlineStr">
        <is>
          <t>Main Board</t>
        </is>
      </c>
      <c r="BV2" s="89" t="inlineStr">
        <is>
          <t>H Shares</t>
        </is>
      </c>
      <c r="BW2" s="61" t="n">
        <v>0</v>
      </c>
      <c r="BX2" s="77" t="n">
        <v>0</v>
      </c>
      <c r="BY2" s="77" t="n">
        <v>0</v>
      </c>
      <c r="BZ2" s="78" t="n">
        <v>0</v>
      </c>
      <c r="CA2" s="60" t="inlineStr">
        <is>
          <t>281010</t>
        </is>
      </c>
      <c r="CB2" s="76" t="inlineStr">
        <is>
          <t>HSICS (Hang Seng Industry Classification System) 2026</t>
        </is>
      </c>
      <c r="CC2" s="140" t="n">
        <v>41298</v>
      </c>
      <c r="CD2" s="171" t="n">
        <v>12.7</v>
      </c>
      <c r="CE2" s="76" t="inlineStr">
        <is>
          <t>PRC</t>
        </is>
      </c>
      <c r="CF2" s="89" t="inlineStr">
        <is>
          <t>Suzhou, Jiangsu Province, PRC</t>
        </is>
      </c>
      <c r="CG2" s="91" t="n"/>
      <c r="CH2" s="60" t="inlineStr">
        <is>
          <t>IFRS Accounting Standards</t>
        </is>
      </c>
      <c r="CI2" s="141" t="n">
        <v>44927</v>
      </c>
      <c r="CJ2" s="141" t="n">
        <v>45291</v>
      </c>
      <c r="CK2" s="141" t="n">
        <v>45292</v>
      </c>
      <c r="CL2" s="141" t="n">
        <v>45657</v>
      </c>
      <c r="CM2" s="141" t="n">
        <v>45658</v>
      </c>
      <c r="CN2" s="92" t="n">
        <v>135942000</v>
      </c>
      <c r="CO2" s="64" t="n">
        <v>11427000</v>
      </c>
      <c r="CP2" s="64" t="n">
        <v>12815000</v>
      </c>
      <c r="CQ2" s="141" t="n">
        <v>45926</v>
      </c>
      <c r="CR2" s="141" t="n">
        <v>45932</v>
      </c>
      <c r="CS2" s="63" t="n">
        <v>302223586</v>
      </c>
      <c r="CT2" s="64" t="n">
        <v>107922000</v>
      </c>
      <c r="CU2" s="64" t="n">
        <v>24632000</v>
      </c>
      <c r="CV2" s="59" t="inlineStr">
        <is>
          <t>Unqualified opinion</t>
        </is>
      </c>
      <c r="CW2" s="64" t="n">
        <v>82300000</v>
      </c>
      <c r="CX2" s="51" t="inlineStr">
        <is>
          <t>NA</t>
        </is>
      </c>
      <c r="CY2" s="142" t="n">
        <v>0</v>
      </c>
      <c r="CZ2" s="136" t="inlineStr">
        <is>
          <t>NA</t>
        </is>
      </c>
      <c r="DA2" s="143" t="n">
        <v>6697.8</v>
      </c>
      <c r="DB2" s="63" t="n">
        <v>264209</v>
      </c>
      <c r="DC2" s="63" t="n">
        <v>27594936000</v>
      </c>
      <c r="DD2" s="59" t="inlineStr">
        <is>
          <t>Subscription level 6,697.80 times</t>
        </is>
      </c>
      <c r="DE2" s="141" t="inlineStr">
        <is>
          <t>NA</t>
        </is>
      </c>
      <c r="DF2" s="141" t="n">
        <v>45936</v>
      </c>
      <c r="DG2" s="63" t="n">
        <v>41198000</v>
      </c>
      <c r="DH2" s="63" t="n">
        <v>4120000</v>
      </c>
      <c r="DI2" s="63" t="n">
        <v>37078000</v>
      </c>
      <c r="DJ2" s="63" t="n">
        <v>0</v>
      </c>
      <c r="DK2" s="169" t="n">
        <v>0</v>
      </c>
      <c r="DL2" s="59" t="inlineStr">
        <is>
          <t>Claw-back triggered N/A ; No. of Offer Shares reallocated from the International Offering (claw-back) N/A</t>
        </is>
      </c>
      <c r="DM2" s="144" t="n">
        <v>525400000</v>
      </c>
      <c r="DN2" s="142" t="n">
        <v>0.5610000000000001</v>
      </c>
      <c r="DO2" s="51" t="n">
        <v>411978387</v>
      </c>
      <c r="DP2" s="142" t="n">
        <v>0.1</v>
      </c>
      <c r="DQ2" s="59" t="inlineStr">
        <is>
          <t>Free float denominator = total issued Shares upon Listing (411,978,387, per 'Number of issued Shares upon Listing'); numerator = Global Offering shares less cornerstone allocation = 41,198,000 - 0 = 41,198,000</t>
        </is>
      </c>
      <c r="DR2" s="63" t="n">
        <v>411978387</v>
      </c>
      <c r="DS2" s="142" t="n">
        <v>0.05943721</v>
      </c>
      <c r="DT2" s="80" t="n">
        <v>24</v>
      </c>
      <c r="DU2" s="142" t="n">
        <v>0.0362202</v>
      </c>
      <c r="DV2" s="144" t="n">
        <v>54208000000</v>
      </c>
      <c r="DW2" s="145" t="n">
        <v>38.5</v>
      </c>
      <c r="DX2" s="169" t="n">
        <v>1.610169</v>
      </c>
      <c r="DY2" s="172" t="n">
        <v>978452500</v>
      </c>
      <c r="DZ2" s="146" t="n">
        <v>47</v>
      </c>
      <c r="EA2" s="146" t="n">
        <v>48.8</v>
      </c>
      <c r="EB2" s="146" t="n">
        <v>37.46</v>
      </c>
      <c r="EC2" s="63" t="n">
        <v>13550698</v>
      </c>
      <c r="ED2" s="169" t="n">
        <v>0.328916</v>
      </c>
      <c r="EE2" s="64" t="n"/>
      <c r="EF2" s="60" t="inlineStr">
        <is>
          <t>Mechanism B</t>
        </is>
      </c>
      <c r="EG2" s="59" t="inlineStr">
        <is>
          <t>FINI (from 22/11/2023); 2025-08-04 pricing reform (Mechanism A/B; six-month cornerstone lock-up retained); this IPO: Mechanism B</t>
        </is>
      </c>
      <c r="EH2" t="inlineStr">
        <is>
          <t>长风药业股份有限公司</t>
        </is>
      </c>
      <c r="EI2" s="174" t="inlineStr">
        <is>
          <t>Active</t>
        </is>
      </c>
      <c r="EJ2" s="175" t="n">
        <v>29.34</v>
      </c>
      <c r="EK2" s="176" t="n">
        <v>-0.237922</v>
      </c>
      <c r="EL2" s="176" t="n">
        <v>0.9891529999999999</v>
      </c>
      <c r="EM2" s="176" t="n">
        <v>-0.033323</v>
      </c>
      <c r="EN2" s="176" t="n">
        <v>-0.111808</v>
      </c>
      <c r="EO2" s="179" t="n">
        <v>0.7883</v>
      </c>
      <c r="EP2" s="179" t="n">
        <v>0.858</v>
      </c>
      <c r="EQ2" s="178" t="n">
        <v>48591755</v>
      </c>
      <c r="ER2" s="175" t="n">
        <v>23.08</v>
      </c>
      <c r="ES2" s="176" t="n">
        <v>-0.400519</v>
      </c>
      <c r="ET2" s="176" t="n">
        <v>0.564746</v>
      </c>
      <c r="EU2" s="176" t="n">
        <v>-0.034903</v>
      </c>
      <c r="EV2" s="176" t="n">
        <v>-0.244227</v>
      </c>
      <c r="EW2" s="179" t="n">
        <v>0.6212</v>
      </c>
      <c r="EX2" s="179" t="n">
        <v>0.7932</v>
      </c>
      <c r="EY2" s="178" t="n">
        <v>42844470</v>
      </c>
      <c r="EZ2" s="176" t="n">
        <v>0.07013</v>
      </c>
      <c r="FA2" s="176" t="n"/>
      <c r="FB2" s="179" t="n"/>
      <c r="FC2" s="176" t="n"/>
      <c r="FD2" s="179" t="n"/>
      <c r="FE2" s="174" t="inlineStr">
        <is>
          <t>Standard</t>
        </is>
      </c>
      <c r="FF2" s="181" t="n"/>
      <c r="FG2" s="185" t="n"/>
      <c r="FH2" s="183" t="n"/>
      <c r="FI2" s="178" t="n"/>
      <c r="FJ2" s="176" t="n"/>
      <c r="FK2" s="185" t="n"/>
      <c r="FL2" s="178" t="n"/>
      <c r="FM2" s="176" t="n"/>
      <c r="FN2" s="176" t="n"/>
      <c r="FO2" s="176" t="n"/>
      <c r="FP2" s="176" t="n"/>
      <c r="FQ2" s="176" t="n">
        <v>-0.281558</v>
      </c>
      <c r="FR2" s="179" t="n">
        <v>0.7576000000000001</v>
      </c>
      <c r="FS2" s="176" t="n">
        <v>-0.237922</v>
      </c>
      <c r="FT2" s="179" t="n">
        <v>0.7883</v>
      </c>
      <c r="FU2" s="176" t="n">
        <v>-0.158442</v>
      </c>
      <c r="FV2" s="179" t="n">
        <v>0.8633999999999999</v>
      </c>
      <c r="FW2" s="179" t="n">
        <v>0.9654</v>
      </c>
      <c r="FX2" s="178" t="n">
        <v>21991390.48</v>
      </c>
      <c r="FY2" s="186" t="n">
        <v>0.002482314049586777</v>
      </c>
      <c r="FZ2" s="183" t="n">
        <v>0</v>
      </c>
      <c r="GA2" s="176" t="n">
        <v>0.1524316750458491</v>
      </c>
      <c r="GB2" s="176" t="n">
        <v>0.545902</v>
      </c>
      <c r="GC2" s="185" t="n"/>
      <c r="GD2" s="185" t="n"/>
      <c r="GE2" s="176" t="n"/>
      <c r="GF2" s="176" t="n"/>
      <c r="GG2" s="179" t="n"/>
      <c r="GH2" s="181" t="inlineStr">
        <is>
          <t>CITIC Securities (Hong Kong) Limited</t>
        </is>
      </c>
      <c r="GI2" s="183" t="n">
        <v>2</v>
      </c>
      <c r="GJ2" s="183" t="n">
        <v>1</v>
      </c>
      <c r="GK2" s="176" t="n">
        <v>0.03</v>
      </c>
      <c r="GL2" s="176" t="n"/>
      <c r="GM2" s="176" t="n"/>
      <c r="GN2" s="183" t="n">
        <v>0</v>
      </c>
      <c r="GO2" s="183" t="n">
        <v>0</v>
      </c>
      <c r="GP2" s="183" t="n">
        <v>0</v>
      </c>
      <c r="GQ2" s="183" t="n">
        <v>55</v>
      </c>
      <c r="GR2" s="183" t="n">
        <v>1</v>
      </c>
      <c r="GS2" s="181" t="inlineStr">
        <is>
          <t>POST_FINI</t>
        </is>
      </c>
      <c r="GT2" s="181" t="inlineStr">
        <is>
          <t>POST_2025_REFORM</t>
        </is>
      </c>
    </row>
    <row r="3" ht="51" customFormat="1" customHeight="1" s="12">
      <c r="A3" s="43" t="n">
        <v>71</v>
      </c>
      <c r="B3" s="47" t="inlineStr">
        <is>
          <t>2650.HK</t>
        </is>
      </c>
      <c r="C3" s="44" t="inlineStr">
        <is>
          <t>Shanghai Zhida Technology Development Co., Ltd.
-  H shares</t>
        </is>
      </c>
      <c r="D3" s="130" t="n">
        <v>45930</v>
      </c>
      <c r="E3" s="48" t="n">
        <v>45940</v>
      </c>
      <c r="F3" s="43" t="inlineStr">
        <is>
          <t>Shenwan Hongyuan Capital (H.K.) Limited</t>
        </is>
      </c>
      <c r="G3" s="43" t="inlineStr">
        <is>
          <t>PricewaterhouseCoopers</t>
        </is>
      </c>
      <c r="H3" s="43" t="n"/>
      <c r="I3" s="131" t="n">
        <v>40011468</v>
      </c>
      <c r="J3" s="132" t="n">
        <v>360096520</v>
      </c>
      <c r="K3" s="133" t="n">
        <v>66.92</v>
      </c>
      <c r="L3" t="n">
        <v>59788807</v>
      </c>
      <c r="M3" s="67" t="n">
        <v>5978900</v>
      </c>
      <c r="N3" t="n">
        <v>53809907</v>
      </c>
      <c r="O3" t="n">
        <v>53809907</v>
      </c>
      <c r="P3" t="n">
        <v>0</v>
      </c>
      <c r="Q3" t="n">
        <v>5978900</v>
      </c>
      <c r="R3" s="67" t="n">
        <v>5381000</v>
      </c>
      <c r="S3" s="67" t="n">
        <v>597900</v>
      </c>
      <c r="T3" s="134" t="n">
        <v>83.63</v>
      </c>
      <c r="U3" s="134" t="n">
        <v>66.92</v>
      </c>
      <c r="V3" s="169" t="n">
        <v>-0.110993</v>
      </c>
      <c r="W3" s="169" t="n">
        <v>0.221986</v>
      </c>
      <c r="X3" s="170" t="inlineStr">
        <is>
          <t>At low</t>
        </is>
      </c>
      <c r="Y3" s="26" t="inlineStr">
        <is>
          <t>RMB</t>
        </is>
      </c>
      <c r="Z3" s="137" t="n">
        <v>917663000</v>
      </c>
      <c r="AA3" s="137" t="n">
        <v>836438000</v>
      </c>
      <c r="AB3" s="137" t="n">
        <v>949225000</v>
      </c>
      <c r="AC3" s="137" t="n">
        <v>265243000</v>
      </c>
      <c r="AD3" s="137" t="n">
        <v>49152000</v>
      </c>
      <c r="AE3" s="137" t="n">
        <v>52125000</v>
      </c>
      <c r="AF3" s="137" t="n">
        <v>652420000</v>
      </c>
      <c r="AG3" s="137" t="n">
        <v>787286000</v>
      </c>
      <c r="AH3" s="137" t="n">
        <v>897100000</v>
      </c>
      <c r="AI3" s="137" t="n">
        <v>670733000</v>
      </c>
      <c r="AJ3" s="137" t="n">
        <v>593408000</v>
      </c>
      <c r="AK3" s="137" t="n">
        <v>868408000</v>
      </c>
      <c r="AL3" s="137" t="n">
        <v>-69226000</v>
      </c>
      <c r="AM3" s="137" t="n">
        <v>-231916000</v>
      </c>
      <c r="AN3" s="137" t="n">
        <v>-61664000</v>
      </c>
      <c r="AO3" s="137" t="n">
        <v>-58116000</v>
      </c>
      <c r="AP3" s="137" t="n">
        <v>-235897000</v>
      </c>
      <c r="AQ3" s="137" t="n">
        <v>-68312000</v>
      </c>
      <c r="AR3" s="135" t="n">
        <v>0.03</v>
      </c>
      <c r="AS3" s="135" t="n">
        <v>0.03</v>
      </c>
      <c r="AT3" s="70" t="n">
        <v>0.15</v>
      </c>
      <c r="AU3" s="51" t="inlineStr">
        <is>
          <t>EV home charging solutions: smart home EV chargers and accessories, installation and after-sales services, and a digital home energy management platform</t>
        </is>
      </c>
      <c r="AV3" s="51" t="inlineStr">
        <is>
          <t>Main Board — Rule 8.05(3) market capitalisation/revenue test</t>
        </is>
      </c>
      <c r="AW3" s="136" t="n">
        <v>45747</v>
      </c>
      <c r="AX3" s="137" t="n">
        <v>-67924000</v>
      </c>
      <c r="AY3" s="117" t="n">
        <v>146167000</v>
      </c>
      <c r="AZ3" s="117" t="n">
        <v>13594000</v>
      </c>
      <c r="BA3" s="117" t="inlineStr">
        <is>
          <t>NaN</t>
        </is>
      </c>
      <c r="BB3" s="138" t="n">
        <v>0.535</v>
      </c>
      <c r="BC3" s="139" t="n">
        <v>0.25</v>
      </c>
      <c r="BD3" s="80" t="n">
        <v>1</v>
      </c>
      <c r="BE3" s="161" t="n">
        <v>1</v>
      </c>
      <c r="BF3" s="161" t="n">
        <v>1</v>
      </c>
      <c r="BG3" s="161" t="inlineStr">
        <is>
          <t>NaN</t>
        </is>
      </c>
      <c r="BH3" s="161" t="n">
        <v>1</v>
      </c>
      <c r="BI3" s="161" t="inlineStr">
        <is>
          <t>NaN</t>
        </is>
      </c>
      <c r="BJ3" s="162" t="inlineStr">
        <is>
          <t>Anhui Zhongding; Zhenghai Juhong; Beida Guangju; Jingzhou Zhida; Shanghai China Power Investment; Ningbo Longhuahui; Anhui Jintong; Suzhou Xinjing; Ningbo Zhizun; Jiangsu Jiequan; BYD; Chuangqi Kaiying; Hubei Qingyan; Jiaxing Xiuzhou; Zhejiang Dongxin; Xuancheng Jintong; Anqing Jintong; Zhuhai Zhidingli; Shiji Guanghua; Xuancheng Fund</t>
        </is>
      </c>
      <c r="BK3" s="163" t="inlineStr">
        <is>
          <t>NaN</t>
        </is>
      </c>
      <c r="BL3" s="161" t="inlineStr">
        <is>
          <t>NaN</t>
        </is>
      </c>
      <c r="BM3" s="164" t="inlineStr">
        <is>
          <t>Series A</t>
        </is>
      </c>
      <c r="BN3" s="165" t="n">
        <v>10.12</v>
      </c>
      <c r="BO3" s="51" t="inlineStr">
        <is>
          <t>Natural person</t>
        </is>
      </c>
      <c r="BP3" s="135" t="n">
        <v>0.4293</v>
      </c>
      <c r="BQ3" s="135" t="n">
        <v>0.4293</v>
      </c>
      <c r="BR3" s="137" t="n">
        <v>469306000</v>
      </c>
      <c r="BS3" s="73" t="inlineStr">
        <is>
          <t>Mass production / commercially scaled</t>
        </is>
      </c>
      <c r="BT3" s="142" t="n">
        <v>0</v>
      </c>
      <c r="BU3" s="60" t="inlineStr">
        <is>
          <t>Main Board</t>
        </is>
      </c>
      <c r="BV3" s="89" t="inlineStr">
        <is>
          <t>H Shares</t>
        </is>
      </c>
      <c r="BW3" s="61" t="n">
        <v>0</v>
      </c>
      <c r="BX3" s="77" t="n">
        <v>0</v>
      </c>
      <c r="BY3" s="77" t="n">
        <v>0</v>
      </c>
      <c r="BZ3" s="78" t="n">
        <v>0</v>
      </c>
      <c r="CA3" s="60" t="inlineStr">
        <is>
          <t>101020</t>
        </is>
      </c>
      <c r="CB3" s="76" t="inlineStr">
        <is>
          <t>HSICS (Hang Seng Industry Classification System) 2026</t>
        </is>
      </c>
      <c r="CC3" s="140" t="n">
        <v>40507</v>
      </c>
      <c r="CD3" s="171" t="n">
        <v>14.87</v>
      </c>
      <c r="CE3" s="76" t="inlineStr">
        <is>
          <t>PRC</t>
        </is>
      </c>
      <c r="CF3" s="89" t="inlineStr">
        <is>
          <t>Shanghai, PRC</t>
        </is>
      </c>
      <c r="CG3" s="91" t="n"/>
      <c r="CH3" s="60" t="inlineStr">
        <is>
          <t>IFRS Accounting Standards</t>
        </is>
      </c>
      <c r="CI3" s="141" t="n">
        <v>44927</v>
      </c>
      <c r="CJ3" s="141" t="n">
        <v>45291</v>
      </c>
      <c r="CK3" s="141" t="n">
        <v>45292</v>
      </c>
      <c r="CL3" s="141" t="n">
        <v>45657</v>
      </c>
      <c r="CM3" s="141" t="n">
        <v>45658</v>
      </c>
      <c r="CN3" s="92" t="n">
        <v>217102000</v>
      </c>
      <c r="CO3" s="64" t="n">
        <v>-15416000</v>
      </c>
      <c r="CP3" s="64" t="n">
        <v>-17078000</v>
      </c>
      <c r="CQ3" s="141" t="n">
        <v>45930</v>
      </c>
      <c r="CR3" s="141" t="n">
        <v>45936</v>
      </c>
      <c r="CS3" s="63" t="n">
        <v>59788807</v>
      </c>
      <c r="CT3" s="64" t="n">
        <v>35784000</v>
      </c>
      <c r="CU3" s="64" t="n">
        <v>3355000</v>
      </c>
      <c r="CV3" s="59" t="inlineStr">
        <is>
          <t>Unqualified opinion</t>
        </is>
      </c>
      <c r="CW3" s="64" t="n">
        <v>75043000</v>
      </c>
      <c r="CX3" s="51" t="inlineStr">
        <is>
          <t>NA</t>
        </is>
      </c>
      <c r="CY3" s="142" t="n">
        <v>0</v>
      </c>
      <c r="CZ3" s="136" t="inlineStr">
        <is>
          <t>NA</t>
        </is>
      </c>
      <c r="DA3" s="143" t="n">
        <v>5440.8</v>
      </c>
      <c r="DB3" s="63" t="n">
        <v>201807</v>
      </c>
      <c r="DC3" s="63" t="n">
        <v>3253057250</v>
      </c>
      <c r="DD3" s="59" t="inlineStr">
        <is>
          <t>Subscription level 5,440.80 times</t>
        </is>
      </c>
      <c r="DE3" s="141" t="n">
        <v>45938</v>
      </c>
      <c r="DF3" s="141" t="n">
        <v>45939</v>
      </c>
      <c r="DG3" s="63" t="n">
        <v>5978900</v>
      </c>
      <c r="DH3" s="63" t="n">
        <v>597900</v>
      </c>
      <c r="DI3" s="63" t="n">
        <v>5381000</v>
      </c>
      <c r="DJ3" s="63" t="n">
        <v>0</v>
      </c>
      <c r="DK3" s="169" t="n">
        <v>0</v>
      </c>
      <c r="DL3" s="59" t="inlineStr">
        <is>
          <t>No claw-back triggered (Claw-back triggered: N/A); the final Hong Kong Public Offer shares remained 597,900, i.e. 10.00% of the Global Offering</t>
        </is>
      </c>
      <c r="DM3" s="144" t="n">
        <v>326580000</v>
      </c>
      <c r="DN3" s="142" t="n">
        <v>0.5707</v>
      </c>
      <c r="DO3" s="51" t="n">
        <v>59788807</v>
      </c>
      <c r="DP3" s="142" t="n">
        <v>0.1</v>
      </c>
      <c r="DQ3" s="59" t="inlineStr">
        <is>
          <t>Total issued Shares upon Listing (59,788,807 Shares) less locked-up shares: Controlling Shareholders 25,669,015 H Shares (42.93%) and Pre-IPO Investors 28,140,892 H Shares (47.07%); free float is the 5,978,900 H Shares of the Global Offering</t>
        </is>
      </c>
      <c r="DR3" s="63" t="n">
        <v>59788807</v>
      </c>
      <c r="DS3" s="142" t="n">
        <v>0.03924911</v>
      </c>
      <c r="DT3" s="80" t="n">
        <v>21</v>
      </c>
      <c r="DU3" s="142" t="n">
        <v>0.0359804</v>
      </c>
      <c r="DV3" s="144" t="n">
        <v>54208000000</v>
      </c>
      <c r="DW3" s="145" t="n">
        <v>195.5</v>
      </c>
      <c r="DX3" s="169" t="n">
        <v>1.921399</v>
      </c>
      <c r="DY3" s="172" t="n">
        <v>768766962</v>
      </c>
      <c r="DZ3" s="146" t="n">
        <v>190</v>
      </c>
      <c r="EA3" s="146" t="n">
        <v>197</v>
      </c>
      <c r="EB3" s="146" t="n">
        <v>171.2</v>
      </c>
      <c r="EC3" s="63" t="n">
        <v>1558550</v>
      </c>
      <c r="ED3" s="169" t="n">
        <v>0.260675</v>
      </c>
      <c r="EE3" s="64" t="n"/>
      <c r="EF3" s="60" t="inlineStr">
        <is>
          <t>Mechanism B</t>
        </is>
      </c>
      <c r="EG3" s="59" t="inlineStr">
        <is>
          <t>FINI (from 22/11/2023); 2025-08-04 pricing reform (Mechanism A/B; six-month cornerstone lock-up retained); this IPO: Mechanism B</t>
        </is>
      </c>
      <c r="EH3" t="inlineStr">
        <is>
          <t>上海挚达科技发展股份有限公司</t>
        </is>
      </c>
      <c r="EI3" s="174" t="inlineStr">
        <is>
          <t>Active</t>
        </is>
      </c>
      <c r="EJ3" s="175" t="n">
        <v>36.38</v>
      </c>
      <c r="EK3" s="176" t="n">
        <v>-0.069565</v>
      </c>
      <c r="EL3" s="176" t="n">
        <v>1.718171</v>
      </c>
      <c r="EM3" s="176" t="n">
        <v>-0.001844</v>
      </c>
      <c r="EN3" s="176" t="n">
        <v>-0.067477</v>
      </c>
      <c r="EO3" s="179" t="n">
        <v>0.9322</v>
      </c>
      <c r="EP3" s="179" t="n">
        <v>0.9978</v>
      </c>
      <c r="EQ3" s="178" t="n">
        <v>24562111.5</v>
      </c>
      <c r="ER3" s="175" t="n">
        <v>38.02</v>
      </c>
      <c r="ES3" s="176" t="n">
        <v>-0.027621</v>
      </c>
      <c r="ET3" s="176" t="n">
        <v>1.840705</v>
      </c>
      <c r="EU3" s="176" t="n">
        <v>-0.015092</v>
      </c>
      <c r="EV3" s="176" t="n">
        <v>-0.22357</v>
      </c>
      <c r="EW3" s="179" t="n">
        <v>0.9873</v>
      </c>
      <c r="EX3" s="179" t="n">
        <v>1.2524</v>
      </c>
      <c r="EY3" s="178" t="n">
        <v>19645476.5</v>
      </c>
      <c r="EZ3" s="176" t="n">
        <v>0.06795</v>
      </c>
      <c r="FA3" s="176" t="n"/>
      <c r="FB3" s="179" t="n"/>
      <c r="FC3" s="176" t="n"/>
      <c r="FD3" s="179" t="n"/>
      <c r="FE3" s="174" t="inlineStr">
        <is>
          <t>Standard</t>
        </is>
      </c>
      <c r="FF3" s="181" t="n"/>
      <c r="FG3" s="185" t="n"/>
      <c r="FH3" s="183" t="n"/>
      <c r="FI3" s="178" t="n"/>
      <c r="FJ3" s="176" t="n"/>
      <c r="FK3" s="185" t="n"/>
      <c r="FL3" s="178" t="n"/>
      <c r="FM3" s="176" t="n"/>
      <c r="FN3" s="176" t="n"/>
      <c r="FO3" s="176" t="n"/>
      <c r="FP3" s="176" t="n"/>
      <c r="FQ3" s="176" t="n">
        <v>-0.041944</v>
      </c>
      <c r="FR3" s="179" t="n">
        <v>0.9729</v>
      </c>
      <c r="FS3" s="176" t="n">
        <v>-0.069565</v>
      </c>
      <c r="FT3" s="179" t="n">
        <v>0.9322</v>
      </c>
      <c r="FU3" s="176" t="n">
        <v>0.172379</v>
      </c>
      <c r="FV3" s="179" t="n">
        <v>1.1584</v>
      </c>
      <c r="FW3" s="179" t="n">
        <v>1.2517</v>
      </c>
      <c r="FX3" s="178" t="n">
        <v>16790311.75</v>
      </c>
      <c r="FY3" s="186" t="n">
        <v>0.00375297520661157</v>
      </c>
      <c r="FZ3" s="183" t="n">
        <v>0</v>
      </c>
      <c r="GA3" s="176" t="n">
        <v>0.06616458313581955</v>
      </c>
      <c r="GB3" s="176" t="n">
        <v>0.603554</v>
      </c>
      <c r="GC3" s="185" t="n"/>
      <c r="GD3" s="185" t="n"/>
      <c r="GE3" s="176" t="n"/>
      <c r="GF3" s="176" t="n"/>
      <c r="GG3" s="179" t="n"/>
      <c r="GH3" s="181" t="inlineStr">
        <is>
          <t>Shenwan Hongyuan Capital (H.K.) Limited</t>
        </is>
      </c>
      <c r="GI3" s="183" t="n">
        <v>1</v>
      </c>
      <c r="GJ3" s="183" t="n">
        <v>0</v>
      </c>
      <c r="GK3" s="176" t="n">
        <v>0.03</v>
      </c>
      <c r="GL3" s="176" t="n"/>
      <c r="GM3" s="176" t="n"/>
      <c r="GN3" s="183" t="n">
        <v>0</v>
      </c>
      <c r="GO3" s="183" t="n">
        <v>0</v>
      </c>
      <c r="GP3" s="183" t="n">
        <v>0</v>
      </c>
      <c r="GQ3" s="183" t="n">
        <v>20</v>
      </c>
      <c r="GR3" s="183" t="n">
        <v>1</v>
      </c>
      <c r="GS3" s="181" t="inlineStr">
        <is>
          <t>POST_FINI</t>
        </is>
      </c>
      <c r="GT3" s="181" t="inlineStr">
        <is>
          <t>POST_2025_REFORM</t>
        </is>
      </c>
    </row>
    <row r="4" ht="34" customFormat="1" customHeight="1" s="12">
      <c r="A4" s="43" t="n">
        <v>72</v>
      </c>
      <c r="B4" s="47" t="inlineStr">
        <is>
          <t>2575.HK</t>
        </is>
      </c>
      <c r="C4" s="44" t="inlineStr">
        <is>
          <t>Xuanzhu Biopharmaceutical Co., Ltd. - B - H shares</t>
        </is>
      </c>
      <c r="D4" s="130" t="n">
        <v>45936</v>
      </c>
      <c r="E4" s="48" t="n">
        <v>45945</v>
      </c>
      <c r="F4" s="43" t="inlineStr">
        <is>
          <t>China International Capital Corporation
Hong Kong Securities Limited</t>
        </is>
      </c>
      <c r="G4" s="43" t="inlineStr">
        <is>
          <t>Ernst &amp; Young</t>
        </is>
      </c>
      <c r="H4" s="43" t="n"/>
      <c r="I4" s="131" t="n">
        <v>78108600</v>
      </c>
      <c r="J4" s="132" t="n">
        <v>702960000</v>
      </c>
      <c r="K4" s="133" t="n">
        <v>11.6</v>
      </c>
      <c r="L4" s="81" t="n">
        <v>517947790</v>
      </c>
      <c r="M4" s="82" t="n">
        <v>67333500</v>
      </c>
      <c r="N4" s="81" t="n">
        <v>450614290</v>
      </c>
      <c r="O4" s="81" t="n">
        <v>450614290</v>
      </c>
      <c r="P4" s="81" t="n">
        <v>0</v>
      </c>
      <c r="Q4" s="81" t="n">
        <v>67333500</v>
      </c>
      <c r="R4" s="82" t="n">
        <v>60600000</v>
      </c>
      <c r="S4" s="82" t="n">
        <v>6733500</v>
      </c>
      <c r="T4" s="147" t="n">
        <v>11.6</v>
      </c>
      <c r="U4" s="147" t="n">
        <v>11.6</v>
      </c>
      <c r="V4" s="169" t="n">
        <v>0</v>
      </c>
      <c r="W4" s="169" t="n">
        <v>0</v>
      </c>
      <c r="X4" s="170" t="inlineStr">
        <is>
          <t>Fixed price</t>
        </is>
      </c>
      <c r="Y4" s="26" t="inlineStr">
        <is>
          <t>RMB</t>
        </is>
      </c>
      <c r="Z4" s="137" t="n">
        <v>1321010000</v>
      </c>
      <c r="AA4" s="137" t="n">
        <v>1196619000</v>
      </c>
      <c r="AB4" s="137" t="n">
        <v>1066302000</v>
      </c>
      <c r="AC4" s="137" t="n">
        <v>1110247000</v>
      </c>
      <c r="AD4" s="137" t="n">
        <v>956714000</v>
      </c>
      <c r="AE4" s="137" t="n">
        <v>845805000</v>
      </c>
      <c r="AF4" s="137" t="n">
        <v>210763000</v>
      </c>
      <c r="AG4" s="137" t="n">
        <v>239905000</v>
      </c>
      <c r="AH4" s="137" t="n">
        <v>220497000</v>
      </c>
      <c r="AI4" s="137" t="n">
        <v>29000</v>
      </c>
      <c r="AJ4" s="137" t="n">
        <v>30094000</v>
      </c>
      <c r="AK4" s="137" t="n">
        <v>35786000</v>
      </c>
      <c r="AL4" s="137" t="n">
        <v>-300556000</v>
      </c>
      <c r="AM4" s="137" t="n">
        <v>-556424000</v>
      </c>
      <c r="AN4" s="137" t="n">
        <v>-221806000</v>
      </c>
      <c r="AO4" s="137" t="n">
        <v>-300562000</v>
      </c>
      <c r="AP4" s="137" t="n">
        <v>-556430000</v>
      </c>
      <c r="AQ4" s="137" t="n">
        <v>-221818000</v>
      </c>
      <c r="AR4" s="135" t="n">
        <v>0.03</v>
      </c>
      <c r="AS4" s="135" t="n">
        <v>0.03</v>
      </c>
      <c r="AT4" s="84" t="n">
        <v>0</v>
      </c>
      <c r="AU4" s="51" t="inlineStr">
        <is>
          <t>R&amp;D, manufacturing and commercialization of innovative drugs (biopharmaceutical)</t>
        </is>
      </c>
      <c r="AV4" s="51" t="inlineStr">
        <is>
          <t>Chapter 18A of the Listing Rules (biotechnology company)</t>
        </is>
      </c>
      <c r="AW4" s="136" t="n">
        <v>45838</v>
      </c>
      <c r="AX4" s="137" t="n">
        <v>-122767000</v>
      </c>
      <c r="AY4" s="117" t="n">
        <v>8558000</v>
      </c>
      <c r="AZ4" s="117" t="n">
        <v>83705000</v>
      </c>
      <c r="BA4" s="117" t="n">
        <v>22643000</v>
      </c>
      <c r="BB4" s="138" t="n">
        <v>0.64</v>
      </c>
      <c r="BC4" s="139" t="n">
        <v>0.5</v>
      </c>
      <c r="BD4" s="80" t="n">
        <v>1</v>
      </c>
      <c r="BE4" s="161" t="n">
        <v>1</v>
      </c>
      <c r="BF4" s="161" t="n">
        <v>1</v>
      </c>
      <c r="BG4" s="161" t="inlineStr">
        <is>
          <t>NaN</t>
        </is>
      </c>
      <c r="BH4" s="161" t="n">
        <v>1</v>
      </c>
      <c r="BI4" s="161" t="inlineStr">
        <is>
          <t>NaN</t>
        </is>
      </c>
      <c r="BJ4" s="162" t="inlineStr">
        <is>
          <t>Metropolitan Industrial Investment Fund; Future Industry Investment Fund II; Shijiazhuang Keshuo Investment Centre (Limited Partnership); Beijing Tonghe Yinxing Innovative Asset Management Centre (Limited Partnership); Beijing SL Pharmaceutical Co., Ltd.; Shanghai Yunxin Venture Capital Partnership (Limited Partnership)</t>
        </is>
      </c>
      <c r="BK4" s="163" t="n">
        <v>0.256</v>
      </c>
      <c r="BL4" s="161" t="n">
        <v>1</v>
      </c>
      <c r="BM4" s="164" t="inlineStr">
        <is>
          <t>Series A-1 Financing</t>
        </is>
      </c>
      <c r="BN4" s="165" t="n">
        <v>5.16</v>
      </c>
      <c r="BO4" s="51" t="inlineStr">
        <is>
          <t>Natural persons (acting in concert)</t>
        </is>
      </c>
      <c r="BP4" s="135" t="n">
        <v>0.4913</v>
      </c>
      <c r="BQ4" s="135" t="n">
        <v>0.4913</v>
      </c>
      <c r="BR4" s="137" t="n">
        <v>1067000</v>
      </c>
      <c r="BS4" s="73" t="inlineStr">
        <is>
          <t>Early commercialization stage (KBP-3571, XZP-3287 and XZP-3621 NDA-approved; other candidates in clinical development)</t>
        </is>
      </c>
      <c r="BT4" s="142" t="n">
        <v>0</v>
      </c>
      <c r="BU4" s="60" t="inlineStr">
        <is>
          <t>Main Board</t>
        </is>
      </c>
      <c r="BV4" s="89" t="inlineStr">
        <is>
          <t>H Shares</t>
        </is>
      </c>
      <c r="BW4" s="61" t="n">
        <v>0</v>
      </c>
      <c r="BX4" s="77" t="n">
        <v>0</v>
      </c>
      <c r="BY4" s="77" t="n">
        <v>1</v>
      </c>
      <c r="BZ4" s="78" t="n">
        <v>0</v>
      </c>
      <c r="CA4" s="60" t="inlineStr">
        <is>
          <t>281020</t>
        </is>
      </c>
      <c r="CB4" s="76" t="inlineStr">
        <is>
          <t>HSICS (Hang Seng Industry Classification System) 2026</t>
        </is>
      </c>
      <c r="CC4" s="140" t="n">
        <v>43348</v>
      </c>
      <c r="CD4" s="171" t="n">
        <v>7.11</v>
      </c>
      <c r="CE4" s="76" t="inlineStr">
        <is>
          <t>PRC</t>
        </is>
      </c>
      <c r="CF4" s="89" t="inlineStr">
        <is>
          <t>Beijing, PRC</t>
        </is>
      </c>
      <c r="CG4" s="91" t="n"/>
      <c r="CH4" s="60" t="inlineStr">
        <is>
          <t>IFRS Accounting Standards</t>
        </is>
      </c>
      <c r="CI4" s="141" t="n">
        <v>44927</v>
      </c>
      <c r="CJ4" s="141" t="n">
        <v>45291</v>
      </c>
      <c r="CK4" s="141" t="n">
        <v>45292</v>
      </c>
      <c r="CL4" s="141" t="n">
        <v>45657</v>
      </c>
      <c r="CM4" s="141" t="n">
        <v>45658</v>
      </c>
      <c r="CN4" s="64" t="n">
        <v>17893000</v>
      </c>
      <c r="CO4" s="64" t="n">
        <v>-110903000</v>
      </c>
      <c r="CP4" s="64" t="n">
        <v>-110909000</v>
      </c>
      <c r="CQ4" s="141" t="n">
        <v>45936</v>
      </c>
      <c r="CR4" s="141" t="n">
        <v>45940</v>
      </c>
      <c r="CS4" s="63" t="n">
        <v>160701996</v>
      </c>
      <c r="CT4" s="64" t="n">
        <v>10206000</v>
      </c>
      <c r="CU4" s="64" t="n">
        <v>21000</v>
      </c>
      <c r="CV4" s="59" t="inlineStr">
        <is>
          <t>Unqualified opinion (true and fair view)</t>
        </is>
      </c>
      <c r="CW4" s="64" t="n">
        <v>80100000</v>
      </c>
      <c r="CX4" s="51" t="inlineStr">
        <is>
          <t>Beijing Denov Ruilang Phase XV Equity Investment Fund Center (Limited Partnership)</t>
        </is>
      </c>
      <c r="CY4" s="142" t="n">
        <v>0.09810000000000001</v>
      </c>
      <c r="CZ4" s="136" t="n">
        <v>46127</v>
      </c>
      <c r="DA4" s="143" t="n">
        <v>4908.33</v>
      </c>
      <c r="DB4" s="63" t="n">
        <v>376021</v>
      </c>
      <c r="DC4" s="63" t="n">
        <v>33050210000</v>
      </c>
      <c r="DD4" s="59" t="inlineStr">
        <is>
          <t>Subscription level 4,908.33 times</t>
        </is>
      </c>
      <c r="DE4" s="141" t="inlineStr">
        <is>
          <t>NA</t>
        </is>
      </c>
      <c r="DF4" s="141" t="n">
        <v>45944</v>
      </c>
      <c r="DG4" s="63" t="n">
        <v>67333500</v>
      </c>
      <c r="DH4" s="63" t="n">
        <v>6733500</v>
      </c>
      <c r="DI4" s="63" t="n">
        <v>60600000</v>
      </c>
      <c r="DJ4" s="63" t="n">
        <v>0</v>
      </c>
      <c r="DK4" s="169" t="n">
        <v>0</v>
      </c>
      <c r="DL4" s="59" t="inlineStr">
        <is>
          <t>Number of Offer Shares reallocated from International Offering to Hong Kong Public Offering 0</t>
        </is>
      </c>
      <c r="DM4" s="144" t="n">
        <v>701000000</v>
      </c>
      <c r="DN4" s="142" t="n">
        <v>0.2598</v>
      </c>
      <c r="DO4" s="51" t="n">
        <v>517947790</v>
      </c>
      <c r="DP4" s="142" t="n">
        <v>0.1172</v>
      </c>
      <c r="DQ4" s="59" t="inlineStr">
        <is>
          <t>Free float denominator = total issued shares upon listing (col_CZ); numerator = offer shares minus cornerstone allocation</t>
        </is>
      </c>
      <c r="DR4" s="63" t="n">
        <v>517947790</v>
      </c>
      <c r="DS4" s="142" t="n">
        <v>0.08310191</v>
      </c>
      <c r="DT4" s="80" t="n">
        <v>21</v>
      </c>
      <c r="DU4" s="142" t="n">
        <v>0.0351464</v>
      </c>
      <c r="DV4" s="144" t="n">
        <v>54147000000</v>
      </c>
      <c r="DW4" s="145" t="n">
        <v>26.3</v>
      </c>
      <c r="DX4" s="169" t="n">
        <v>1.267241</v>
      </c>
      <c r="DY4" s="172" t="n">
        <v>989802450</v>
      </c>
      <c r="DZ4" s="146" t="n">
        <v>29.46</v>
      </c>
      <c r="EA4" s="146" t="n">
        <v>31</v>
      </c>
      <c r="EB4" s="146" t="n">
        <v>26.3</v>
      </c>
      <c r="EC4" s="63" t="n">
        <v>14744267</v>
      </c>
      <c r="ED4" s="169" t="n">
        <v>0.218974</v>
      </c>
      <c r="EE4" s="64" t="n"/>
      <c r="EF4" s="60" t="inlineStr">
        <is>
          <t>Mechanism B</t>
        </is>
      </c>
      <c r="EG4" s="59" t="inlineStr">
        <is>
          <t>FINI (from 22/11/2023); 2025-08-04 pricing reform (Mechanism A/B; six-month cornerstone lock-up retained); this IPO: Mechanism B</t>
        </is>
      </c>
      <c r="EH4" t="inlineStr">
        <is>
          <t>轩竹生物科技股份有限公司</t>
        </is>
      </c>
      <c r="EI4" s="174" t="inlineStr">
        <is>
          <t>Active</t>
        </is>
      </c>
      <c r="EJ4" s="175" t="n">
        <v>63.6</v>
      </c>
      <c r="EK4" s="176" t="n">
        <v>1.418251</v>
      </c>
      <c r="EL4" s="176" t="n">
        <v>4.482759</v>
      </c>
      <c r="EM4" s="176" t="n">
        <v>0.039062</v>
      </c>
      <c r="EN4" s="176" t="n">
        <v>-0.023255</v>
      </c>
      <c r="EO4" s="179" t="n">
        <v>2.3273</v>
      </c>
      <c r="EP4" s="179" t="n">
        <v>2.4758</v>
      </c>
      <c r="EQ4" s="178" t="n">
        <v>82229290</v>
      </c>
      <c r="ER4" s="175" t="n">
        <v>36.02</v>
      </c>
      <c r="ES4" s="176" t="n">
        <v>0.369582</v>
      </c>
      <c r="ET4" s="176" t="n">
        <v>2.105172</v>
      </c>
      <c r="EU4" s="176" t="n">
        <v>0.001417</v>
      </c>
      <c r="EV4" s="176" t="n">
        <v>-0.191511</v>
      </c>
      <c r="EW4" s="179" t="n">
        <v>1.3676</v>
      </c>
      <c r="EX4" s="179" t="n">
        <v>1.694</v>
      </c>
      <c r="EY4" s="178" t="n">
        <v>76682165</v>
      </c>
      <c r="EZ4" s="176" t="n">
        <v>0.178526</v>
      </c>
      <c r="FA4" s="176" t="n"/>
      <c r="FB4" s="179" t="n"/>
      <c r="FC4" s="176" t="n"/>
      <c r="FD4" s="179" t="n"/>
      <c r="FE4" s="174" t="inlineStr">
        <is>
          <t>18A (Biotech / B-tag)</t>
        </is>
      </c>
      <c r="FF4" s="181" t="n"/>
      <c r="FG4" s="185" t="n"/>
      <c r="FH4" s="183" t="n"/>
      <c r="FI4" s="178" t="n"/>
      <c r="FJ4" s="176" t="n"/>
      <c r="FK4" s="185" t="n"/>
      <c r="FL4" s="178" t="n"/>
      <c r="FM4" s="176" t="n"/>
      <c r="FN4" s="176" t="n"/>
      <c r="FO4" s="176" t="n"/>
      <c r="FP4" s="176" t="n"/>
      <c r="FQ4" s="176" t="n">
        <v>0.730038</v>
      </c>
      <c r="FR4" s="179" t="n">
        <v>1.7223</v>
      </c>
      <c r="FS4" s="176" t="n">
        <v>1.418251</v>
      </c>
      <c r="FT4" s="179" t="n">
        <v>2.3273</v>
      </c>
      <c r="FU4" s="176" t="n">
        <v>1.581749</v>
      </c>
      <c r="FV4" s="179" t="n">
        <v>2.4846</v>
      </c>
      <c r="FW4" s="179" t="n">
        <v>2.6911</v>
      </c>
      <c r="FX4" s="178" t="n">
        <v>42913236.51</v>
      </c>
      <c r="FY4" s="186" t="n">
        <v>0.001337504132231405</v>
      </c>
      <c r="FZ4" s="183" t="n">
        <v>0</v>
      </c>
      <c r="GA4" s="176" t="n">
        <v>0.1339230515393121</v>
      </c>
      <c r="GB4" s="176" t="n">
        <v>0.69742</v>
      </c>
      <c r="GC4" s="185" t="n"/>
      <c r="GD4" s="185" t="n"/>
      <c r="GE4" s="176" t="n"/>
      <c r="GF4" s="176" t="n"/>
      <c r="GG4" s="179" t="n"/>
      <c r="GH4" s="181" t="inlineStr">
        <is>
          <t>China International Capital Corporation Hong Kong Securities Limited</t>
        </is>
      </c>
      <c r="GI4" s="183" t="n">
        <v>1</v>
      </c>
      <c r="GJ4" s="183" t="n">
        <v>0</v>
      </c>
      <c r="GK4" s="176" t="n">
        <v>0.03</v>
      </c>
      <c r="GL4" s="176" t="n"/>
      <c r="GM4" s="176" t="n"/>
      <c r="GN4" s="183" t="n">
        <v>1</v>
      </c>
      <c r="GO4" s="183" t="n">
        <v>1</v>
      </c>
      <c r="GP4" s="183" t="n">
        <v>0</v>
      </c>
      <c r="GQ4" s="183" t="n">
        <v>7</v>
      </c>
      <c r="GR4" s="183" t="n">
        <v>1</v>
      </c>
      <c r="GS4" s="181" t="inlineStr">
        <is>
          <t>POST_FINI</t>
        </is>
      </c>
      <c r="GT4" s="181" t="inlineStr">
        <is>
          <t>POST_2025_REFORM</t>
        </is>
      </c>
    </row>
    <row r="5" ht="51" customFormat="1" customHeight="1" s="12">
      <c r="A5" s="43" t="n">
        <v>73</v>
      </c>
      <c r="B5" s="47" t="inlineStr">
        <is>
          <t>2670.HK</t>
        </is>
      </c>
      <c r="C5" s="44" t="inlineStr">
        <is>
          <t>Beijing Yunji Technology Co., Ltd. -  H shares</t>
        </is>
      </c>
      <c r="D5" s="130" t="n">
        <v>45938</v>
      </c>
      <c r="E5" s="48" t="n">
        <v>45946</v>
      </c>
      <c r="F5" s="43" t="inlineStr">
        <is>
          <t>CITIC Securities (Hong Kong) Limited/
CCB International Capital Limited</t>
        </is>
      </c>
      <c r="G5" s="43" t="inlineStr">
        <is>
          <t>KPMG</t>
        </is>
      </c>
      <c r="H5" s="43" t="n"/>
      <c r="I5" s="131" t="n">
        <v>131928000</v>
      </c>
      <c r="J5" s="132" t="n">
        <v>626658000</v>
      </c>
      <c r="K5" s="133" t="n">
        <v>95.59999999999999</v>
      </c>
      <c r="L5" s="81" t="n">
        <v>68718182</v>
      </c>
      <c r="M5" s="82" t="n">
        <v>6900000</v>
      </c>
      <c r="N5" s="81" t="n">
        <v>61818182</v>
      </c>
      <c r="O5" s="81" t="n">
        <v>61818182</v>
      </c>
      <c r="P5" s="81" t="n">
        <v>0</v>
      </c>
      <c r="Q5" s="81" t="n">
        <v>6900000</v>
      </c>
      <c r="R5" s="82" t="n">
        <v>6555000</v>
      </c>
      <c r="S5" s="82" t="n">
        <v>345000</v>
      </c>
      <c r="T5" s="147" t="n">
        <v>95.59999999999999</v>
      </c>
      <c r="U5" s="147" t="n">
        <v>95.59999999999999</v>
      </c>
      <c r="V5" s="169" t="n">
        <v>0</v>
      </c>
      <c r="W5" s="169" t="n">
        <v>0</v>
      </c>
      <c r="X5" s="170" t="inlineStr">
        <is>
          <t>Fixed price</t>
        </is>
      </c>
      <c r="Y5" s="26" t="inlineStr">
        <is>
          <t>RMB</t>
        </is>
      </c>
      <c r="Z5" s="137" t="n">
        <v>647362000</v>
      </c>
      <c r="AA5" s="137" t="n">
        <v>517191000</v>
      </c>
      <c r="AB5" s="137" t="n">
        <v>440538000</v>
      </c>
      <c r="AC5" s="137" t="n">
        <v>-1104091000</v>
      </c>
      <c r="AD5" s="137" t="n">
        <v>-1356056000</v>
      </c>
      <c r="AE5" s="137" t="n">
        <v>-1616854000</v>
      </c>
      <c r="AF5" s="137" t="n">
        <v>1751453000</v>
      </c>
      <c r="AG5" s="137" t="n">
        <v>1873247000</v>
      </c>
      <c r="AH5" s="137" t="n">
        <v>2057392000</v>
      </c>
      <c r="AI5" s="137" t="n">
        <v>161280000</v>
      </c>
      <c r="AJ5" s="137" t="n">
        <v>145153000</v>
      </c>
      <c r="AK5" s="137" t="n">
        <v>211989600</v>
      </c>
      <c r="AL5" s="137" t="n">
        <v>-365420000</v>
      </c>
      <c r="AM5" s="137" t="n">
        <v>-264523000</v>
      </c>
      <c r="AN5" s="137" t="n">
        <v>-284032800</v>
      </c>
      <c r="AO5" s="137" t="n">
        <v>-365420000</v>
      </c>
      <c r="AP5" s="137" t="n">
        <v>-264523000</v>
      </c>
      <c r="AQ5" s="137" t="n">
        <v>-284032800</v>
      </c>
      <c r="AR5" s="135" t="n">
        <v>0.03</v>
      </c>
      <c r="AS5" s="135" t="n">
        <v>0.03</v>
      </c>
      <c r="AT5" s="84" t="n">
        <v>0.15</v>
      </c>
      <c r="AU5" s="51" t="inlineStr">
        <is>
          <t>Hospitality robotic-based AI-empowered technology company: robots and functional kits, and AI digitalization system services</t>
        </is>
      </c>
      <c r="AV5" s="51" t="inlineStr">
        <is>
          <t>Chapter 18C of the Listing Rules (Specialist Technology Company, Commercial Company)</t>
        </is>
      </c>
      <c r="AW5" s="136" t="n">
        <v>45808</v>
      </c>
      <c r="AX5" s="137" t="n">
        <v>-52987000</v>
      </c>
      <c r="AY5" s="117" t="n">
        <v>75135000</v>
      </c>
      <c r="AZ5" s="117" t="n">
        <v>24948000</v>
      </c>
      <c r="BA5" s="117" t="n">
        <v>0</v>
      </c>
      <c r="BB5" s="138" t="n">
        <v>0.119</v>
      </c>
      <c r="BC5" s="139" t="n">
        <v>0.416667</v>
      </c>
      <c r="BD5" s="80" t="n">
        <v>1</v>
      </c>
      <c r="BE5" s="161" t="n">
        <v>1</v>
      </c>
      <c r="BF5" s="161" t="n">
        <v>1</v>
      </c>
      <c r="BG5" s="161" t="n">
        <v>1</v>
      </c>
      <c r="BH5" s="161" t="n">
        <v>1</v>
      </c>
      <c r="BI5" s="161" t="n">
        <v>1</v>
      </c>
      <c r="BJ5" s="162" t="inlineStr">
        <is>
          <t>Anhui Artificial Intelligence Company; Beijing Onion; Haihang Chuangtou; Lanting Shiling; Linzhi Tencent; Maoji No. 1; Maoji No. 2; Shanghai Kehui; Guangkong Zhongying; Wenzhou Haiyin; Lenovo Fund; Shanghai Yushu; AlphaX; TransLink; QM165; Feidian No. 1; Feidian No. 2; CITIC Securities Investment; Beijing Qiming; Lanting Qiyue; Ruiju Investment; Alibaba Internet Technology; Henan Ketou; Shanghai Feidian; Taizhoudongnanwentou Fund; Hainan Feidian; Tianjin Haiyin; Hangzhou Haoyue</t>
        </is>
      </c>
      <c r="BK5" s="163" t="inlineStr">
        <is>
          <t>NaN</t>
        </is>
      </c>
      <c r="BL5" s="161" t="inlineStr">
        <is>
          <t>NaN</t>
        </is>
      </c>
      <c r="BM5" s="164" t="inlineStr">
        <is>
          <t>Series Angel Investment</t>
        </is>
      </c>
      <c r="BN5" s="165" t="n">
        <v>11.25</v>
      </c>
      <c r="BO5" s="51" t="inlineStr">
        <is>
          <t>Natural person (Ms. Zhi Tao, co-founder, chairwoman and president)</t>
        </is>
      </c>
      <c r="BP5" s="135" t="n">
        <v>0.3105</v>
      </c>
      <c r="BQ5" s="135" t="n">
        <v>0.3286</v>
      </c>
      <c r="BR5" s="137" t="n">
        <v>1926255000</v>
      </c>
      <c r="BS5" s="73" t="inlineStr">
        <is>
          <t>Early-stage commercialization</t>
        </is>
      </c>
      <c r="BT5" s="142" t="n">
        <v>0</v>
      </c>
      <c r="BU5" s="60" t="inlineStr">
        <is>
          <t>Main Board</t>
        </is>
      </c>
      <c r="BV5" s="89" t="inlineStr">
        <is>
          <t>H Shares</t>
        </is>
      </c>
      <c r="BW5" s="61" t="n">
        <v>0</v>
      </c>
      <c r="BX5" s="77" t="n">
        <v>0</v>
      </c>
      <c r="BY5" s="77" t="n">
        <v>0</v>
      </c>
      <c r="BZ5" s="78" t="n">
        <v>1</v>
      </c>
      <c r="CA5" s="60" t="inlineStr">
        <is>
          <t>701030</t>
        </is>
      </c>
      <c r="CB5" s="76" t="inlineStr">
        <is>
          <t>HSICS (Hang Seng Industry Classification System) 2026</t>
        </is>
      </c>
      <c r="CC5" s="140" t="n">
        <v>41668</v>
      </c>
      <c r="CD5" s="171" t="n">
        <v>11.71</v>
      </c>
      <c r="CE5" s="76" t="inlineStr">
        <is>
          <t>PRC</t>
        </is>
      </c>
      <c r="CF5" s="89" t="inlineStr">
        <is>
          <t>Beijing, the PRC</t>
        </is>
      </c>
      <c r="CG5" s="91" t="n"/>
      <c r="CH5" s="60" t="inlineStr">
        <is>
          <t>IFRS Accounting Standards</t>
        </is>
      </c>
      <c r="CI5" s="141" t="n">
        <v>44927</v>
      </c>
      <c r="CJ5" s="141" t="n">
        <v>45291</v>
      </c>
      <c r="CK5" s="141" t="n">
        <v>45292</v>
      </c>
      <c r="CL5" s="141" t="n">
        <v>45657</v>
      </c>
      <c r="CM5" s="141" t="n">
        <v>45658</v>
      </c>
      <c r="CN5" s="64" t="n">
        <v>88329000</v>
      </c>
      <c r="CO5" s="64" t="n">
        <v>-118347000</v>
      </c>
      <c r="CP5" s="64" t="n">
        <v>-118347000</v>
      </c>
      <c r="CQ5" s="141" t="n">
        <v>45938</v>
      </c>
      <c r="CR5" s="141" t="n">
        <v>45943</v>
      </c>
      <c r="CS5" s="63" t="n">
        <v>61564638</v>
      </c>
      <c r="CT5" s="64" t="n">
        <v>34889000</v>
      </c>
      <c r="CU5" s="64" t="n">
        <v>588000</v>
      </c>
      <c r="CV5" s="59" t="inlineStr">
        <is>
          <t>Unqualified opinion</t>
        </is>
      </c>
      <c r="CW5" s="64" t="n">
        <v>69700000</v>
      </c>
      <c r="CX5" s="51" t="inlineStr">
        <is>
          <t>NA</t>
        </is>
      </c>
      <c r="CY5" s="142" t="n">
        <v>0</v>
      </c>
      <c r="CZ5" s="136" t="inlineStr">
        <is>
          <t>NA</t>
        </is>
      </c>
      <c r="DA5" s="143" t="n">
        <v>5657.2</v>
      </c>
      <c r="DB5" s="63" t="n">
        <v>260092</v>
      </c>
      <c r="DC5" s="63" t="n">
        <v>1951733600</v>
      </c>
      <c r="DD5" s="59" t="inlineStr">
        <is>
          <t>Subscription level 5,657.20 times (on the initially available 345,000 Hong Kong Offer Shares)</t>
        </is>
      </c>
      <c r="DE5" s="141" t="inlineStr">
        <is>
          <t>NA</t>
        </is>
      </c>
      <c r="DF5" s="141" t="n">
        <v>45945</v>
      </c>
      <c r="DG5" s="63" t="n">
        <v>6900000</v>
      </c>
      <c r="DH5" s="63" t="n">
        <v>1380000</v>
      </c>
      <c r="DI5" s="63" t="n">
        <v>5520000</v>
      </c>
      <c r="DJ5" s="63" t="n">
        <v>1035000</v>
      </c>
      <c r="DK5" s="169" t="n">
        <v>1</v>
      </c>
      <c r="DL5" s="59" t="inlineStr">
        <is>
          <t>Reallocation/clawback: 1,035,000 Offer Shares reallocated from the International Offer to the Hong Kong Public Offering</t>
        </is>
      </c>
      <c r="DM5" s="144" t="n">
        <v>593300000</v>
      </c>
      <c r="DN5" s="142" t="n">
        <v>0.5853</v>
      </c>
      <c r="DO5" s="51" t="n">
        <v>68718182</v>
      </c>
      <c r="DP5" s="142" t="n">
        <v>0.1004</v>
      </c>
      <c r="DQ5" s="59" t="inlineStr">
        <is>
          <t>Free float denominator = total issued share capital upon Listing (68,718,182 Shares, assuming the Over-allotment Option is not exercised); shares subject to disposal restrictions excluded</t>
        </is>
      </c>
      <c r="DR5" s="63" t="n">
        <v>68718182</v>
      </c>
      <c r="DS5" s="142" t="n">
        <v>0.06057873</v>
      </c>
      <c r="DT5" s="80" t="n">
        <v>16</v>
      </c>
      <c r="DU5" s="142" t="n">
        <v>0.0358667</v>
      </c>
      <c r="DV5" s="144" t="n">
        <v>54147000000</v>
      </c>
      <c r="DW5" s="145" t="n">
        <v>120.5</v>
      </c>
      <c r="DX5" s="169" t="n">
        <v>0.26046</v>
      </c>
      <c r="DY5" s="172" t="n">
        <v>171810000</v>
      </c>
      <c r="DZ5" s="146" t="n">
        <v>142.8</v>
      </c>
      <c r="EA5" s="146" t="n">
        <v>142.8</v>
      </c>
      <c r="EB5" s="146" t="n">
        <v>120.1</v>
      </c>
      <c r="EC5" s="63" t="n">
        <v>3230450</v>
      </c>
      <c r="ED5" s="169" t="n">
        <v>0.468181</v>
      </c>
      <c r="EE5" s="64" t="n"/>
      <c r="EF5" s="60" t="inlineStr">
        <is>
          <t>Mechanism A</t>
        </is>
      </c>
      <c r="EG5" s="59" t="inlineStr">
        <is>
          <t>FINI (from 22/11/2023); 2025-08-04 pricing reform (Mechanism A/B; six-month cornerstone lock-up retained); this IPO: Mechanism A</t>
        </is>
      </c>
      <c r="EH5" t="inlineStr">
        <is>
          <t>北京云迹科技股份有限公司</t>
        </is>
      </c>
      <c r="EI5" s="174" t="inlineStr">
        <is>
          <t>Active</t>
        </is>
      </c>
      <c r="EJ5" s="175" t="n">
        <v>11.52</v>
      </c>
      <c r="EK5" s="176" t="n">
        <v>-0.043983</v>
      </c>
      <c r="EL5" s="176" t="n">
        <v>0.205021</v>
      </c>
      <c r="EM5" s="176" t="n">
        <v>0.045755</v>
      </c>
      <c r="EN5" s="176" t="n">
        <v>-0.003708</v>
      </c>
      <c r="EO5" s="179" t="n">
        <v>0.9142</v>
      </c>
      <c r="EP5" s="179" t="n">
        <v>0.9596</v>
      </c>
      <c r="EQ5" s="178" t="n">
        <v>41802926</v>
      </c>
      <c r="ER5" s="175" t="n">
        <v>23.98</v>
      </c>
      <c r="ES5" s="176" t="n">
        <v>0.9900409999999999</v>
      </c>
      <c r="ET5" s="176" t="n">
        <v>1.508368</v>
      </c>
      <c r="EU5" s="176" t="n">
        <v>0.019536</v>
      </c>
      <c r="EV5" s="176" t="n">
        <v>-0.151823</v>
      </c>
      <c r="EW5" s="179" t="n">
        <v>1.9519</v>
      </c>
      <c r="EX5" s="179" t="n">
        <v>2.3463</v>
      </c>
      <c r="EY5" s="178" t="n">
        <v>14623449</v>
      </c>
      <c r="EZ5" s="176" t="n">
        <v>0.030208</v>
      </c>
      <c r="FA5" s="176" t="n"/>
      <c r="FB5" s="179" t="n"/>
      <c r="FC5" s="176" t="n"/>
      <c r="FD5" s="179" t="n"/>
      <c r="FE5" s="174" t="inlineStr">
        <is>
          <t>18C (Specialist Tech)</t>
        </is>
      </c>
      <c r="FF5" s="181" t="n"/>
      <c r="FG5" s="185" t="n"/>
      <c r="FH5" s="183" t="n"/>
      <c r="FI5" s="178" t="n"/>
      <c r="FJ5" s="176" t="n"/>
      <c r="FK5" s="185" t="n"/>
      <c r="FL5" s="178" t="n"/>
      <c r="FM5" s="176" t="n"/>
      <c r="FN5" s="176" t="n"/>
      <c r="FO5" s="176" t="n"/>
      <c r="FP5" s="176" t="n"/>
      <c r="FQ5" s="176" t="n">
        <v>0.004979</v>
      </c>
      <c r="FR5" s="179" t="n">
        <v>1.0091</v>
      </c>
      <c r="FS5" s="176" t="n">
        <v>-0.043983</v>
      </c>
      <c r="FT5" s="179" t="n">
        <v>0.9142</v>
      </c>
      <c r="FU5" s="176" t="n">
        <v>0.006639</v>
      </c>
      <c r="FV5" s="179" t="n">
        <v>0.9708</v>
      </c>
      <c r="FW5" s="179" t="n">
        <v>1.038</v>
      </c>
      <c r="FX5" s="178" t="n">
        <v>23560290.79</v>
      </c>
      <c r="FY5" s="186" t="n">
        <v>0.003923925619834711</v>
      </c>
      <c r="FZ5" s="183" t="n">
        <v>0</v>
      </c>
      <c r="GA5" s="176" t="n">
        <v>0.09457919855267902</v>
      </c>
      <c r="GB5" s="176" t="n">
        <v>0.462626</v>
      </c>
      <c r="GC5" s="185" t="n"/>
      <c r="GD5" s="185" t="n"/>
      <c r="GE5" s="176" t="n"/>
      <c r="GF5" s="176" t="n"/>
      <c r="GG5" s="179" t="n"/>
      <c r="GH5" s="181" t="inlineStr">
        <is>
          <t>CITIC Securities (Hong Kong) Limited</t>
        </is>
      </c>
      <c r="GI5" s="183" t="n">
        <v>2</v>
      </c>
      <c r="GJ5" s="183" t="n">
        <v>1</v>
      </c>
      <c r="GK5" s="176" t="n">
        <v>0.03</v>
      </c>
      <c r="GL5" s="176" t="n"/>
      <c r="GM5" s="176" t="n"/>
      <c r="GN5" s="183" t="n">
        <v>0</v>
      </c>
      <c r="GO5" s="183" t="n">
        <v>0</v>
      </c>
      <c r="GP5" s="183" t="n">
        <v>0</v>
      </c>
      <c r="GQ5" s="183" t="n">
        <v>28</v>
      </c>
      <c r="GR5" s="183" t="n">
        <v>1</v>
      </c>
      <c r="GS5" s="181" t="inlineStr">
        <is>
          <t>POST_FINI</t>
        </is>
      </c>
      <c r="GT5" s="181" t="inlineStr">
        <is>
          <t>POST_2025_REFORM</t>
        </is>
      </c>
    </row>
    <row r="6" ht="68" customFormat="1" customHeight="1" s="12">
      <c r="A6" s="43" t="n">
        <v>74</v>
      </c>
      <c r="B6" s="47" t="inlineStr">
        <is>
          <t>2637.HK</t>
        </is>
      </c>
      <c r="C6" s="44" t="inlineStr">
        <is>
          <t>Fujian Haixi Pharmaceuticals Co., Ltd. - H shares</t>
        </is>
      </c>
      <c r="D6" s="130" t="n">
        <v>45939</v>
      </c>
      <c r="E6" s="48" t="n">
        <v>45950</v>
      </c>
      <c r="F6" s="43" t="inlineStr">
        <is>
          <t>Huatai Financial Holdings (Hong Kong) Limited/
CMB International Capital Limited</t>
        </is>
      </c>
      <c r="G6" s="43" t="inlineStr">
        <is>
          <t>Deloitte Touche Tohmatsu</t>
        </is>
      </c>
      <c r="H6" s="43" t="n"/>
      <c r="I6" s="131" t="n">
        <v>99360000</v>
      </c>
      <c r="J6" s="132" t="n">
        <v>894240000</v>
      </c>
      <c r="K6" s="133" t="n">
        <v>86.40000000000001</v>
      </c>
      <c r="L6" s="81" t="n">
        <v>78707270</v>
      </c>
      <c r="M6" s="82" t="n">
        <v>11500000</v>
      </c>
      <c r="N6" s="81" t="n">
        <v>67207270</v>
      </c>
      <c r="O6" s="81" t="n">
        <v>67207270</v>
      </c>
      <c r="P6" s="81" t="n">
        <v>0</v>
      </c>
      <c r="Q6" s="81" t="n">
        <v>11500000</v>
      </c>
      <c r="R6" s="82" t="n">
        <v>10350000</v>
      </c>
      <c r="S6" s="82" t="n">
        <v>1150000</v>
      </c>
      <c r="T6" s="147" t="n">
        <v>86.40000000000001</v>
      </c>
      <c r="U6" s="147" t="n">
        <v>69.88</v>
      </c>
      <c r="V6" s="169" t="n">
        <v>0.105708</v>
      </c>
      <c r="W6" s="169" t="n">
        <v>0.211415</v>
      </c>
      <c r="X6" s="170" t="inlineStr">
        <is>
          <t>At high</t>
        </is>
      </c>
      <c r="Y6" s="26" t="inlineStr">
        <is>
          <t>RMB</t>
        </is>
      </c>
      <c r="Z6" s="137" t="n">
        <v>561544000</v>
      </c>
      <c r="AA6" s="137" t="n">
        <v>755819000</v>
      </c>
      <c r="AB6" s="137" t="n">
        <v>821920000</v>
      </c>
      <c r="AC6" s="137" t="n">
        <v>405247000</v>
      </c>
      <c r="AD6" s="137" t="n">
        <v>541327000</v>
      </c>
      <c r="AE6" s="137" t="n">
        <v>631536000</v>
      </c>
      <c r="AF6" s="137" t="n">
        <v>156297000</v>
      </c>
      <c r="AG6" s="137" t="n">
        <v>214492000</v>
      </c>
      <c r="AH6" s="137" t="n">
        <v>190384000</v>
      </c>
      <c r="AI6" s="137" t="n">
        <v>316633000</v>
      </c>
      <c r="AJ6" s="137" t="n">
        <v>466683000</v>
      </c>
      <c r="AK6" s="137" t="n">
        <v>598118400</v>
      </c>
      <c r="AL6" s="137" t="n">
        <v>132813000</v>
      </c>
      <c r="AM6" s="137" t="n">
        <v>148994000</v>
      </c>
      <c r="AN6" s="137" t="n">
        <v>248318400</v>
      </c>
      <c r="AO6" s="137" t="n">
        <v>117454000</v>
      </c>
      <c r="AP6" s="137" t="n">
        <v>136079000</v>
      </c>
      <c r="AQ6" s="137" t="n">
        <v>216501600</v>
      </c>
      <c r="AR6" s="135" t="n">
        <v>0.015</v>
      </c>
      <c r="AS6" s="135" t="n">
        <v>0.015</v>
      </c>
      <c r="AT6" s="84" t="inlineStr">
        <is>
          <t>NaN</t>
        </is>
      </c>
      <c r="AU6" s="51" t="inlineStr">
        <is>
          <t>Pharmaceutical company - R&amp;D, production and sales of generic drugs and of innovative drug candidates</t>
        </is>
      </c>
      <c r="AV6" s="51" t="inlineStr">
        <is>
          <t>Main Board - H-share issuer (PRC issuer; Chapter 19A of the Listing Rules)</t>
        </is>
      </c>
      <c r="AW6" s="136" t="n">
        <v>45808</v>
      </c>
      <c r="AX6" s="137" t="n">
        <v>80135000</v>
      </c>
      <c r="AY6" s="117" t="n">
        <v>46259000</v>
      </c>
      <c r="AZ6" s="117" t="n">
        <v>22513000</v>
      </c>
      <c r="BA6" s="117" t="inlineStr">
        <is>
          <t>NaN</t>
        </is>
      </c>
      <c r="BB6" s="138" t="n">
        <v>0.717</v>
      </c>
      <c r="BC6" s="139" t="n">
        <v>0.416667</v>
      </c>
      <c r="BD6" s="80" t="n">
        <v>1</v>
      </c>
      <c r="BE6" s="161" t="n">
        <v>1</v>
      </c>
      <c r="BF6" s="161" t="n">
        <v>1</v>
      </c>
      <c r="BG6" s="161" t="inlineStr">
        <is>
          <t>NaN</t>
        </is>
      </c>
      <c r="BH6" s="161" t="n">
        <v>1</v>
      </c>
      <c r="BI6" s="161" t="inlineStr">
        <is>
          <t>NaN</t>
        </is>
      </c>
      <c r="BJ6" s="162" t="inlineStr">
        <is>
          <t>Zhanhongda Investment; Jindonghong Capital; Jindongshi Capital; Huaxinyue Investment; Hongrang Investment; Xinrui Investment; Hongpan Investment; Huifu Chuangjing</t>
        </is>
      </c>
      <c r="BK6" s="163" t="n">
        <v>0.3766</v>
      </c>
      <c r="BL6" s="161" t="inlineStr">
        <is>
          <t>NaN</t>
        </is>
      </c>
      <c r="BM6" s="164" t="inlineStr">
        <is>
          <t>Capital increase in 2018 and 2019</t>
        </is>
      </c>
      <c r="BN6" s="165" t="n">
        <v>7.39</v>
      </c>
      <c r="BO6" s="51" t="inlineStr">
        <is>
          <t>Natural persons (co-founders acting in concert)</t>
        </is>
      </c>
      <c r="BP6" s="135" t="n">
        <v>0.3515</v>
      </c>
      <c r="BQ6" s="135" t="n">
        <v>0.3515</v>
      </c>
      <c r="BR6" s="137" t="n">
        <v>38770000</v>
      </c>
      <c r="BS6" s="73" t="inlineStr">
        <is>
          <t>Commercial-stage (commercialised generic drugs; four innovative drug candidates in clinical/preclinical development)</t>
        </is>
      </c>
      <c r="BT6" s="142" t="n">
        <v>0</v>
      </c>
      <c r="BU6" s="60" t="inlineStr">
        <is>
          <t>Main Board</t>
        </is>
      </c>
      <c r="BV6" s="89" t="inlineStr">
        <is>
          <t>H Shares</t>
        </is>
      </c>
      <c r="BW6" s="61" t="n">
        <v>0</v>
      </c>
      <c r="BX6" s="77" t="n">
        <v>0</v>
      </c>
      <c r="BY6" s="77" t="n">
        <v>0</v>
      </c>
      <c r="BZ6" s="78" t="n">
        <v>0</v>
      </c>
      <c r="CA6" s="60" t="inlineStr">
        <is>
          <t>281010</t>
        </is>
      </c>
      <c r="CB6" s="76" t="inlineStr">
        <is>
          <t>HSICS (Hang Seng Industry Classification System) 2026</t>
        </is>
      </c>
      <c r="CC6" s="140" t="n">
        <v>40995</v>
      </c>
      <c r="CD6" s="171" t="n">
        <v>13.57</v>
      </c>
      <c r="CE6" s="76" t="inlineStr">
        <is>
          <t>PRC</t>
        </is>
      </c>
      <c r="CF6" s="89" t="inlineStr">
        <is>
          <t>Fuzhou, Fujian Province, PRC</t>
        </is>
      </c>
      <c r="CG6" s="91" t="n"/>
      <c r="CH6" s="60" t="inlineStr">
        <is>
          <t>IFRS Accounting Standards</t>
        </is>
      </c>
      <c r="CI6" s="141" t="n">
        <v>44927</v>
      </c>
      <c r="CJ6" s="141" t="n">
        <v>45291</v>
      </c>
      <c r="CK6" s="141" t="n">
        <v>45292</v>
      </c>
      <c r="CL6" s="141" t="n">
        <v>45657</v>
      </c>
      <c r="CM6" s="141" t="n">
        <v>45658</v>
      </c>
      <c r="CN6" s="64" t="n">
        <v>249216000</v>
      </c>
      <c r="CO6" s="64" t="n">
        <v>103466000</v>
      </c>
      <c r="CP6" s="64" t="n">
        <v>90209000</v>
      </c>
      <c r="CQ6" s="141" t="n">
        <v>45939</v>
      </c>
      <c r="CR6" s="141" t="n">
        <v>45944</v>
      </c>
      <c r="CS6" s="63" t="n">
        <v>78707270</v>
      </c>
      <c r="CT6" s="64" t="n">
        <v>209276000</v>
      </c>
      <c r="CU6" s="64" t="n">
        <v>8723000</v>
      </c>
      <c r="CV6" s="59" t="inlineStr">
        <is>
          <t>Unqualified opinion</t>
        </is>
      </c>
      <c r="CW6" s="64" t="n">
        <v>50600000</v>
      </c>
      <c r="CX6" s="51" t="inlineStr">
        <is>
          <t>Harvest International Premium Value (Secondary Market) Fund SPC acting on behalf of and for the account of Harvest Oriental SP</t>
        </is>
      </c>
      <c r="CY6" s="142" t="n">
        <v>0.1723</v>
      </c>
      <c r="CZ6" s="136" t="n">
        <v>46132</v>
      </c>
      <c r="DA6" s="143" t="n">
        <v>3165.1</v>
      </c>
      <c r="DB6" s="63" t="n">
        <v>316139</v>
      </c>
      <c r="DC6" s="63" t="n">
        <v>3639820300</v>
      </c>
      <c r="DD6" s="59" t="inlineStr">
        <is>
          <t>Subscription level 3,165.1 times</t>
        </is>
      </c>
      <c r="DE6" s="141" t="n">
        <v>45945</v>
      </c>
      <c r="DF6" s="141" t="n">
        <v>45947</v>
      </c>
      <c r="DG6" s="63" t="n">
        <v>11500000</v>
      </c>
      <c r="DH6" s="63" t="n">
        <v>1150000</v>
      </c>
      <c r="DI6" s="63" t="n">
        <v>10350000</v>
      </c>
      <c r="DJ6" s="63" t="n">
        <v>0</v>
      </c>
      <c r="DK6" s="169" t="n">
        <v>0</v>
      </c>
      <c r="DL6" s="59" t="inlineStr">
        <is>
          <t>No reallocation/clawback; the final number of Hong Kong Public Offer Shares remained 1,150,000, being 10.00% of the Global Offering</t>
        </is>
      </c>
      <c r="DM6" s="144" t="n">
        <v>940130000</v>
      </c>
      <c r="DN6" s="142" t="n">
        <v>0.2672</v>
      </c>
      <c r="DO6" s="51" t="n">
        <v>78707270</v>
      </c>
      <c r="DP6" s="142" t="n">
        <v>0.1209</v>
      </c>
      <c r="DQ6" s="59" t="inlineStr">
        <is>
          <t>Free float denominator = total issued shares upon listing (col_CZ); numerator = offer shares minus cornerstone allocation</t>
        </is>
      </c>
      <c r="DR6" s="63" t="n">
        <v>78707270</v>
      </c>
      <c r="DS6" s="142" t="n">
        <v>0.04663943</v>
      </c>
      <c r="DT6" s="80" t="n">
        <v>17</v>
      </c>
      <c r="DU6" s="142" t="n">
        <v>0.0355417</v>
      </c>
      <c r="DV6" s="144" t="n">
        <v>54167000000</v>
      </c>
      <c r="DW6" s="145" t="n">
        <v>104.2</v>
      </c>
      <c r="DX6" s="169" t="n">
        <v>0.206019</v>
      </c>
      <c r="DY6" s="172" t="n">
        <v>204700000</v>
      </c>
      <c r="DZ6" s="146" t="n">
        <v>102</v>
      </c>
      <c r="EA6" s="146" t="n">
        <v>117.8</v>
      </c>
      <c r="EB6" s="146" t="n">
        <v>100</v>
      </c>
      <c r="EC6" s="63" t="n">
        <v>2398750</v>
      </c>
      <c r="ED6" s="169" t="n">
        <v>0.208587</v>
      </c>
      <c r="EE6" s="64" t="n"/>
      <c r="EF6" s="60" t="inlineStr">
        <is>
          <t>Mechanism B</t>
        </is>
      </c>
      <c r="EG6" s="59" t="inlineStr">
        <is>
          <t>FINI (from 22/11/2023); 2025-08-04 pricing reform (Mechanism A/B; six-month cornerstone lock-up retained); this IPO: Mechanism B</t>
        </is>
      </c>
      <c r="EH6" t="inlineStr">
        <is>
          <t>福建海西新药创制股份有限公司</t>
        </is>
      </c>
      <c r="EI6" s="174" t="inlineStr">
        <is>
          <t>Active</t>
        </is>
      </c>
      <c r="EJ6" s="175" t="n">
        <v>134.8</v>
      </c>
      <c r="EK6" s="176" t="n">
        <v>0.293666</v>
      </c>
      <c r="EL6" s="176" t="n">
        <v>0.560185</v>
      </c>
      <c r="EM6" s="176" t="n">
        <v>0.02032</v>
      </c>
      <c r="EN6" s="176" t="n">
        <v>-0.029713</v>
      </c>
      <c r="EO6" s="179" t="n">
        <v>1.2679</v>
      </c>
      <c r="EP6" s="179" t="n">
        <v>1.3333</v>
      </c>
      <c r="EQ6" s="178" t="n">
        <v>29110280</v>
      </c>
      <c r="ER6" s="175" t="n">
        <v>190</v>
      </c>
      <c r="ES6" s="176" t="n">
        <v>0.823417</v>
      </c>
      <c r="ET6" s="176" t="n">
        <v>1.199074</v>
      </c>
      <c r="EU6" s="176" t="n">
        <v>0.019422</v>
      </c>
      <c r="EV6" s="176" t="n">
        <v>-0.146219</v>
      </c>
      <c r="EW6" s="179" t="n">
        <v>1.7887</v>
      </c>
      <c r="EX6" s="179" t="n">
        <v>2.1357</v>
      </c>
      <c r="EY6" s="178" t="n">
        <v>83444180</v>
      </c>
      <c r="EZ6" s="176" t="n">
        <v>0.306965</v>
      </c>
      <c r="FA6" s="176" t="n"/>
      <c r="FB6" s="179" t="n"/>
      <c r="FC6" s="176" t="n"/>
      <c r="FD6" s="179" t="n"/>
      <c r="FE6" s="174" t="inlineStr">
        <is>
          <t>Standard</t>
        </is>
      </c>
      <c r="FF6" s="181" t="n"/>
      <c r="FG6" s="185" t="n"/>
      <c r="FH6" s="183" t="n"/>
      <c r="FI6" s="178" t="n"/>
      <c r="FJ6" s="176" t="n"/>
      <c r="FK6" s="185" t="n"/>
      <c r="FL6" s="178" t="n"/>
      <c r="FM6" s="176" t="n"/>
      <c r="FN6" s="176" t="n"/>
      <c r="FO6" s="176" t="n"/>
      <c r="FP6" s="176" t="n"/>
      <c r="FQ6" s="176" t="n">
        <v>0.050864</v>
      </c>
      <c r="FR6" s="179" t="n">
        <v>1.0388</v>
      </c>
      <c r="FS6" s="176" t="n">
        <v>0.293666</v>
      </c>
      <c r="FT6" s="179" t="n">
        <v>1.2679</v>
      </c>
      <c r="FU6" s="176" t="n">
        <v>0.451056</v>
      </c>
      <c r="FV6" s="179" t="n">
        <v>1.4166</v>
      </c>
      <c r="FW6" s="179" t="n">
        <v>1.5148</v>
      </c>
      <c r="FX6" s="178" t="n">
        <v>15803115.87</v>
      </c>
      <c r="FY6" s="186" t="n">
        <v>0.001839471074380165</v>
      </c>
      <c r="FZ6" s="183" t="n">
        <v>0</v>
      </c>
      <c r="GA6" s="176" t="n">
        <v>0.04349096495509708</v>
      </c>
      <c r="GB6" s="176" t="n">
        <v>0.225108</v>
      </c>
      <c r="GC6" s="185" t="n"/>
      <c r="GD6" s="185" t="n"/>
      <c r="GE6" s="176" t="n"/>
      <c r="GF6" s="176" t="n"/>
      <c r="GG6" s="179" t="n"/>
      <c r="GH6" s="181" t="inlineStr">
        <is>
          <t>Huatai Financial Holdings (Hong Kong) Limited</t>
        </is>
      </c>
      <c r="GI6" s="183" t="n">
        <v>2</v>
      </c>
      <c r="GJ6" s="183" t="n">
        <v>1</v>
      </c>
      <c r="GK6" s="176" t="n">
        <v>0.015</v>
      </c>
      <c r="GL6" s="176" t="n"/>
      <c r="GM6" s="176" t="n"/>
      <c r="GN6" s="183" t="n">
        <v>1</v>
      </c>
      <c r="GO6" s="183" t="n">
        <v>1</v>
      </c>
      <c r="GP6" s="183" t="n">
        <v>0</v>
      </c>
      <c r="GQ6" s="183" t="n">
        <v>8</v>
      </c>
      <c r="GR6" s="183" t="n">
        <v>1</v>
      </c>
      <c r="GS6" s="181" t="inlineStr">
        <is>
          <t>POST_FINI</t>
        </is>
      </c>
      <c r="GT6" s="181" t="inlineStr">
        <is>
          <t>POST_2025_REFORM</t>
        </is>
      </c>
    </row>
    <row r="7" ht="68" customFormat="1" customHeight="1" s="12">
      <c r="A7" s="43" t="n">
        <v>75</v>
      </c>
      <c r="B7" s="47" t="inlineStr">
        <is>
          <t>6687.HK</t>
        </is>
      </c>
      <c r="C7" s="44" t="inlineStr">
        <is>
          <t>JST Group Corporation Limited</t>
        </is>
      </c>
      <c r="D7" s="130" t="n">
        <v>45943</v>
      </c>
      <c r="E7" s="48" t="n">
        <v>45951</v>
      </c>
      <c r="F7" s="43" t="inlineStr">
        <is>
          <t>China International Capital Corporation
Hong Kong Securities Limited/
J.P. Morgan Securities (Far East) Limited</t>
        </is>
      </c>
      <c r="G7" s="43" t="inlineStr">
        <is>
          <t>PricewaterhouseCoopers</t>
        </is>
      </c>
      <c r="H7" s="43" t="n"/>
      <c r="I7" s="131" t="n">
        <v>208591020</v>
      </c>
      <c r="J7" s="132" t="n">
        <v>2190176640</v>
      </c>
      <c r="K7" s="133" t="n">
        <v>30.6</v>
      </c>
      <c r="L7" s="81" t="n">
        <v>426038600</v>
      </c>
      <c r="M7" s="82" t="n">
        <v>68166200</v>
      </c>
      <c r="N7" s="81" t="n">
        <v>357872400</v>
      </c>
      <c r="O7" s="81" t="n">
        <v>357872400</v>
      </c>
      <c r="P7" s="81" t="n">
        <v>0</v>
      </c>
      <c r="Q7" s="81" t="n">
        <v>68166200</v>
      </c>
      <c r="R7" s="82" t="n">
        <v>61349500</v>
      </c>
      <c r="S7" s="82" t="n">
        <v>6816700</v>
      </c>
      <c r="T7" s="147" t="n">
        <v>30.6</v>
      </c>
      <c r="U7" s="147" t="n">
        <v>30.6</v>
      </c>
      <c r="V7" s="169" t="n">
        <v>0</v>
      </c>
      <c r="W7" s="169" t="n">
        <v>0</v>
      </c>
      <c r="X7" s="170" t="inlineStr">
        <is>
          <t>Fixed price</t>
        </is>
      </c>
      <c r="Y7" s="26" t="inlineStr">
        <is>
          <t>RMB</t>
        </is>
      </c>
      <c r="Z7" s="137" t="n">
        <v>1458512000</v>
      </c>
      <c r="AA7" s="137" t="n">
        <v>1743112000</v>
      </c>
      <c r="AB7" s="137" t="n">
        <v>2215325000</v>
      </c>
      <c r="AC7" s="137" t="n">
        <v>-1513067000</v>
      </c>
      <c r="AD7" s="137" t="n">
        <v>-3673221000</v>
      </c>
      <c r="AE7" s="137" t="n">
        <v>-3649496000</v>
      </c>
      <c r="AF7" s="137" t="n">
        <v>2971579000</v>
      </c>
      <c r="AG7" s="137" t="n">
        <v>5416333000</v>
      </c>
      <c r="AH7" s="137" t="n">
        <v>5864821000</v>
      </c>
      <c r="AI7" s="137" t="n">
        <v>523078000</v>
      </c>
      <c r="AJ7" s="137" t="n">
        <v>697191000</v>
      </c>
      <c r="AK7" s="137" t="n">
        <v>909750000</v>
      </c>
      <c r="AL7" s="137" t="n">
        <v>-507079000</v>
      </c>
      <c r="AM7" s="137" t="n">
        <v>-490023000</v>
      </c>
      <c r="AN7" s="137" t="n">
        <v>-79641000</v>
      </c>
      <c r="AO7" s="137" t="n">
        <v>-507079000</v>
      </c>
      <c r="AP7" s="137" t="n">
        <v>-490023000</v>
      </c>
      <c r="AQ7" s="137" t="n">
        <v>10583000</v>
      </c>
      <c r="AR7" s="135" t="n">
        <v>0.024</v>
      </c>
      <c r="AS7" s="135" t="n">
        <v>0.024</v>
      </c>
      <c r="AT7" s="84" t="n">
        <v>0.15</v>
      </c>
      <c r="AU7" s="51" t="inlineStr">
        <is>
          <t>E-commerce SaaS ERP provider (software-as-a-service enterprise resource planning for e-commerce merchants)</t>
        </is>
      </c>
      <c r="AV7" s="51" t="inlineStr">
        <is>
          <t>Chapter 8 of the Listing Rules (market capitalisation/revenue test under Rule 8.05(3))</t>
        </is>
      </c>
      <c r="AW7" s="136" t="n">
        <v>45657</v>
      </c>
      <c r="AX7" s="137" t="n">
        <v>279170000</v>
      </c>
      <c r="AY7" s="117" t="n">
        <v>1085276000</v>
      </c>
      <c r="AZ7" s="117" t="n">
        <v>239798000</v>
      </c>
      <c r="BA7" s="117" t="n">
        <v>0</v>
      </c>
      <c r="BB7" s="138" t="n">
        <v>0.01</v>
      </c>
      <c r="BC7" s="139" t="n">
        <v>1</v>
      </c>
      <c r="BD7" s="80" t="n">
        <v>1</v>
      </c>
      <c r="BE7" s="161" t="n">
        <v>1</v>
      </c>
      <c r="BF7" s="161" t="n">
        <v>1</v>
      </c>
      <c r="BG7" s="161" t="n">
        <v>1</v>
      </c>
      <c r="BH7" s="161" t="inlineStr">
        <is>
          <t>NaN</t>
        </is>
      </c>
      <c r="BI7" s="161" t="inlineStr">
        <is>
          <t>NaN</t>
        </is>
      </c>
      <c r="BJ7" s="162" t="inlineStr">
        <is>
          <t>GRANITE ASIA VIII INVESTMENTS PTE. LTD.; Shanghai Jingyu Enterprise Management Consulting Partnership (L.P.); VP JST II LP; VP JST I LP; Shanghai Blue Lake; Blue Lake Capital Fund II, L.P.; Blue Lake Capital Opportunity Fund I, L.P.; Max Dazzle Limited; CICC Gongying Fund; Shanghai Zhuolu Management Consulting Partnership (L.P.); IKARIA GROUP LIMITED; Seashine Capital Limited; Beijing Weiguang Equity Investment Partnership (L.P.); Ameba Bamboo Limited; Ameba Mercury Limited; Fuzhou Ameba; Suzhou Yuanjing; Hangzhou Yuanjing; Huzhou Wanlu; Dimension Enterprises Limited; Jiaxing Huihai; Daniel and Owen Limited; Bottle Tea Limited</t>
        </is>
      </c>
      <c r="BK7" s="163" t="inlineStr">
        <is>
          <t>NaN</t>
        </is>
      </c>
      <c r="BL7" s="161" t="n">
        <v>1</v>
      </c>
      <c r="BM7" s="164" t="inlineStr">
        <is>
          <t>Series Angel</t>
        </is>
      </c>
      <c r="BN7" s="165" t="n">
        <v>9.92</v>
      </c>
      <c r="BO7" s="51" t="inlineStr">
        <is>
          <t>Natural person (Mr. Luo Haidong)</t>
        </is>
      </c>
      <c r="BP7" s="135" t="n">
        <v>0.1916</v>
      </c>
      <c r="BQ7" s="135" t="n">
        <v>0.3937</v>
      </c>
      <c r="BR7" s="137" t="n">
        <v>16178000</v>
      </c>
      <c r="BS7" s="73" t="inlineStr">
        <is>
          <t>Commercialised SaaS products with recurring subscription revenue</t>
        </is>
      </c>
      <c r="BT7" s="142" t="n">
        <v>0</v>
      </c>
      <c r="BU7" s="60" t="inlineStr">
        <is>
          <t>Main Board</t>
        </is>
      </c>
      <c r="BV7" s="89" t="inlineStr">
        <is>
          <t>Ordinary Shares</t>
        </is>
      </c>
      <c r="BW7" s="61" t="n">
        <v>0</v>
      </c>
      <c r="BX7" s="77" t="n">
        <v>0</v>
      </c>
      <c r="BY7" s="77" t="n">
        <v>0</v>
      </c>
      <c r="BZ7" s="78" t="n">
        <v>0</v>
      </c>
      <c r="CA7" s="60" t="inlineStr">
        <is>
          <t>702030</t>
        </is>
      </c>
      <c r="CB7" s="76" t="inlineStr">
        <is>
          <t>HSICS (Hang Seng Industry Classification System) 2026</t>
        </is>
      </c>
      <c r="CC7" s="140" t="n">
        <v>44410</v>
      </c>
      <c r="CD7" s="171" t="n">
        <v>4.22</v>
      </c>
      <c r="CE7" s="76" t="inlineStr">
        <is>
          <t>Cayman Islands</t>
        </is>
      </c>
      <c r="CF7" s="89" t="inlineStr">
        <is>
          <t>Shanghai, PRC</t>
        </is>
      </c>
      <c r="CG7" s="91" t="n">
        <v>1000</v>
      </c>
      <c r="CH7" s="60" t="inlineStr">
        <is>
          <t>IFRS Accounting Standards</t>
        </is>
      </c>
      <c r="CI7" s="141" t="n">
        <v>44562</v>
      </c>
      <c r="CJ7" s="141" t="n">
        <v>44926</v>
      </c>
      <c r="CK7" s="141" t="n">
        <v>44927</v>
      </c>
      <c r="CL7" s="141" t="n">
        <v>45291</v>
      </c>
      <c r="CM7" s="141" t="n">
        <v>45292</v>
      </c>
      <c r="CN7" s="64" t="n">
        <v>909750000</v>
      </c>
      <c r="CO7" s="64" t="n">
        <v>-79641000</v>
      </c>
      <c r="CP7" s="64" t="n">
        <v>10583000</v>
      </c>
      <c r="CQ7" s="141" t="n">
        <v>45943</v>
      </c>
      <c r="CR7" s="141" t="n">
        <v>45946</v>
      </c>
      <c r="CS7" s="63" t="n">
        <v>426038600</v>
      </c>
      <c r="CT7" s="64" t="n">
        <v>622851000</v>
      </c>
      <c r="CU7" s="64" t="n">
        <v>1818000</v>
      </c>
      <c r="CV7" s="59" t="inlineStr">
        <is>
          <t>Unqualified opinion</t>
        </is>
      </c>
      <c r="CW7" s="64" t="n">
        <v>148300000</v>
      </c>
      <c r="CX7" s="51" t="inlineStr">
        <is>
          <t>Blue Lake Capital Opportunity Fund; CUAM Entities; DAMSIMF; Fourier Global Master Fund; GRANITE ASIA VIII INVESTMENTS PTE. LTD.; Greenwoods HK; GTCS Holdings; HongShan Growth; Jain Global Master Fund; Perseverance Asset Management; Stoneylake Global Alpha Fund; WT Asset Management; 3W Fund</t>
        </is>
      </c>
      <c r="CY7" s="142" t="n">
        <v>0.485</v>
      </c>
      <c r="CZ7" s="136" t="n">
        <v>46133</v>
      </c>
      <c r="DA7" s="143" t="n">
        <v>1952.95</v>
      </c>
      <c r="DB7" s="63" t="n">
        <v>386815</v>
      </c>
      <c r="DC7" s="63" t="n">
        <v>13312663300</v>
      </c>
      <c r="DD7" s="59" t="inlineStr">
        <is>
          <t>Subscription level 1,952.95 times (Hong Kong Public Offering); International Offering Subscription Level 22.89 times</t>
        </is>
      </c>
      <c r="DE7" s="141" t="inlineStr">
        <is>
          <t>NA</t>
        </is>
      </c>
      <c r="DF7" s="141" t="n">
        <v>45950</v>
      </c>
      <c r="DG7" s="63" t="n">
        <v>68166200</v>
      </c>
      <c r="DH7" s="63" t="n">
        <v>6816700</v>
      </c>
      <c r="DI7" s="63" t="n">
        <v>61349500</v>
      </c>
      <c r="DJ7" s="63" t="n">
        <v>10224900</v>
      </c>
      <c r="DK7" s="169" t="n">
        <v>1</v>
      </c>
      <c r="DL7" s="59" t="inlineStr">
        <is>
          <t>Claw-back not triggered; final no. of Offer Shares under the Hong Kong Public Offering 6,816,700, i.e. 10% of the Global Offering</t>
        </is>
      </c>
      <c r="DM7" s="144" t="n">
        <v>1937620000</v>
      </c>
      <c r="DN7" s="142" t="n">
        <v>0.6063</v>
      </c>
      <c r="DO7" s="51" t="n">
        <v>426038600</v>
      </c>
      <c r="DP7" s="142" t="n">
        <v>0.0824</v>
      </c>
      <c r="DQ7" s="59" t="inlineStr">
        <is>
          <t>Total issued Shares upon Listing (426,038,600) net of pre-Listing Shareholders' lock-up (84.00%) and Cornerstone Investors' six-month lock-up (7.76%)</t>
        </is>
      </c>
      <c r="DR7" s="63" t="n">
        <v>426038600</v>
      </c>
      <c r="DS7" s="142" t="n">
        <v>0.00343737</v>
      </c>
      <c r="DT7" s="80" t="n">
        <v>18</v>
      </c>
      <c r="DU7" s="142" t="n">
        <v>0.0348435</v>
      </c>
      <c r="DV7" s="144" t="n">
        <v>54167000000</v>
      </c>
      <c r="DW7" s="145" t="n">
        <v>37.9</v>
      </c>
      <c r="DX7" s="169" t="n">
        <v>0.238562</v>
      </c>
      <c r="DY7" s="172" t="n">
        <v>497613260</v>
      </c>
      <c r="DZ7" s="146" t="n">
        <v>38</v>
      </c>
      <c r="EA7" s="146" t="n">
        <v>40.58</v>
      </c>
      <c r="EB7" s="146" t="n">
        <v>35.1</v>
      </c>
      <c r="EC7" s="63" t="n">
        <v>37490701</v>
      </c>
      <c r="ED7" s="169" t="n">
        <v>0.54999</v>
      </c>
      <c r="EE7" s="64" t="n"/>
      <c r="EF7" s="60" t="inlineStr">
        <is>
          <t>Mechanism B</t>
        </is>
      </c>
      <c r="EG7" s="59" t="inlineStr">
        <is>
          <t>FINI (from 22/11/2023); 2025-08-04 pricing reform (Mechanism A/B; six-month cornerstone lock-up retained); this IPO: Mechanism B</t>
        </is>
      </c>
      <c r="EH7" t="inlineStr">
        <is>
          <t>聚水潭集团股份有限公司</t>
        </is>
      </c>
      <c r="EI7" s="174" t="inlineStr">
        <is>
          <t>Active</t>
        </is>
      </c>
      <c r="EJ7" s="175" t="n">
        <v>27.26</v>
      </c>
      <c r="EK7" s="176" t="n">
        <v>-0.280739</v>
      </c>
      <c r="EL7" s="176" t="n">
        <v>-0.10915</v>
      </c>
      <c r="EM7" s="176" t="n">
        <v>-0.003747</v>
      </c>
      <c r="EN7" s="176" t="n">
        <v>-0.060289</v>
      </c>
      <c r="EO7" s="179" t="n">
        <v>0.722</v>
      </c>
      <c r="EP7" s="179" t="n">
        <v>0.7654</v>
      </c>
      <c r="EQ7" s="178" t="n">
        <v>122984155</v>
      </c>
      <c r="ER7" s="175" t="n">
        <v>18.57</v>
      </c>
      <c r="ES7" s="176" t="n">
        <v>-0.510026</v>
      </c>
      <c r="ET7" s="176" t="n">
        <v>-0.393137</v>
      </c>
      <c r="EU7" s="176" t="n">
        <v>0.017671</v>
      </c>
      <c r="EV7" s="176" t="n">
        <v>-0.157532</v>
      </c>
      <c r="EW7" s="179" t="n">
        <v>0.4815</v>
      </c>
      <c r="EX7" s="179" t="n">
        <v>0.5816</v>
      </c>
      <c r="EY7" s="178" t="n">
        <v>42254405</v>
      </c>
      <c r="EZ7" s="176" t="n">
        <v>0.029333</v>
      </c>
      <c r="FA7" s="176" t="n"/>
      <c r="FB7" s="179" t="n"/>
      <c r="FC7" s="176" t="n"/>
      <c r="FD7" s="179" t="n"/>
      <c r="FE7" s="174" t="inlineStr">
        <is>
          <t>Standard</t>
        </is>
      </c>
      <c r="FF7" s="181" t="n"/>
      <c r="FG7" s="185" t="n"/>
      <c r="FH7" s="183" t="n"/>
      <c r="FI7" s="178" t="n"/>
      <c r="FJ7" s="176" t="n"/>
      <c r="FK7" s="185" t="n"/>
      <c r="FL7" s="178" t="n"/>
      <c r="FM7" s="176" t="n"/>
      <c r="FN7" s="176" t="n"/>
      <c r="FO7" s="176" t="n"/>
      <c r="FP7" s="176" t="n"/>
      <c r="FQ7" s="176" t="n">
        <v>-0.077573</v>
      </c>
      <c r="FR7" s="179" t="n">
        <v>0.9083</v>
      </c>
      <c r="FS7" s="176" t="n">
        <v>-0.280739</v>
      </c>
      <c r="FT7" s="179" t="n">
        <v>0.722</v>
      </c>
      <c r="FU7" s="176" t="n">
        <v>-0.25752</v>
      </c>
      <c r="FV7" s="179" t="n">
        <v>0.7269</v>
      </c>
      <c r="FW7" s="179" t="n">
        <v>0.7763</v>
      </c>
      <c r="FX7" s="178" t="n">
        <v>44576422.22</v>
      </c>
      <c r="FY7" s="186" t="n">
        <v>0.003170793388429752</v>
      </c>
      <c r="FZ7" s="183" t="n">
        <v>0</v>
      </c>
      <c r="GA7" s="176" t="n">
        <v>0.05327005904615513</v>
      </c>
      <c r="GB7" s="176" t="n">
        <v>0.5970760000000001</v>
      </c>
      <c r="GC7" s="185" t="n"/>
      <c r="GD7" s="185" t="n"/>
      <c r="GE7" s="176" t="n"/>
      <c r="GF7" s="176" t="n"/>
      <c r="GG7" s="179" t="n"/>
      <c r="GH7" s="181" t="inlineStr">
        <is>
          <t>China International Capital Corporation Hong Kong Securities Limited</t>
        </is>
      </c>
      <c r="GI7" s="183" t="n">
        <v>2</v>
      </c>
      <c r="GJ7" s="183" t="n">
        <v>0</v>
      </c>
      <c r="GK7" s="176" t="n">
        <v>0.024</v>
      </c>
      <c r="GL7" s="176" t="n"/>
      <c r="GM7" s="176" t="n"/>
      <c r="GN7" s="183" t="n">
        <v>13</v>
      </c>
      <c r="GO7" s="183" t="n">
        <v>1</v>
      </c>
      <c r="GP7" s="183" t="n">
        <v>0</v>
      </c>
      <c r="GQ7" s="183" t="n">
        <v>25</v>
      </c>
      <c r="GR7" s="183" t="n">
        <v>1</v>
      </c>
      <c r="GS7" s="181" t="inlineStr">
        <is>
          <t>POST_FINI</t>
        </is>
      </c>
      <c r="GT7" s="181" t="inlineStr">
        <is>
          <t>POST_2025_REFORM</t>
        </is>
      </c>
    </row>
    <row r="8" ht="34" customFormat="1" customHeight="1" s="12">
      <c r="A8" s="43" t="n">
        <v>76</v>
      </c>
      <c r="B8" s="47" t="inlineStr">
        <is>
          <t>0638.HK</t>
        </is>
      </c>
      <c r="C8" s="44" t="inlineStr">
        <is>
          <t>Fibocom Wireless Inc. - H  shares</t>
        </is>
      </c>
      <c r="D8" s="130" t="n">
        <v>45944</v>
      </c>
      <c r="E8" s="48" t="n">
        <v>45952</v>
      </c>
      <c r="F8" s="43" t="inlineStr">
        <is>
          <t>CITIC Securities (Hong Kong) Limited</t>
        </is>
      </c>
      <c r="G8" s="43" t="inlineStr">
        <is>
          <t>Grant Thornton 
Hong Kong Limited</t>
        </is>
      </c>
      <c r="H8" s="43" t="n"/>
      <c r="I8" s="131" t="n">
        <v>290426300</v>
      </c>
      <c r="J8" s="148" t="n">
        <v>2613798000</v>
      </c>
      <c r="K8" s="133" t="n">
        <v>21.5</v>
      </c>
      <c r="L8" t="n">
        <v>900533742</v>
      </c>
      <c r="M8" s="67" t="n">
        <v>135080200</v>
      </c>
      <c r="N8" t="n">
        <v>765453542</v>
      </c>
      <c r="O8" t="n">
        <v>765453542</v>
      </c>
      <c r="P8" t="n">
        <v>0</v>
      </c>
      <c r="Q8" t="n">
        <v>135080200</v>
      </c>
      <c r="R8" s="67" t="n">
        <v>121572000</v>
      </c>
      <c r="S8" s="67" t="n">
        <v>13508200</v>
      </c>
      <c r="T8" s="147" t="n">
        <v>21.5</v>
      </c>
      <c r="U8" s="147" t="n">
        <v>19.88</v>
      </c>
      <c r="V8" s="169" t="n">
        <v>0.039149</v>
      </c>
      <c r="W8" s="169" t="n">
        <v>0.07829899999999999</v>
      </c>
      <c r="X8" s="170" t="inlineStr">
        <is>
          <t>At high</t>
        </is>
      </c>
      <c r="Y8" s="26" t="inlineStr">
        <is>
          <t>RMB</t>
        </is>
      </c>
      <c r="Z8" s="137" t="n">
        <v>7095287000</v>
      </c>
      <c r="AA8" s="137" t="n">
        <v>7549056000</v>
      </c>
      <c r="AB8" s="137" t="n">
        <v>7830806000</v>
      </c>
      <c r="AC8" s="137" t="n">
        <v>3128609000</v>
      </c>
      <c r="AD8" s="137" t="n">
        <v>3612961000</v>
      </c>
      <c r="AE8" s="137" t="n">
        <v>3809280000</v>
      </c>
      <c r="AF8" s="137" t="n">
        <v>3966678000</v>
      </c>
      <c r="AG8" s="137" t="n">
        <v>3936095000</v>
      </c>
      <c r="AH8" s="137" t="n">
        <v>4021526000</v>
      </c>
      <c r="AI8" s="137" t="n">
        <v>5651814000</v>
      </c>
      <c r="AJ8" s="137" t="n">
        <v>6971189000</v>
      </c>
      <c r="AK8" s="137" t="n">
        <v>7441944000</v>
      </c>
      <c r="AL8" s="137" t="n">
        <v>384822000</v>
      </c>
      <c r="AM8" s="137" t="n">
        <v>370589000</v>
      </c>
      <c r="AN8" s="137" t="n">
        <v>511215000</v>
      </c>
      <c r="AO8" s="137" t="n">
        <v>564988000</v>
      </c>
      <c r="AP8" s="137" t="n">
        <v>676838000</v>
      </c>
      <c r="AQ8" s="137" t="n">
        <v>480795000</v>
      </c>
      <c r="AR8" s="142" t="n">
        <v>0.02</v>
      </c>
      <c r="AS8" s="142" t="n">
        <v>0.02</v>
      </c>
      <c r="AT8" s="84" t="n">
        <v>0.15</v>
      </c>
      <c r="AU8" s="51" t="inlineStr">
        <is>
          <t>Wireless communication module provider - design, research and development and sales of wireless communication modules and solutions (data transmission modules, smart modules, AI modules; Edge AI, robotic and other solutions)</t>
        </is>
      </c>
      <c r="AV8" s="51" t="inlineStr">
        <is>
          <t>A+H listing: new H Shares listed on the Main Board of the Stock Exchange by a PRC issuer (Listing Rules Chapter 19A; Rules 19A.13A/19A.13C/19A.15 cited); existing A Shares listed on the ChiNext Board of the Shenzhen Stock Exchange</t>
        </is>
      </c>
      <c r="AW8" s="136" t="n">
        <v>45777</v>
      </c>
      <c r="AX8" s="137" t="n">
        <v>-138710000</v>
      </c>
      <c r="AY8" s="117" t="n">
        <v>807073000</v>
      </c>
      <c r="AZ8" s="117" t="n">
        <v>182250000</v>
      </c>
      <c r="BA8" s="117" t="n">
        <v>8010000</v>
      </c>
      <c r="BB8" s="138" t="n">
        <v>0.632</v>
      </c>
      <c r="BC8" s="139" t="n">
        <v>0.333333</v>
      </c>
      <c r="BD8" s="80" t="inlineStr">
        <is>
          <t>NaN</t>
        </is>
      </c>
      <c r="BE8" s="161" t="inlineStr">
        <is>
          <t>NaN</t>
        </is>
      </c>
      <c r="BF8" s="161" t="inlineStr">
        <is>
          <t>NaN</t>
        </is>
      </c>
      <c r="BG8" s="161" t="inlineStr">
        <is>
          <t>NaN</t>
        </is>
      </c>
      <c r="BH8" s="161" t="inlineStr">
        <is>
          <t>NaN</t>
        </is>
      </c>
      <c r="BI8" s="161" t="inlineStr">
        <is>
          <t>NaN</t>
        </is>
      </c>
      <c r="BJ8" s="162" t="inlineStr">
        <is>
          <t>NA</t>
        </is>
      </c>
      <c r="BK8" s="163" t="inlineStr">
        <is>
          <t>NaN</t>
        </is>
      </c>
      <c r="BL8" s="161" t="inlineStr">
        <is>
          <t>NaN</t>
        </is>
      </c>
      <c r="BM8" s="164" t="inlineStr">
        <is>
          <t>NA</t>
        </is>
      </c>
      <c r="BN8" s="165" t="inlineStr">
        <is>
          <t>NaN</t>
        </is>
      </c>
      <c r="BO8" s="51" t="inlineStr">
        <is>
          <t>Individual</t>
        </is>
      </c>
      <c r="BP8" s="135" t="n">
        <v>0.3126</v>
      </c>
      <c r="BQ8" s="135" t="n">
        <v>0.3135</v>
      </c>
      <c r="BR8" s="137" t="n">
        <v>1395119000</v>
      </c>
      <c r="BS8" s="51" t="inlineStr">
        <is>
          <t>Commercial sales</t>
        </is>
      </c>
      <c r="BT8" s="142" t="n">
        <v>0.1</v>
      </c>
      <c r="BU8" s="60" t="inlineStr">
        <is>
          <t>Main Board</t>
        </is>
      </c>
      <c r="BV8" s="89" t="inlineStr">
        <is>
          <t>H Shares</t>
        </is>
      </c>
      <c r="BW8" s="61" t="n">
        <v>1</v>
      </c>
      <c r="BX8" s="77" t="n">
        <v>0</v>
      </c>
      <c r="BY8" s="77" t="n">
        <v>0</v>
      </c>
      <c r="BZ8" s="78" t="n">
        <v>0</v>
      </c>
      <c r="CA8" s="60" t="inlineStr">
        <is>
          <t>701010</t>
        </is>
      </c>
      <c r="CB8" s="76" t="inlineStr">
        <is>
          <t>HSICS (Hang Seng Industry Classification System) 2026</t>
        </is>
      </c>
      <c r="CC8" s="140" t="n">
        <v>36475</v>
      </c>
      <c r="CD8" s="171" t="n">
        <v>25.95</v>
      </c>
      <c r="CE8" s="76" t="inlineStr">
        <is>
          <t>PRC</t>
        </is>
      </c>
      <c r="CF8" s="89" t="inlineStr">
        <is>
          <t>Shenzhen, Guangdong, PRC</t>
        </is>
      </c>
      <c r="CG8" s="91" t="n"/>
      <c r="CH8" s="60" t="inlineStr">
        <is>
          <t>IFRS</t>
        </is>
      </c>
      <c r="CI8" s="141" t="n">
        <v>44927</v>
      </c>
      <c r="CJ8" s="141" t="n">
        <v>45291</v>
      </c>
      <c r="CK8" s="141" t="n">
        <v>45292</v>
      </c>
      <c r="CL8" s="141" t="n">
        <v>45657</v>
      </c>
      <c r="CM8" s="141" t="n">
        <v>45658</v>
      </c>
      <c r="CN8" s="64" t="n">
        <v>2480648000</v>
      </c>
      <c r="CO8" s="64" t="n">
        <v>170405000</v>
      </c>
      <c r="CP8" s="64" t="n">
        <v>160265000</v>
      </c>
      <c r="CQ8" s="141" t="n">
        <v>45944</v>
      </c>
      <c r="CR8" s="141" t="n">
        <v>45947</v>
      </c>
      <c r="CS8" s="63" t="n">
        <v>135080200</v>
      </c>
      <c r="CT8" s="64" t="n">
        <v>438851000</v>
      </c>
      <c r="CU8" s="64" t="n">
        <v>54018000</v>
      </c>
      <c r="CV8" s="59" t="inlineStr">
        <is>
          <t>Unqualified</t>
        </is>
      </c>
      <c r="CW8" s="64" t="n">
        <v>105400000</v>
      </c>
      <c r="CX8" s="51" t="inlineStr">
        <is>
          <t>Hong Kong Qindao Gantong Co., Limited; Pacific Asset Management Co., Limited; CPIC Investment Management (H.K.) Company Limited; GF Fund Management Co., Ltd.; GF International Investment Management Limited; RUIHUA (INTERNATIONAL) INVESTMENT LIMITED; Genimous Investment (Hong Kong) Co., Limited; Mr. Zhang Xiaolei; Guotai Junan Investments (Hong Kong) Limited; Dream’ee (Hong Kong) Open-ended Fund Company</t>
        </is>
      </c>
      <c r="CY8" s="142" t="n">
        <v>0.4304</v>
      </c>
      <c r="CZ8" s="136" t="n">
        <v>46134</v>
      </c>
      <c r="DA8" s="143" t="n">
        <v>550.99</v>
      </c>
      <c r="DB8" s="63" t="n">
        <v>191156</v>
      </c>
      <c r="DC8" s="63" t="n">
        <v>7442847800</v>
      </c>
      <c r="DD8" s="59" t="inlineStr">
        <is>
          <t>Subscription level 550.99 times</t>
        </is>
      </c>
      <c r="DE8" s="141" t="n">
        <v>45950</v>
      </c>
      <c r="DF8" s="141" t="n">
        <v>45951</v>
      </c>
      <c r="DG8" s="63" t="n">
        <v>135080200</v>
      </c>
      <c r="DH8" s="63" t="n">
        <v>13508200</v>
      </c>
      <c r="DI8" s="63" t="n">
        <v>121572000</v>
      </c>
      <c r="DJ8" s="63" t="n">
        <v>0</v>
      </c>
      <c r="DK8" s="169" t="n">
        <v>0</v>
      </c>
      <c r="DL8" s="59" t="inlineStr">
        <is>
          <t>No claw-back triggered; the final number of Offer Shares under the Hong Kong Public Offering remained 13,508,200, representing 10.00% of the Global Offering</t>
        </is>
      </c>
      <c r="DM8" s="144" t="n">
        <v>2810600000</v>
      </c>
      <c r="DN8" s="142" t="n">
        <v>0.1504</v>
      </c>
      <c r="DO8" s="51" t="n">
        <v>900533742</v>
      </c>
      <c r="DP8" s="142" t="n">
        <v>0.0854</v>
      </c>
      <c r="DQ8" s="59" t="inlineStr">
        <is>
          <t>Total issued shares upon Listing (before exercise of the Over-allotment Option) = 900,533,742 Shares; H Shares held by Cornerstone Investors are subject to a six-month lock-up and are excluded from free float</t>
        </is>
      </c>
      <c r="DR8" s="63" t="n">
        <v>900533742</v>
      </c>
      <c r="DS8" s="142" t="n">
        <v>-0.00754568</v>
      </c>
      <c r="DT8" s="80" t="n">
        <v>18</v>
      </c>
      <c r="DU8" s="142" t="n">
        <v>0.0344024</v>
      </c>
      <c r="DV8" s="144" t="n">
        <v>54167000000</v>
      </c>
      <c r="DW8" s="145" t="n">
        <v>18.98</v>
      </c>
      <c r="DX8" s="169" t="n">
        <v>-0.117209</v>
      </c>
      <c r="DY8" s="172" t="n">
        <v>-340402104</v>
      </c>
      <c r="DZ8" s="146" t="n">
        <v>21.5</v>
      </c>
      <c r="EA8" s="146" t="n">
        <v>21.6</v>
      </c>
      <c r="EB8" s="146" t="n">
        <v>18.89</v>
      </c>
      <c r="EC8" s="63" t="n">
        <v>31770800</v>
      </c>
      <c r="ED8" s="169" t="n">
        <v>0.2352</v>
      </c>
      <c r="EE8" s="64" t="n"/>
      <c r="EF8" s="60" t="inlineStr">
        <is>
          <t>Mechanism B</t>
        </is>
      </c>
      <c r="EG8" s="59" t="inlineStr">
        <is>
          <t>FINI (from 22/11/2023); 2025-08-04 pricing reform (Mechanism A/B; six-month cornerstone lock-up retained); this IPO: Mechanism B</t>
        </is>
      </c>
      <c r="EH8" t="inlineStr">
        <is>
          <t>深圳市广和通无线股份有限公司</t>
        </is>
      </c>
      <c r="EI8" s="174" t="inlineStr">
        <is>
          <t>Active</t>
        </is>
      </c>
      <c r="EJ8" s="175" t="n">
        <v>17.102</v>
      </c>
      <c r="EK8" s="176" t="n">
        <v>-0.08604100000000001</v>
      </c>
      <c r="EL8" s="176" t="n">
        <v>-0.193166</v>
      </c>
      <c r="EM8" s="176" t="n">
        <v>0.001896</v>
      </c>
      <c r="EN8" s="176" t="n">
        <v>-0.053383</v>
      </c>
      <c r="EO8" s="179" t="n">
        <v>0.9122</v>
      </c>
      <c r="EP8" s="179" t="n">
        <v>0.9655</v>
      </c>
      <c r="EQ8" s="178" t="n">
        <v>85160523.5</v>
      </c>
      <c r="ER8" s="175" t="n">
        <v>13.682</v>
      </c>
      <c r="ES8" s="176" t="n">
        <v>-0.268811</v>
      </c>
      <c r="ET8" s="176" t="n">
        <v>-0.354514</v>
      </c>
      <c r="EU8" s="176" t="n">
        <v>0.014796</v>
      </c>
      <c r="EV8" s="176" t="n">
        <v>-0.161934</v>
      </c>
      <c r="EW8" s="179" t="n">
        <v>0.7205</v>
      </c>
      <c r="EX8" s="179" t="n">
        <v>0.8725000000000001</v>
      </c>
      <c r="EY8" s="178" t="n">
        <v>31243209</v>
      </c>
      <c r="EZ8" s="176" t="n">
        <v>0.048388</v>
      </c>
      <c r="FA8" s="176" t="n"/>
      <c r="FB8" s="179" t="n"/>
      <c r="FC8" s="176" t="n"/>
      <c r="FD8" s="179" t="n"/>
      <c r="FE8" s="174" t="inlineStr">
        <is>
          <t>Standard</t>
        </is>
      </c>
      <c r="FF8" s="181" t="n"/>
      <c r="FG8" s="185" t="n"/>
      <c r="FH8" s="183" t="n"/>
      <c r="FI8" s="178" t="n"/>
      <c r="FJ8" s="176" t="n"/>
      <c r="FK8" s="185" t="n"/>
      <c r="FL8" s="178" t="n"/>
      <c r="FM8" s="176" t="n"/>
      <c r="FN8" s="176" t="n"/>
      <c r="FO8" s="176" t="n"/>
      <c r="FP8" s="176" t="n"/>
      <c r="FQ8" s="176" t="n">
        <v>0.004275</v>
      </c>
      <c r="FR8" s="179" t="n">
        <v>0.9828</v>
      </c>
      <c r="FS8" s="176" t="n">
        <v>-0.08604100000000001</v>
      </c>
      <c r="FT8" s="179" t="n">
        <v>0.9122</v>
      </c>
      <c r="FU8" s="176" t="n">
        <v>-0.167272</v>
      </c>
      <c r="FV8" s="179" t="n">
        <v>0.8062</v>
      </c>
      <c r="FW8" s="179" t="n">
        <v>0.8559</v>
      </c>
      <c r="FX8" s="178" t="n">
        <v>74319177.94</v>
      </c>
      <c r="FY8" s="186" t="n">
        <v>0.001015132231404959</v>
      </c>
      <c r="FZ8" s="183" t="n">
        <v>0</v>
      </c>
      <c r="GA8" s="176" t="n">
        <v>0.03782882145873186</v>
      </c>
      <c r="GB8" s="176" t="n">
        <v>0.465967</v>
      </c>
      <c r="GC8" s="185" t="n"/>
      <c r="GD8" s="185" t="n"/>
      <c r="GE8" s="176" t="n"/>
      <c r="GF8" s="176" t="n"/>
      <c r="GG8" s="179" t="n"/>
      <c r="GH8" s="181" t="inlineStr">
        <is>
          <t>CITIC Securities (Hong Kong) Limited</t>
        </is>
      </c>
      <c r="GI8" s="183" t="n">
        <v>1</v>
      </c>
      <c r="GJ8" s="183" t="n">
        <v>0</v>
      </c>
      <c r="GK8" s="176" t="n">
        <v>0.02</v>
      </c>
      <c r="GL8" s="176" t="n"/>
      <c r="GM8" s="176" t="n"/>
      <c r="GN8" s="183" t="n">
        <v>14</v>
      </c>
      <c r="GO8" s="183" t="n">
        <v>1</v>
      </c>
      <c r="GP8" s="183" t="n">
        <v>0</v>
      </c>
      <c r="GQ8" s="183" t="n">
        <v>0</v>
      </c>
      <c r="GR8" s="183" t="n">
        <v>0</v>
      </c>
      <c r="GS8" s="181" t="inlineStr">
        <is>
          <t>POST_FINI</t>
        </is>
      </c>
      <c r="GT8" s="181" t="inlineStr">
        <is>
          <t>POST_2025_REFORM</t>
        </is>
      </c>
    </row>
    <row r="9" ht="119" customFormat="1" customHeight="1" s="12">
      <c r="A9" s="43" t="n">
        <v>79</v>
      </c>
      <c r="B9" s="47" t="inlineStr">
        <is>
          <t>1384.HK</t>
        </is>
      </c>
      <c r="C9" s="44" t="inlineStr">
        <is>
          <t>Deepexi Technology Co., Ltd. - H shares</t>
        </is>
      </c>
      <c r="D9" s="130" t="n">
        <v>45950</v>
      </c>
      <c r="E9" s="48" t="n">
        <v>45958</v>
      </c>
      <c r="F9" s="43" t="inlineStr">
        <is>
          <t>CITIC Securities (Hong Kong) Limited/
CMBC International Capital Limited/
Guotai Junan Capital Limited/
SPDB International Capital Limited/
BOCOM International (Asia) Limited</t>
        </is>
      </c>
      <c r="G9" s="43" t="inlineStr">
        <is>
          <t>Ernst &amp; Young</t>
        </is>
      </c>
      <c r="H9" s="43" t="n"/>
      <c r="I9" s="131" t="n">
        <v>142001824</v>
      </c>
      <c r="J9" s="148" t="n">
        <v>568007296</v>
      </c>
      <c r="K9" s="133" t="n">
        <v>26.66</v>
      </c>
      <c r="L9" t="n">
        <v>326632000</v>
      </c>
      <c r="M9" s="67" t="n">
        <v>26632000</v>
      </c>
      <c r="N9" t="n">
        <v>300000000</v>
      </c>
      <c r="O9" t="n">
        <v>300000000</v>
      </c>
      <c r="P9" t="n">
        <v>0</v>
      </c>
      <c r="Q9" t="n">
        <v>26632000</v>
      </c>
      <c r="R9" s="67" t="n">
        <v>25300400</v>
      </c>
      <c r="S9" s="67" t="n">
        <v>1331600</v>
      </c>
      <c r="T9" s="147" t="n">
        <v>26.66</v>
      </c>
      <c r="U9" s="147" t="n">
        <v>26.66</v>
      </c>
      <c r="V9" s="169" t="n">
        <v>0</v>
      </c>
      <c r="W9" s="169" t="n">
        <v>0</v>
      </c>
      <c r="X9" s="170" t="inlineStr">
        <is>
          <t>Fixed price</t>
        </is>
      </c>
      <c r="Y9" s="26" t="inlineStr">
        <is>
          <t>RMB</t>
        </is>
      </c>
      <c r="Z9" s="137" t="n">
        <v>464976000</v>
      </c>
      <c r="AA9" s="137" t="n">
        <v>424816000</v>
      </c>
      <c r="AB9" s="137" t="n">
        <v>399182000</v>
      </c>
      <c r="AC9" s="137" t="n">
        <v>-2423904000</v>
      </c>
      <c r="AD9" s="137" t="n">
        <v>-3675914000</v>
      </c>
      <c r="AE9" s="137" t="n">
        <v>-3897179000</v>
      </c>
      <c r="AF9" s="137" t="n">
        <v>2888880000</v>
      </c>
      <c r="AG9" s="137" t="n">
        <v>4100730000</v>
      </c>
      <c r="AH9" s="137" t="n">
        <v>4296361000</v>
      </c>
      <c r="AI9" s="137" t="n">
        <v>129040000</v>
      </c>
      <c r="AJ9" s="137" t="n">
        <v>242926000</v>
      </c>
      <c r="AK9" s="137" t="n">
        <v>264206000</v>
      </c>
      <c r="AL9" s="137" t="n">
        <v>-502819000</v>
      </c>
      <c r="AM9" s="137" t="n">
        <v>-1254990000</v>
      </c>
      <c r="AN9" s="137" t="n">
        <v>-616342000</v>
      </c>
      <c r="AO9" s="137" t="n">
        <v>-502895000</v>
      </c>
      <c r="AP9" s="137" t="n">
        <v>-1254990000</v>
      </c>
      <c r="AQ9" s="137" t="n">
        <v>-616442000</v>
      </c>
      <c r="AR9" s="142" t="n">
        <v>0.0375</v>
      </c>
      <c r="AS9" s="142" t="n">
        <v>0.0375</v>
      </c>
      <c r="AT9" s="84" t="n">
        <v>0</v>
      </c>
      <c r="AU9" s="51" t="inlineStr">
        <is>
          <t>Enterprise large model AI application solutions</t>
        </is>
      </c>
      <c r="AV9" s="51" t="inlineStr">
        <is>
          <t>Chapter 18C of the Listing Rules</t>
        </is>
      </c>
      <c r="AW9" s="136" t="n">
        <v>45838</v>
      </c>
      <c r="AX9" s="137" t="n">
        <v>-100919000</v>
      </c>
      <c r="AY9" s="117" t="n">
        <v>183385000</v>
      </c>
      <c r="AZ9" s="117" t="n">
        <v>58244000</v>
      </c>
      <c r="BA9" s="117" t="n">
        <v>0</v>
      </c>
      <c r="BB9" s="138" t="n">
        <v>0.317</v>
      </c>
      <c r="BC9" s="139" t="n">
        <v>0.5</v>
      </c>
      <c r="BD9" s="80" t="n">
        <v>1</v>
      </c>
      <c r="BE9" s="161" t="n">
        <v>1</v>
      </c>
      <c r="BF9" s="161" t="n">
        <v>1</v>
      </c>
      <c r="BG9" s="161" t="n">
        <v>1</v>
      </c>
      <c r="BH9" s="161" t="n">
        <v>1</v>
      </c>
      <c r="BI9" s="161" t="n">
        <v>1</v>
      </c>
      <c r="BJ9" s="162" t="inlineStr">
        <is>
          <t>HH AUT-XV HK Holdings Limited (HH AUT); CHH AUT-XV HK Holdings Limited (CHH AUT); Evolution Holding II Limited (5Y Evolution Holding II); Tianjin Dehui Investment Management Partnership (Limited Partnership) (Tianjin Dehui); Beijing Xingtou Youxuan Entrepreneurship Investment Fund (Limited Partnership) (Youxuan Fund); Jiangsu Xingtou Xinyuan Equity Investment Fund (Limited Partnership) (Xinyuan Fund); Jiangsu Jiequan Green Industry Equity Investment Fund (Limited Partnership) (Jiequan Fund); SPDBI Waltz Limited (SPDBI Waltz); SPDBI Star Limited (SPDBI Star); Zhuhai Gaoling Zhike Equity Investment Partnership (Limited Partnership) (Zhuhai Zhike); Zhuhai Songheng Enterprise Management Partnership (Limited Partnership) (Zhuhai Songheng); Pleasure Focus Limited (Pleasure Focus); Guangzhou Chuzhe Zhixin Equity Investment Partnership (Limited Partnership) (Chuzhe Zhixin); Chuxin Growth Management Fund I Limited (Chuxin Growth); Chuxin Investment Capital I LLC (Chuxin LLC); Chuxin Investment Capital I Limited (Chuxin Limited); Lighthouse International Growth Fund L.P. (Lighthouse); Qingdao Ruidi Private Equity Investment Fund Partnership (Limited Partnership) (Qingdao Ruidi); Tianjin Ruidi Equity Investment Fund Partnership (Limited Partnership) (Tianjin Ruidi); Axilight AA6_LH1 International L.P. (Axilight); Nanjing Zhizhao No. 2 Equity Investment Partnership (Limited Partnership) (Zhizhao No. 2); Shanghai AI Industrial Equity Investment Fund Partnership (Limited Partnership) (Shanghai AI); China Merchants Venture Capital Fund, L.P. (CMVC Fund); Shenzhen China Merchant Innovation Investment Fund Center (Limited Partnership) (CM Innovation Fund); BAI GmbH (BAI); Beijing Ruihui Haina Technology Industrial Fund (Limited Partnership) (Ruihui Haina); Gongqingcheng Hangjian Equity Investment Fund Partnership (Limited Partnership) (Gongqingcheng Hangjian); Angel Prosperity Investment HK II Limited (Angel Prosperity); DDZ HK Investment Holdings Limited (DDZ Holdings); CMBC Financial Investment Capital Management (Beijing) Co., Ltd. (CMBC Financial Investment); BOCOM International Asset Management Limited (BOCOM AM); Qingdao Yinxu Youxuan No. 1 Private Equity Investment Fund Partnership (Limited Partnership) (Yinxu Youxuan No. 1)</t>
        </is>
      </c>
      <c r="BK9" s="163" t="n">
        <v>0.6505</v>
      </c>
      <c r="BL9" s="161" t="n">
        <v>1</v>
      </c>
      <c r="BM9" s="164" t="inlineStr">
        <is>
          <t>Series Angel Financing</t>
        </is>
      </c>
      <c r="BN9" s="165" t="n">
        <v>6.95</v>
      </c>
      <c r="BO9" s="51" t="inlineStr">
        <is>
          <t>自然人</t>
        </is>
      </c>
      <c r="BP9" s="135" t="n">
        <v>0.321</v>
      </c>
      <c r="BQ9" s="135" t="n">
        <v>0.321</v>
      </c>
      <c r="BR9" s="137" t="n">
        <v>4198503000</v>
      </c>
      <c r="BS9" s="51" t="inlineStr">
        <is>
          <t>Large-scale commercialization</t>
        </is>
      </c>
      <c r="BT9" s="142" t="n">
        <v>0</v>
      </c>
      <c r="BU9" s="60" t="inlineStr">
        <is>
          <t>Main Board</t>
        </is>
      </c>
      <c r="BV9" s="89" t="inlineStr">
        <is>
          <t>H Shares</t>
        </is>
      </c>
      <c r="BW9" s="61" t="n">
        <v>0</v>
      </c>
      <c r="BX9" s="77" t="n">
        <v>0</v>
      </c>
      <c r="BY9" s="77" t="n">
        <v>0</v>
      </c>
      <c r="BZ9" s="78" t="n">
        <v>1</v>
      </c>
      <c r="CA9" s="60" t="inlineStr">
        <is>
          <t>702015</t>
        </is>
      </c>
      <c r="CB9" s="76" t="inlineStr">
        <is>
          <t>HSICS (Hang Seng Industry Classification System) 2026</t>
        </is>
      </c>
      <c r="CC9" s="140" t="n">
        <v>43223</v>
      </c>
      <c r="CD9" s="171" t="n">
        <v>7.49</v>
      </c>
      <c r="CE9" s="76" t="inlineStr">
        <is>
          <t>PRC</t>
        </is>
      </c>
      <c r="CF9" s="89" t="inlineStr">
        <is>
          <t>Beijing, PRC</t>
        </is>
      </c>
      <c r="CG9" s="91" t="n">
        <v>1000</v>
      </c>
      <c r="CH9" s="60" t="inlineStr">
        <is>
          <t>HKFRS Accounting Standards</t>
        </is>
      </c>
      <c r="CI9" s="141" t="n">
        <v>44927</v>
      </c>
      <c r="CJ9" s="141" t="n">
        <v>45291</v>
      </c>
      <c r="CK9" s="141" t="n">
        <v>45292</v>
      </c>
      <c r="CL9" s="141" t="n">
        <v>45657</v>
      </c>
      <c r="CM9" s="141" t="n">
        <v>45658</v>
      </c>
      <c r="CN9" s="64" t="n">
        <v>132103000</v>
      </c>
      <c r="CO9" s="64" t="n">
        <v>-308171000</v>
      </c>
      <c r="CP9" s="64" t="n">
        <v>-308221000</v>
      </c>
      <c r="CQ9" s="141" t="n">
        <v>45950</v>
      </c>
      <c r="CR9" s="141" t="n">
        <v>45953</v>
      </c>
      <c r="CS9" s="63" t="n">
        <v>326632000</v>
      </c>
      <c r="CT9" s="64" t="n">
        <v>72706000</v>
      </c>
      <c r="CU9" s="64" t="n">
        <v>300000</v>
      </c>
      <c r="CV9" s="59" t="inlineStr">
        <is>
          <t>Unqualified opinion</t>
        </is>
      </c>
      <c r="CW9" s="64" t="n">
        <v>91500000</v>
      </c>
      <c r="CX9" s="51" t="inlineStr">
        <is>
          <t>NA</t>
        </is>
      </c>
      <c r="CY9" s="142" t="n">
        <v>0</v>
      </c>
      <c r="CZ9" s="136" t="inlineStr">
        <is>
          <t>NA</t>
        </is>
      </c>
      <c r="DA9" s="143" t="n">
        <v>7569.83</v>
      </c>
      <c r="DB9" s="63" t="n">
        <v>236934</v>
      </c>
      <c r="DC9" s="63" t="n">
        <v>10079987200</v>
      </c>
      <c r="DD9" s="59" t="inlineStr">
        <is>
          <t>Subscription level 7,569.83 times</t>
        </is>
      </c>
      <c r="DE9" s="141" t="inlineStr">
        <is>
          <t>NA</t>
        </is>
      </c>
      <c r="DF9" s="141" t="n">
        <v>45957</v>
      </c>
      <c r="DG9" s="63" t="n">
        <v>26632000</v>
      </c>
      <c r="DH9" s="63" t="n">
        <v>5326400</v>
      </c>
      <c r="DI9" s="63" t="n">
        <v>21305600</v>
      </c>
      <c r="DJ9" s="63" t="n">
        <v>0</v>
      </c>
      <c r="DK9" s="169" t="n">
        <v>0</v>
      </c>
      <c r="DL9" s="59" t="inlineStr">
        <is>
          <t>Claw-back triggered: Yes; Final no. of Offer Shares under the Public Offer (after reallocation): 5,326,400</t>
        </is>
      </c>
      <c r="DM9" s="144" t="n">
        <v>609770000</v>
      </c>
      <c r="DN9" s="142" t="n">
        <v>0.679</v>
      </c>
      <c r="DO9" s="51" t="n">
        <v>326632000</v>
      </c>
      <c r="DP9" s="142" t="n">
        <v>0.0815</v>
      </c>
      <c r="DQ9" s="59" t="inlineStr">
        <is>
          <t>Free float denominator = total issued shares upon listing (col_CZ); numerator = offer shares minus cornerstone allocation</t>
        </is>
      </c>
      <c r="DR9" s="63" t="n">
        <v>326632000</v>
      </c>
      <c r="DS9" s="142" t="n">
        <v>-0.06173877</v>
      </c>
      <c r="DT9" s="80" t="n">
        <v>20</v>
      </c>
      <c r="DU9" s="142" t="n">
        <v>0.0353167</v>
      </c>
      <c r="DV9" s="144" t="n">
        <v>54164000000</v>
      </c>
      <c r="DW9" s="145" t="n">
        <v>66.8</v>
      </c>
      <c r="DX9" s="169" t="n">
        <v>1.505626</v>
      </c>
      <c r="DY9" s="172" t="n">
        <v>1069008480</v>
      </c>
      <c r="DZ9" s="146" t="n">
        <v>56.5</v>
      </c>
      <c r="EA9" s="146" t="n">
        <v>68.40000000000001</v>
      </c>
      <c r="EB9" s="146" t="n">
        <v>52.1</v>
      </c>
      <c r="EC9" s="63" t="n">
        <v>11698160</v>
      </c>
      <c r="ED9" s="169" t="n">
        <v>0.439252</v>
      </c>
      <c r="EE9" s="64" t="n"/>
      <c r="EF9" s="60" t="inlineStr">
        <is>
          <t>Mechanism A</t>
        </is>
      </c>
      <c r="EG9" s="59" t="inlineStr">
        <is>
          <t>FINI (from 22/11/2023); 2025-08-04 pricing reform (Mechanism A/B; six-month cornerstone lock-up retained); this IPO: Mechanism A</t>
        </is>
      </c>
      <c r="EH9" t="inlineStr">
        <is>
          <t>滴普科技股份有限公司</t>
        </is>
      </c>
      <c r="EI9" s="174" t="inlineStr">
        <is>
          <t>Active</t>
        </is>
      </c>
      <c r="EJ9" s="175" t="n">
        <v>78.5</v>
      </c>
      <c r="EK9" s="176" t="n">
        <v>0.17515</v>
      </c>
      <c r="EL9" s="176" t="n">
        <v>1.944486</v>
      </c>
      <c r="EM9" s="176" t="n">
        <v>-0.017141</v>
      </c>
      <c r="EN9" s="176" t="n">
        <v>-0.07900500000000001</v>
      </c>
      <c r="EO9" s="179" t="n">
        <v>1.1956</v>
      </c>
      <c r="EP9" s="179" t="n">
        <v>1.276</v>
      </c>
      <c r="EQ9" s="178" t="n">
        <v>152660220</v>
      </c>
      <c r="ER9" s="175" t="n">
        <v>48.64</v>
      </c>
      <c r="ES9" s="176" t="n">
        <v>-0.271856</v>
      </c>
      <c r="ET9" s="176" t="n">
        <v>0.824456</v>
      </c>
      <c r="EU9" s="176" t="n">
        <v>-0.025293</v>
      </c>
      <c r="EV9" s="176" t="n">
        <v>-0.207805</v>
      </c>
      <c r="EW9" s="179" t="n">
        <v>0.747</v>
      </c>
      <c r="EX9" s="179" t="n">
        <v>0.9191</v>
      </c>
      <c r="EY9" s="178" t="n">
        <v>1036204665</v>
      </c>
      <c r="EZ9" s="176" t="n">
        <v>1.691822</v>
      </c>
      <c r="FA9" s="176" t="n"/>
      <c r="FB9" s="179" t="n"/>
      <c r="FC9" s="176" t="n"/>
      <c r="FD9" s="179" t="n"/>
      <c r="FE9" s="174" t="inlineStr">
        <is>
          <t>18C (Specialist Tech)</t>
        </is>
      </c>
      <c r="FF9" s="181" t="n"/>
      <c r="FG9" s="185" t="n"/>
      <c r="FH9" s="183" t="n"/>
      <c r="FI9" s="178" t="n"/>
      <c r="FJ9" s="176" t="n"/>
      <c r="FK9" s="185" t="n"/>
      <c r="FL9" s="178" t="n"/>
      <c r="FM9" s="176" t="n"/>
      <c r="FN9" s="176" t="n"/>
      <c r="FO9" s="176" t="n"/>
      <c r="FP9" s="176" t="n"/>
      <c r="FQ9" s="176" t="n">
        <v>0.556886</v>
      </c>
      <c r="FR9" s="179" t="n">
        <v>1.5805</v>
      </c>
      <c r="FS9" s="176" t="n">
        <v>0.17515</v>
      </c>
      <c r="FT9" s="179" t="n">
        <v>1.1956</v>
      </c>
      <c r="FU9" s="176" t="n">
        <v>0.208832</v>
      </c>
      <c r="FV9" s="179" t="n">
        <v>1.1445</v>
      </c>
      <c r="FW9" s="179" t="n">
        <v>1.2484</v>
      </c>
      <c r="FX9" s="178" t="n">
        <v>71392855.56</v>
      </c>
      <c r="FY9" s="186" t="n">
        <v>0.0005552148760330579</v>
      </c>
      <c r="FZ9" s="183" t="n">
        <v>0</v>
      </c>
      <c r="GA9" s="176" t="n">
        <v>0.1745526771489145</v>
      </c>
      <c r="GB9" s="176" t="n">
        <v>0.774259</v>
      </c>
      <c r="GC9" s="185" t="n"/>
      <c r="GD9" s="185" t="n"/>
      <c r="GE9" s="176" t="n"/>
      <c r="GF9" s="176" t="n"/>
      <c r="GG9" s="179" t="n"/>
      <c r="GH9" s="181" t="inlineStr">
        <is>
          <t>CITIC Securities (Hong Kong) Limited</t>
        </is>
      </c>
      <c r="GI9" s="183" t="n">
        <v>5</v>
      </c>
      <c r="GJ9" s="183" t="n">
        <v>1</v>
      </c>
      <c r="GK9" s="176" t="n">
        <v>0.0375</v>
      </c>
      <c r="GL9" s="176" t="n"/>
      <c r="GM9" s="176" t="n"/>
      <c r="GN9" s="183" t="n">
        <v>0</v>
      </c>
      <c r="GO9" s="183" t="n">
        <v>0</v>
      </c>
      <c r="GP9" s="183" t="n">
        <v>0</v>
      </c>
      <c r="GQ9" s="183" t="n">
        <v>34</v>
      </c>
      <c r="GR9" s="183" t="n">
        <v>1</v>
      </c>
      <c r="GS9" s="181" t="inlineStr">
        <is>
          <t>POST_FINI</t>
        </is>
      </c>
      <c r="GT9" s="181" t="inlineStr">
        <is>
          <t>POST_2025_REFORM</t>
        </is>
      </c>
    </row>
    <row r="10" ht="85" customFormat="1" customHeight="1" s="12">
      <c r="A10" s="43" t="n">
        <v>80</v>
      </c>
      <c r="B10" s="47" t="inlineStr">
        <is>
          <t>6031.HK</t>
        </is>
      </c>
      <c r="C10" s="44" t="inlineStr">
        <is>
          <t>SANY HEAVY INDUSTRY CO., LTD. - H shares</t>
        </is>
      </c>
      <c r="D10" s="130" t="n">
        <v>45950</v>
      </c>
      <c r="E10" s="48" t="n">
        <v>45958</v>
      </c>
      <c r="F10" s="43" t="inlineStr">
        <is>
          <t>CITIC Securities (Hong Kong) Limited</t>
        </is>
      </c>
      <c r="G10" s="43" t="inlineStr">
        <is>
          <t>Ernst &amp; Young</t>
        </is>
      </c>
      <c r="H10" s="43" t="n"/>
      <c r="I10" s="131" t="n">
        <v>1236307380</v>
      </c>
      <c r="J10" s="148" t="n">
        <v>14112779340</v>
      </c>
      <c r="K10" s="133" t="n">
        <v>21.3</v>
      </c>
      <c r="L10" t="n">
        <v>9054814637</v>
      </c>
      <c r="M10" s="67" t="n">
        <v>580424600</v>
      </c>
      <c r="N10" t="n">
        <v>8474390037</v>
      </c>
      <c r="O10" t="n">
        <v>8474390037</v>
      </c>
      <c r="P10" t="n">
        <v>0</v>
      </c>
      <c r="Q10" t="n">
        <v>580424600</v>
      </c>
      <c r="R10" s="67" t="n">
        <v>522382000</v>
      </c>
      <c r="S10" s="67" t="n">
        <v>58042600</v>
      </c>
      <c r="T10" s="147" t="n">
        <v>21.3</v>
      </c>
      <c r="U10" s="147" t="n">
        <v>20.3</v>
      </c>
      <c r="V10" s="169" t="n">
        <v>0.024038</v>
      </c>
      <c r="W10" s="169" t="n">
        <v>0.048077</v>
      </c>
      <c r="X10" s="170" t="inlineStr">
        <is>
          <t>At high</t>
        </is>
      </c>
      <c r="Y10" s="26" t="inlineStr">
        <is>
          <t>RMB</t>
        </is>
      </c>
      <c r="Z10" s="137" t="n">
        <v>151203358000</v>
      </c>
      <c r="AA10" s="137" t="n">
        <v>152145076000</v>
      </c>
      <c r="AB10" s="137" t="n">
        <v>153897737000</v>
      </c>
      <c r="AC10" s="137" t="n">
        <v>69162033000</v>
      </c>
      <c r="AD10" s="137" t="n">
        <v>73001599000</v>
      </c>
      <c r="AE10" s="137" t="n">
        <v>76101875000</v>
      </c>
      <c r="AF10" s="137" t="n">
        <v>82041325000</v>
      </c>
      <c r="AG10" s="137" t="n">
        <v>79143477000</v>
      </c>
      <c r="AH10" s="137" t="n">
        <v>77795862000</v>
      </c>
      <c r="AI10" s="137" t="n">
        <v>74018936000</v>
      </c>
      <c r="AJ10" s="137" t="n">
        <v>78383379000</v>
      </c>
      <c r="AK10" s="137" t="n">
        <v>88278102000</v>
      </c>
      <c r="AL10" s="137" t="n">
        <v>5316554000</v>
      </c>
      <c r="AM10" s="137" t="n">
        <v>6907770000</v>
      </c>
      <c r="AN10" s="137" t="n">
        <v>12143751000</v>
      </c>
      <c r="AO10" s="137" t="n">
        <v>4606110000</v>
      </c>
      <c r="AP10" s="137" t="n">
        <v>6092538000</v>
      </c>
      <c r="AQ10" s="137" t="n">
        <v>10426887000</v>
      </c>
      <c r="AR10" s="142" t="n">
        <v>0.005</v>
      </c>
      <c r="AS10" s="142" t="n">
        <v>0.005</v>
      </c>
      <c r="AT10" s="84" t="n">
        <v>0.15</v>
      </c>
      <c r="AU10" s="51" t="inlineStr">
        <is>
          <t>Construction machinery (R&amp;D, manufacturing, sales and servicing of excavating, concrete, hoisting, piling and road machinery)</t>
        </is>
      </c>
      <c r="AV10" s="51" t="inlineStr">
        <is>
          <t>Main Board</t>
        </is>
      </c>
      <c r="AW10" s="136" t="n">
        <v>45777</v>
      </c>
      <c r="AX10" s="137" t="n">
        <v>6185763000</v>
      </c>
      <c r="AY10" s="117" t="n">
        <v>7839768000</v>
      </c>
      <c r="AZ10" s="117" t="n">
        <v>1421905000</v>
      </c>
      <c r="BA10" s="117" t="n">
        <v>41930000</v>
      </c>
      <c r="BB10" s="138" t="n">
        <v>0.08</v>
      </c>
      <c r="BC10" s="139" t="n">
        <v>0.333333</v>
      </c>
      <c r="BD10" s="80" t="inlineStr">
        <is>
          <t>NaN</t>
        </is>
      </c>
      <c r="BE10" s="161" t="inlineStr">
        <is>
          <t>NaN</t>
        </is>
      </c>
      <c r="BF10" s="161" t="inlineStr">
        <is>
          <t>NaN</t>
        </is>
      </c>
      <c r="BG10" s="161" t="inlineStr">
        <is>
          <t>NaN</t>
        </is>
      </c>
      <c r="BH10" s="161" t="inlineStr">
        <is>
          <t>NaN</t>
        </is>
      </c>
      <c r="BI10" s="161" t="inlineStr">
        <is>
          <t>NaN</t>
        </is>
      </c>
      <c r="BJ10" s="162" t="inlineStr">
        <is>
          <t>NA</t>
        </is>
      </c>
      <c r="BK10" s="163" t="inlineStr">
        <is>
          <t>NaN</t>
        </is>
      </c>
      <c r="BL10" s="161" t="inlineStr">
        <is>
          <t>NaN</t>
        </is>
      </c>
      <c r="BM10" s="164" t="inlineStr">
        <is>
          <t>NA</t>
        </is>
      </c>
      <c r="BN10" s="165" t="inlineStr">
        <is>
          <t>NaN</t>
        </is>
      </c>
      <c r="BO10" s="51" t="inlineStr">
        <is>
          <t>Concert party group controlled by SANY Group and Mr. Liang Wengen (natural persons)</t>
        </is>
      </c>
      <c r="BP10" s="135" t="n">
        <v>0.3157</v>
      </c>
      <c r="BQ10" s="135" t="n">
        <v>0.3157</v>
      </c>
      <c r="BR10" s="137" t="n">
        <v>21355177000</v>
      </c>
      <c r="BS10" s="51" t="inlineStr">
        <is>
          <t>Mass production / large-scale commercialisation</t>
        </is>
      </c>
      <c r="BT10" s="142" t="n">
        <v>0</v>
      </c>
      <c r="BU10" s="60" t="inlineStr">
        <is>
          <t>Main Board</t>
        </is>
      </c>
      <c r="BV10" s="89" t="inlineStr">
        <is>
          <t>H Shares</t>
        </is>
      </c>
      <c r="BW10" s="61" t="n">
        <v>1</v>
      </c>
      <c r="BX10" s="77" t="n">
        <v>0</v>
      </c>
      <c r="BY10" s="77" t="n">
        <v>0</v>
      </c>
      <c r="BZ10" s="78" t="n">
        <v>0</v>
      </c>
      <c r="CA10" s="60" t="inlineStr">
        <is>
          <t>101040</t>
        </is>
      </c>
      <c r="CB10" s="76" t="inlineStr">
        <is>
          <t>HSICS (Hang Seng Industry Classification System) 2026</t>
        </is>
      </c>
      <c r="CC10" s="140" t="inlineStr">
        <is>
          <t>NA</t>
        </is>
      </c>
      <c r="CD10" s="171" t="n"/>
      <c r="CE10" s="76" t="inlineStr">
        <is>
          <t>PRC</t>
        </is>
      </c>
      <c r="CF10" s="89" t="inlineStr">
        <is>
          <t>Beijing, PRC</t>
        </is>
      </c>
      <c r="CG10" s="91" t="n"/>
      <c r="CH10" s="60" t="inlineStr">
        <is>
          <t>IFRS Accounting Standards</t>
        </is>
      </c>
      <c r="CI10" s="141" t="n">
        <v>44927</v>
      </c>
      <c r="CJ10" s="141" t="n">
        <v>45291</v>
      </c>
      <c r="CK10" s="141" t="n">
        <v>45292</v>
      </c>
      <c r="CL10" s="141" t="n">
        <v>45657</v>
      </c>
      <c r="CM10" s="141" t="n">
        <v>45658</v>
      </c>
      <c r="CN10" s="64" t="n">
        <v>29426034000</v>
      </c>
      <c r="CO10" s="64" t="n">
        <v>4047917000</v>
      </c>
      <c r="CP10" s="64" t="n">
        <v>3475629000</v>
      </c>
      <c r="CQ10" s="141" t="n">
        <v>45950</v>
      </c>
      <c r="CR10" s="141" t="n">
        <v>45953</v>
      </c>
      <c r="CS10" s="63" t="n">
        <v>580424600</v>
      </c>
      <c r="CT10" s="64" t="n">
        <v>7984120000</v>
      </c>
      <c r="CU10" s="64" t="n">
        <v>657308000</v>
      </c>
      <c r="CV10" s="59" t="inlineStr">
        <is>
          <t>Unqualified opinion</t>
        </is>
      </c>
      <c r="CW10" s="64" t="n">
        <v>146775000</v>
      </c>
      <c r="CX10" s="51" t="inlineStr">
        <is>
          <t>Temasek; Infore Capital; HHLRA; UBS AM Singapore; LMR; BlackRock; RBC GAM; WT Asset Management; Oaktree; Foresight; Shanghai Gaoyi and CITIC Securities International Capital Management Limited; Perseverance Asset Management; HK Greenwoods; Pinpoint; Shanghai Pinpoint and CICC Financial Trading Limited; Ghisallo; Jane Street; Fenghe; QRT; Weichai Power Hong Kong; Dajia Insurance; Fast; Value Partners</t>
        </is>
      </c>
      <c r="CY10" s="142" t="n">
        <v>0.4391</v>
      </c>
      <c r="CZ10" s="136" t="n">
        <v>46140</v>
      </c>
      <c r="DA10" s="143" t="n">
        <v>52.93</v>
      </c>
      <c r="DB10" s="63" t="n">
        <v>115863</v>
      </c>
      <c r="DC10" s="63" t="n">
        <v>3072267600</v>
      </c>
      <c r="DD10" s="59" t="inlineStr">
        <is>
          <t>Subscription level 52.93 times; Claw-back triggered: N/A</t>
        </is>
      </c>
      <c r="DE10" s="141" t="n">
        <v>45954</v>
      </c>
      <c r="DF10" s="141" t="n">
        <v>45957</v>
      </c>
      <c r="DG10" s="63" t="n">
        <v>631598800</v>
      </c>
      <c r="DH10" s="63" t="n">
        <v>58042600</v>
      </c>
      <c r="DI10" s="63" t="n">
        <v>573556200</v>
      </c>
      <c r="DJ10" s="63" t="n">
        <v>89015600</v>
      </c>
      <c r="DK10" s="169" t="n">
        <v>0.93958</v>
      </c>
      <c r="DL10" s="59" t="inlineStr">
        <is>
          <t>No claw-back triggered; the Offer Size Adjustment Option was partially exercised, with 51,174,200 additional Offer Shares all allocated to the International Offering; the final Public Offer remains 58,042,600 Shares (9.19%) and the final International Offer is 573,556,200 Shares (90.81%).</t>
        </is>
      </c>
      <c r="DM10" s="144" t="n">
        <v>13307300000</v>
      </c>
      <c r="DN10" s="142" t="n">
        <v>0.0694</v>
      </c>
      <c r="DO10" s="51" t="n">
        <v>9105988837</v>
      </c>
      <c r="DP10" s="142" t="n">
        <v>0.0389</v>
      </c>
      <c r="DQ10" s="59" t="inlineStr">
        <is>
          <t>Free float denominator = total issued Shares upon Listing (9,105,988,837); numerator = Offer Shares less the 277,342,200 cornerstone Offer Shares subject to a six-month lock-up.</t>
        </is>
      </c>
      <c r="DR10" s="63" t="n">
        <v>9105988837</v>
      </c>
      <c r="DS10" s="142" t="n">
        <v>-0.06173877</v>
      </c>
      <c r="DT10" s="80" t="n">
        <v>20</v>
      </c>
      <c r="DU10" s="142" t="n">
        <v>0.0353167</v>
      </c>
      <c r="DV10" s="144" t="n">
        <v>54164000000</v>
      </c>
      <c r="DW10" s="145" t="n">
        <v>21.9</v>
      </c>
      <c r="DX10" s="169" t="n">
        <v>0.028169</v>
      </c>
      <c r="DY10" s="172" t="n">
        <v>378959280</v>
      </c>
      <c r="DZ10" s="146" t="n">
        <v>21.3</v>
      </c>
      <c r="EA10" s="146" t="n">
        <v>22.3</v>
      </c>
      <c r="EB10" s="146" t="n">
        <v>21.3</v>
      </c>
      <c r="EC10" s="63" t="n">
        <v>138330321</v>
      </c>
      <c r="ED10" s="169" t="n">
        <v>0.219016</v>
      </c>
      <c r="EE10" s="64" t="n"/>
      <c r="EF10" s="60" t="inlineStr">
        <is>
          <t>Mechanism B</t>
        </is>
      </c>
      <c r="EG10" s="59" t="inlineStr">
        <is>
          <t>FINI (from 22/11/2023); 2025-08-04 pricing reform (Mechanism A/B; six-month cornerstone lock-up retained); this IPO: Mechanism B</t>
        </is>
      </c>
      <c r="EH10" t="inlineStr">
        <is>
          <t>三一重工股份有限公司</t>
        </is>
      </c>
      <c r="EI10" s="174" t="inlineStr">
        <is>
          <t>Active</t>
        </is>
      </c>
      <c r="EJ10" s="175" t="n">
        <v>21.333</v>
      </c>
      <c r="EK10" s="176" t="n">
        <v>-0.016595</v>
      </c>
      <c r="EL10" s="176" t="n">
        <v>0.011106</v>
      </c>
      <c r="EM10" s="176" t="n">
        <v>-0.017141</v>
      </c>
      <c r="EN10" s="176" t="n">
        <v>-0.07900500000000001</v>
      </c>
      <c r="EO10" s="179" t="n">
        <v>1.0006</v>
      </c>
      <c r="EP10" s="179" t="n">
        <v>1.0678</v>
      </c>
      <c r="EQ10" s="178" t="n">
        <v>344052246</v>
      </c>
      <c r="ER10" s="175" t="n">
        <v>21.313</v>
      </c>
      <c r="ES10" s="176" t="n">
        <v>-0.017517</v>
      </c>
      <c r="ET10" s="176" t="n">
        <v>0.010158</v>
      </c>
      <c r="EU10" s="176" t="n">
        <v>-0.025293</v>
      </c>
      <c r="EV10" s="176" t="n">
        <v>-0.207805</v>
      </c>
      <c r="EW10" s="179" t="n">
        <v>1.008</v>
      </c>
      <c r="EX10" s="179" t="n">
        <v>1.2402</v>
      </c>
      <c r="EY10" s="178" t="n">
        <v>67126120</v>
      </c>
      <c r="EZ10" s="176" t="n">
        <v>0.022438</v>
      </c>
      <c r="FA10" s="176" t="n"/>
      <c r="FB10" s="179" t="n"/>
      <c r="FC10" s="176" t="n"/>
      <c r="FD10" s="179" t="n"/>
      <c r="FE10" s="174" t="inlineStr">
        <is>
          <t>Standard</t>
        </is>
      </c>
      <c r="FF10" s="181" t="n"/>
      <c r="FG10" s="185" t="n"/>
      <c r="FH10" s="183" t="n"/>
      <c r="FI10" s="178" t="n"/>
      <c r="FJ10" s="176" t="n"/>
      <c r="FK10" s="185" t="n"/>
      <c r="FL10" s="178" t="n"/>
      <c r="FM10" s="176" t="n"/>
      <c r="FN10" s="176" t="n"/>
      <c r="FO10" s="176" t="n"/>
      <c r="FP10" s="176" t="n"/>
      <c r="FQ10" s="176" t="n">
        <v>0.025815</v>
      </c>
      <c r="FR10" s="179" t="n">
        <v>1.0414</v>
      </c>
      <c r="FS10" s="176" t="n">
        <v>-0.016595</v>
      </c>
      <c r="FT10" s="179" t="n">
        <v>1.0006</v>
      </c>
      <c r="FU10" s="176" t="n">
        <v>0.141059</v>
      </c>
      <c r="FV10" s="179" t="n">
        <v>1.0803</v>
      </c>
      <c r="FW10" s="179" t="n">
        <v>1.1784</v>
      </c>
      <c r="FX10" s="178" t="n">
        <v>156758110.32</v>
      </c>
      <c r="FY10" s="186" t="n">
        <v>0.0003105041322314049</v>
      </c>
      <c r="FZ10" s="183" t="n">
        <v>0</v>
      </c>
      <c r="GA10" s="176" t="n">
        <v>0.02990503450498055</v>
      </c>
      <c r="GB10" s="176" t="n">
        <v>0.254517</v>
      </c>
      <c r="GC10" s="185" t="n"/>
      <c r="GD10" s="185" t="n"/>
      <c r="GE10" s="176" t="n"/>
      <c r="GF10" s="176" t="n"/>
      <c r="GG10" s="179" t="n"/>
      <c r="GH10" s="181" t="inlineStr">
        <is>
          <t>CITIC Securities (Hong Kong) Limited</t>
        </is>
      </c>
      <c r="GI10" s="183" t="n">
        <v>1</v>
      </c>
      <c r="GJ10" s="183" t="n">
        <v>0</v>
      </c>
      <c r="GK10" s="176" t="n">
        <v>0.005</v>
      </c>
      <c r="GL10" s="176" t="n"/>
      <c r="GM10" s="176" t="n"/>
      <c r="GN10" s="183" t="n">
        <v>23</v>
      </c>
      <c r="GO10" s="183" t="n">
        <v>1</v>
      </c>
      <c r="GP10" s="183" t="n">
        <v>0</v>
      </c>
      <c r="GQ10" s="183" t="n">
        <v>0</v>
      </c>
      <c r="GR10" s="183" t="n">
        <v>0</v>
      </c>
      <c r="GS10" s="181" t="inlineStr">
        <is>
          <t>POST_FINI</t>
        </is>
      </c>
      <c r="GT10" s="181" t="inlineStr">
        <is>
          <t>POST_2025_REFORM</t>
        </is>
      </c>
    </row>
    <row r="11" ht="68" customFormat="1" customHeight="1" s="12">
      <c r="A11" s="43" t="n">
        <v>78</v>
      </c>
      <c r="B11" s="47" t="inlineStr">
        <is>
          <t>6166.HK</t>
        </is>
      </c>
      <c r="C11" s="44" t="inlineStr">
        <is>
          <t>CIG SHANGHAI CO., LTD. - H shares</t>
        </is>
      </c>
      <c r="D11" s="130" t="n">
        <v>45950</v>
      </c>
      <c r="E11" s="48" t="n">
        <v>45958</v>
      </c>
      <c r="F11" s="43" t="inlineStr">
        <is>
          <t>Guotai Junan Capital Limited</t>
        </is>
      </c>
      <c r="G11" s="43" t="inlineStr">
        <is>
          <t>Grant Thornton 
Hong Kong Limited</t>
        </is>
      </c>
      <c r="H11" s="43" t="n"/>
      <c r="I11" s="131" t="n">
        <v>461568323.9999999</v>
      </c>
      <c r="J11" s="148" t="n">
        <v>4846462236</v>
      </c>
      <c r="K11" s="133" t="n">
        <v>68.88</v>
      </c>
      <c r="L11" t="n">
        <v>335030341</v>
      </c>
      <c r="M11" s="67" t="n">
        <v>67010500</v>
      </c>
      <c r="N11" t="n">
        <v>268019841</v>
      </c>
      <c r="O11" t="n">
        <v>268019841</v>
      </c>
      <c r="P11" t="n">
        <v>0</v>
      </c>
      <c r="Q11" t="n">
        <v>67010500</v>
      </c>
      <c r="R11" s="67" t="n">
        <v>60309450</v>
      </c>
      <c r="S11" s="67" t="n">
        <v>6701050</v>
      </c>
      <c r="T11" s="147" t="n">
        <v>68.88</v>
      </c>
      <c r="U11" s="147" t="inlineStr">
        <is>
          <t>NaN</t>
        </is>
      </c>
      <c r="V11" s="169" t="n">
        <v>0</v>
      </c>
      <c r="W11" s="169" t="n">
        <v>0</v>
      </c>
      <c r="X11" s="170" t="inlineStr">
        <is>
          <t>Fixed price</t>
        </is>
      </c>
      <c r="Y11" s="26" t="inlineStr">
        <is>
          <t>RMB</t>
        </is>
      </c>
      <c r="Z11" s="137" t="n">
        <v>4735918000</v>
      </c>
      <c r="AA11" s="137" t="n">
        <v>5188814000</v>
      </c>
      <c r="AB11" s="137" t="n">
        <v>6259412000</v>
      </c>
      <c r="AC11" s="137" t="n">
        <v>2287961000</v>
      </c>
      <c r="AD11" s="137" t="n">
        <v>2460989000</v>
      </c>
      <c r="AE11" s="137" t="n">
        <v>2543210000</v>
      </c>
      <c r="AF11" s="137" t="n">
        <v>2447957000</v>
      </c>
      <c r="AG11" s="137" t="n">
        <v>2727825000</v>
      </c>
      <c r="AH11" s="137" t="n">
        <v>3716202000</v>
      </c>
      <c r="AI11" s="137" t="n">
        <v>3085362000</v>
      </c>
      <c r="AJ11" s="137" t="n">
        <v>3649889000</v>
      </c>
      <c r="AK11" s="137" t="n">
        <v>4068046000</v>
      </c>
      <c r="AL11" s="137" t="n">
        <v>93914000</v>
      </c>
      <c r="AM11" s="137" t="n">
        <v>163435000</v>
      </c>
      <c r="AN11" s="137" t="n">
        <v>238192000</v>
      </c>
      <c r="AO11" s="137" t="n">
        <v>94965000</v>
      </c>
      <c r="AP11" s="137" t="n">
        <v>167041000</v>
      </c>
      <c r="AQ11" s="137" t="n">
        <v>235092000</v>
      </c>
      <c r="AR11" s="142" t="n">
        <v>0.01</v>
      </c>
      <c r="AS11" s="142" t="n">
        <v>0.01</v>
      </c>
      <c r="AT11" s="84" t="n">
        <v>0.15</v>
      </c>
      <c r="AU11" s="51" t="inlineStr">
        <is>
          <t>Designing, developing and selling connectivity and data transmission devices; research, development, production and sales of telecommunications, digital communication and enterprise network terminal equipment and high-speed optical module products</t>
        </is>
      </c>
      <c r="AV11" s="51" t="inlineStr">
        <is>
          <t>Chapter 19A of the Main Board Listing Rules - PRC issuer whose A Shares are listed on the Shanghai Stock Exchange, offering H Shares; no Chapter 18A/18C specialist-technology or biotech basis is claimed</t>
        </is>
      </c>
      <c r="AW11" s="136" t="n">
        <v>45838</v>
      </c>
      <c r="AX11" s="137" t="n">
        <v>-189867000</v>
      </c>
      <c r="AY11" s="117" t="n">
        <v>588231000</v>
      </c>
      <c r="AZ11" s="117" t="n">
        <v>160785000</v>
      </c>
      <c r="BA11" s="117" t="n">
        <v>58349000</v>
      </c>
      <c r="BB11" s="138" t="n">
        <v>0.825</v>
      </c>
      <c r="BC11" s="139" t="n">
        <v>0.5</v>
      </c>
      <c r="BD11" s="80" t="n">
        <v>1</v>
      </c>
      <c r="BE11" s="161" t="n">
        <v>1</v>
      </c>
      <c r="BF11" s="161" t="inlineStr">
        <is>
          <t>NaN</t>
        </is>
      </c>
      <c r="BG11" s="161" t="inlineStr">
        <is>
          <t>NaN</t>
        </is>
      </c>
      <c r="BH11" s="161" t="inlineStr">
        <is>
          <t>NaN</t>
        </is>
      </c>
      <c r="BI11" s="161" t="inlineStr">
        <is>
          <t>NaN</t>
        </is>
      </c>
      <c r="BJ11" s="162" t="inlineStr">
        <is>
          <t>Ningbo Anfenghezhong Venture Capital Investment Partnership (Limited Partnership); Jiangsu Gaotou Growth Value Equity Investment Partnership (Limited Partnership); Shanghai Jinmu Investment Management Center (Limited Partnership); Shanghai Jianxin Venture Capital Investment Company Limited; Shanghai Shengyan Investment Partnership (Limited Partnership); Shanghai Zhongying Equity Investment Management Center (Limited Partnership); Shanghai Shengwan Investment Company Limited; Shanghai Shengwanyanrun Investment Partnership (Limited Partnership); Ningbo Anfenglingxian Venture Capital Investment Partnership (Limited Partnership); Yantai Jianxin Blue Economy Venture Capital Company Limited; Shanghai Diankechengding Intelligent Industry Investment Partnership (Limited Partnership); Hangzhou Anfengchenyuan Venture Capital Investment Partnership (Limited Partnership); Nanjing Bangshengjuhong Equity Investment Partnership (Limited Partnership); Jiangsu Talent Innovation and Venture Capital Investment Fund II (Limited Partnership); Shanghai Baodingaiping Investment Partnership (Limited Partnership); Shengye Asset</t>
        </is>
      </c>
      <c r="BK11" s="163" t="inlineStr">
        <is>
          <t>NaN</t>
        </is>
      </c>
      <c r="BL11" s="161" t="inlineStr">
        <is>
          <t>NaN</t>
        </is>
      </c>
      <c r="BM11" s="164" t="inlineStr">
        <is>
          <t>Capital Injection and Conversion into Joint Stock Limited Company in 2012 (introduction of the 2012 Investors)</t>
        </is>
      </c>
      <c r="BN11" s="165" t="n">
        <v>13.69</v>
      </c>
      <c r="BO11" s="51" t="inlineStr">
        <is>
          <t>Natural persons acting in concert (Mr. Gerald G Wong and Mr. Zhao Haibo together with their controlled entities) - no single controlling shareholder; disclosed as the Single Largest Group of Shareholders</t>
        </is>
      </c>
      <c r="BP11" s="135" t="n">
        <v>0.1131</v>
      </c>
      <c r="BQ11" s="135" t="n">
        <v>0.1131</v>
      </c>
      <c r="BR11" s="137" t="n">
        <v>1921823000</v>
      </c>
      <c r="BS11" s="51" t="inlineStr">
        <is>
          <t>Large-scale commercialisation - mass production and volume sales of broadband, wireless and photonics products</t>
        </is>
      </c>
      <c r="BT11" s="142" t="n">
        <v>0</v>
      </c>
      <c r="BU11" s="60" t="inlineStr">
        <is>
          <t>Main Board</t>
        </is>
      </c>
      <c r="BV11" s="89" t="inlineStr">
        <is>
          <t>H Shares</t>
        </is>
      </c>
      <c r="BW11" s="61" t="n">
        <v>1</v>
      </c>
      <c r="BX11" s="77" t="n">
        <v>0</v>
      </c>
      <c r="BY11" s="77" t="n">
        <v>0</v>
      </c>
      <c r="BZ11" s="78" t="n">
        <v>0</v>
      </c>
      <c r="CA11" s="60" t="inlineStr">
        <is>
          <t>701015</t>
        </is>
      </c>
      <c r="CB11" s="76" t="inlineStr">
        <is>
          <t>HSICS (Hang Seng Industry Classification System) 2026</t>
        </is>
      </c>
      <c r="CC11" s="140" t="n">
        <v>38790</v>
      </c>
      <c r="CD11" s="171" t="n">
        <v>19.62</v>
      </c>
      <c r="CE11" s="76" t="inlineStr">
        <is>
          <t>PRC</t>
        </is>
      </c>
      <c r="CF11" s="89" t="inlineStr">
        <is>
          <t>Shanghai, PRC</t>
        </is>
      </c>
      <c r="CG11" s="91" t="n"/>
      <c r="CH11" s="60" t="inlineStr">
        <is>
          <t>IFRS Accounting Standards</t>
        </is>
      </c>
      <c r="CI11" s="141" t="n">
        <v>44927</v>
      </c>
      <c r="CJ11" s="141" t="n">
        <v>45291</v>
      </c>
      <c r="CK11" s="141" t="n">
        <v>45292</v>
      </c>
      <c r="CL11" s="141" t="n">
        <v>45657</v>
      </c>
      <c r="CM11" s="141" t="n">
        <v>45658</v>
      </c>
      <c r="CN11" s="64" t="n">
        <v>2034023000</v>
      </c>
      <c r="CO11" s="64" t="n">
        <v>119096000</v>
      </c>
      <c r="CP11" s="64" t="n">
        <v>117546000</v>
      </c>
      <c r="CQ11" s="141" t="n">
        <v>45950</v>
      </c>
      <c r="CR11" s="141" t="n">
        <v>45953</v>
      </c>
      <c r="CS11" s="63" t="n">
        <v>67010500</v>
      </c>
      <c r="CT11" s="64" t="n">
        <v>444580000</v>
      </c>
      <c r="CU11" s="64" t="n">
        <v>326418000</v>
      </c>
      <c r="CV11" s="59" t="inlineStr">
        <is>
          <t>Unqualified opinion (true and fair view)</t>
        </is>
      </c>
      <c r="CW11" s="64" t="n">
        <v>135700000</v>
      </c>
      <c r="CX11" s="51" t="inlineStr">
        <is>
          <t>Barings; MSIP; HCEP Master Fund and HCEP Long Only Master Fund; Arc Avenue; CloudAlpha Capital; Funds managed by Weiss Asset Management LP; Cithara Fund; 3W Fund; GMF and IRMF; Infini; Alpine; DAMSIMF; Aqua Ocean; Martis Fund, L.P.; Taikang Life; ICBC WM</t>
        </is>
      </c>
      <c r="CY11" s="142" t="n">
        <v>0.4889</v>
      </c>
      <c r="CZ11" s="136" t="n">
        <v>46140</v>
      </c>
      <c r="DA11" s="143" t="n">
        <v>338.7</v>
      </c>
      <c r="DB11" s="63" t="n">
        <v>206461</v>
      </c>
      <c r="DC11" s="63" t="n">
        <v>2269512250</v>
      </c>
      <c r="DD11" s="59" t="inlineStr">
        <is>
          <t>Subscription level 338.7 times</t>
        </is>
      </c>
      <c r="DE11" s="141" t="n">
        <v>45954</v>
      </c>
      <c r="DF11" s="141" t="n">
        <v>45957</v>
      </c>
      <c r="DG11" s="63" t="n">
        <v>67010500</v>
      </c>
      <c r="DH11" s="63" t="n">
        <v>6701050</v>
      </c>
      <c r="DI11" s="63" t="n">
        <v>60309450</v>
      </c>
      <c r="DJ11" s="63" t="n">
        <v>10051500</v>
      </c>
      <c r="DK11" s="169" t="n">
        <v>1</v>
      </c>
      <c r="DL11" s="59" t="inlineStr">
        <is>
          <t>No reallocation: No. of Offer Shares reallocated from the International Offering 0; final Hong Kong Public Offering remained 6,701,050 Offer Shares (10.0% of the Global Offering)</t>
        </is>
      </c>
      <c r="DM11" s="144" t="n">
        <v>4480000000</v>
      </c>
      <c r="DN11" s="142" t="n">
        <v>0.2</v>
      </c>
      <c r="DO11" s="51" t="n">
        <v>335030341</v>
      </c>
      <c r="DP11" s="142" t="n">
        <v>0.1022</v>
      </c>
      <c r="DQ11" s="59" t="inlineStr">
        <is>
          <t>Free float denominator = total issued shares upon listing (excluding treasury Shares): 335,030,341 Shares; the free float excludes the 32,762,750 H Shares (9.78% of total issued share capital) locked up by the Cornerstone Investors for six months</t>
        </is>
      </c>
      <c r="DR11" s="63" t="n">
        <v>335030341</v>
      </c>
      <c r="DS11" s="142" t="n">
        <v>-0.06173877</v>
      </c>
      <c r="DT11" s="80" t="n">
        <v>20</v>
      </c>
      <c r="DU11" s="142" t="n">
        <v>0.0353167</v>
      </c>
      <c r="DV11" s="144" t="n">
        <v>54164000000</v>
      </c>
      <c r="DW11" s="145" t="n">
        <v>92.2</v>
      </c>
      <c r="DX11" s="169" t="n">
        <v>0.33856</v>
      </c>
      <c r="DY11" s="172" t="n">
        <v>1562684860</v>
      </c>
      <c r="DZ11" s="146" t="n">
        <v>94</v>
      </c>
      <c r="EA11" s="146" t="n">
        <v>109</v>
      </c>
      <c r="EB11" s="146" t="n">
        <v>90.2</v>
      </c>
      <c r="EC11" s="63" t="n">
        <v>28849222</v>
      </c>
      <c r="ED11" s="169" t="n">
        <v>0.430518</v>
      </c>
      <c r="EE11" s="64" t="n"/>
      <c r="EF11" s="60" t="inlineStr">
        <is>
          <t>Mechanism B</t>
        </is>
      </c>
      <c r="EG11" s="59" t="inlineStr">
        <is>
          <t>FINI (from 22/11/2023); 2025-08-04 pricing reform (Mechanism A/B; six-month cornerstone lock-up retained); this IPO: Mechanism B</t>
        </is>
      </c>
      <c r="EH11" t="inlineStr">
        <is>
          <t>上海剑桥科技股份有限公司</t>
        </is>
      </c>
      <c r="EI11" s="174" t="inlineStr">
        <is>
          <t>Active</t>
        </is>
      </c>
      <c r="EJ11" s="175" t="n">
        <v>75.73</v>
      </c>
      <c r="EK11" s="176" t="n">
        <v>-0.174875</v>
      </c>
      <c r="EL11" s="176" t="n">
        <v>0.10448</v>
      </c>
      <c r="EM11" s="176" t="n">
        <v>-0.017141</v>
      </c>
      <c r="EN11" s="176" t="n">
        <v>-0.07900500000000001</v>
      </c>
      <c r="EO11" s="179" t="n">
        <v>0.8395</v>
      </c>
      <c r="EP11" s="179" t="n">
        <v>0.8959</v>
      </c>
      <c r="EQ11" s="178" t="n">
        <v>273295500.5</v>
      </c>
      <c r="ER11" s="175" t="n">
        <v>110.78</v>
      </c>
      <c r="ES11" s="176" t="n">
        <v>0.207017</v>
      </c>
      <c r="ET11" s="176" t="n">
        <v>0.615664</v>
      </c>
      <c r="EU11" s="176" t="n">
        <v>-0.025293</v>
      </c>
      <c r="EV11" s="176" t="n">
        <v>-0.207805</v>
      </c>
      <c r="EW11" s="179" t="n">
        <v>1.2383</v>
      </c>
      <c r="EX11" s="179" t="n">
        <v>1.5236</v>
      </c>
      <c r="EY11" s="178" t="n">
        <v>1108835887.5</v>
      </c>
      <c r="EZ11" s="176" t="n">
        <v>0.396995</v>
      </c>
      <c r="FA11" s="176" t="n"/>
      <c r="FB11" s="179" t="n"/>
      <c r="FC11" s="176" t="n"/>
      <c r="FD11" s="179" t="n"/>
      <c r="FE11" s="174" t="inlineStr">
        <is>
          <t>Standard</t>
        </is>
      </c>
      <c r="FF11" s="181" t="n"/>
      <c r="FG11" s="185" t="n"/>
      <c r="FH11" s="183" t="n"/>
      <c r="FI11" s="178" t="n"/>
      <c r="FJ11" s="176" t="n"/>
      <c r="FK11" s="185" t="n"/>
      <c r="FL11" s="178" t="n"/>
      <c r="FM11" s="176" t="n"/>
      <c r="FN11" s="176" t="n"/>
      <c r="FO11" s="176" t="n"/>
      <c r="FP11" s="176" t="n"/>
      <c r="FQ11" s="176" t="n">
        <v>-0.169972</v>
      </c>
      <c r="FR11" s="179" t="n">
        <v>0.8426</v>
      </c>
      <c r="FS11" s="176" t="n">
        <v>-0.174875</v>
      </c>
      <c r="FT11" s="179" t="n">
        <v>0.8395</v>
      </c>
      <c r="FU11" s="176" t="n">
        <v>-0.09588099999999999</v>
      </c>
      <c r="FV11" s="179" t="n">
        <v>0.856</v>
      </c>
      <c r="FW11" s="179" t="n">
        <v>0.9337</v>
      </c>
      <c r="FX11" s="178" t="n">
        <v>227594477.46</v>
      </c>
      <c r="FY11" s="186" t="n">
        <v>0.0002282892561983471</v>
      </c>
      <c r="FZ11" s="183" t="n">
        <v>0</v>
      </c>
      <c r="GA11" s="176" t="n">
        <v>0.07296048985343861</v>
      </c>
      <c r="GB11" s="176" t="n">
        <v>0.41398</v>
      </c>
      <c r="GC11" s="185" t="n"/>
      <c r="GD11" s="185" t="n"/>
      <c r="GE11" s="176" t="n"/>
      <c r="GF11" s="176" t="n"/>
      <c r="GG11" s="179" t="n"/>
      <c r="GH11" s="181" t="inlineStr">
        <is>
          <t>Guotai Junan Capital Limited</t>
        </is>
      </c>
      <c r="GI11" s="183" t="n">
        <v>1</v>
      </c>
      <c r="GJ11" s="183" t="n">
        <v>0</v>
      </c>
      <c r="GK11" s="176" t="n">
        <v>0.01</v>
      </c>
      <c r="GL11" s="176" t="n"/>
      <c r="GM11" s="176" t="n"/>
      <c r="GN11" s="183" t="n">
        <v>17</v>
      </c>
      <c r="GO11" s="183" t="n">
        <v>1</v>
      </c>
      <c r="GP11" s="183" t="n">
        <v>0</v>
      </c>
      <c r="GQ11" s="183" t="n">
        <v>16</v>
      </c>
      <c r="GR11" s="183" t="n">
        <v>1</v>
      </c>
      <c r="GS11" s="181" t="inlineStr">
        <is>
          <t>POST_FINI</t>
        </is>
      </c>
      <c r="GT11" s="181" t="inlineStr">
        <is>
          <t>POST_2025_REFORM</t>
        </is>
      </c>
    </row>
    <row r="12" ht="68" customFormat="1" customHeight="1" s="12">
      <c r="A12" s="43" t="n">
        <v>77</v>
      </c>
      <c r="B12" s="47" t="inlineStr">
        <is>
          <t>6980.HK</t>
        </is>
      </c>
      <c r="C12" s="44" t="inlineStr">
        <is>
          <t>Bama Tea Co., Ltd. - H shares</t>
        </is>
      </c>
      <c r="D12" s="130" t="n">
        <v>45950</v>
      </c>
      <c r="E12" s="48" t="n">
        <v>45958</v>
      </c>
      <c r="F12" s="43" t="inlineStr">
        <is>
          <t>Huatai Financial Holdings (Hong Kong) Limited/
ABCI Capital Limited/
TFI Capital Limited</t>
        </is>
      </c>
      <c r="G12" s="43" t="inlineStr">
        <is>
          <t>KPMG</t>
        </is>
      </c>
      <c r="H12" s="43" t="n"/>
      <c r="I12" s="131" t="n">
        <v>45000000</v>
      </c>
      <c r="J12" s="148" t="n">
        <v>405000000</v>
      </c>
      <c r="K12" s="133" t="n">
        <v>50</v>
      </c>
      <c r="L12" t="n">
        <v>85000000</v>
      </c>
      <c r="M12" s="67" t="n">
        <v>9000000</v>
      </c>
      <c r="N12" t="n">
        <v>76000000</v>
      </c>
      <c r="O12" t="n">
        <v>76000000</v>
      </c>
      <c r="P12" t="n">
        <v>0</v>
      </c>
      <c r="Q12" t="n">
        <v>9000000</v>
      </c>
      <c r="R12" s="67" t="n">
        <v>8100000</v>
      </c>
      <c r="S12" s="67" t="n">
        <v>900000</v>
      </c>
      <c r="T12" s="147" t="n">
        <v>50</v>
      </c>
      <c r="U12" s="147" t="n">
        <v>45</v>
      </c>
      <c r="V12" s="169" t="n">
        <v>0.052632</v>
      </c>
      <c r="W12" s="169" t="n">
        <v>0.105263</v>
      </c>
      <c r="X12" s="170" t="inlineStr">
        <is>
          <t>At high</t>
        </is>
      </c>
      <c r="Y12" s="26" t="inlineStr">
        <is>
          <t>RMB</t>
        </is>
      </c>
      <c r="Z12" s="137" t="n">
        <v>1815011000</v>
      </c>
      <c r="AA12" s="137" t="n">
        <v>1800889000</v>
      </c>
      <c r="AB12" s="137" t="n">
        <v>1854274000</v>
      </c>
      <c r="AC12" s="137" t="n">
        <v>932591000</v>
      </c>
      <c r="AD12" s="137" t="n">
        <v>1127472000</v>
      </c>
      <c r="AE12" s="137" t="n">
        <v>1210821000</v>
      </c>
      <c r="AF12" s="137" t="n">
        <v>882420000</v>
      </c>
      <c r="AG12" s="137" t="n">
        <v>673417000</v>
      </c>
      <c r="AH12" s="137" t="n">
        <v>643453000</v>
      </c>
      <c r="AI12" s="137" t="n">
        <v>2122305000</v>
      </c>
      <c r="AJ12" s="137" t="n">
        <v>2143259000</v>
      </c>
      <c r="AK12" s="137" t="n">
        <v>2126388000</v>
      </c>
      <c r="AL12" s="137" t="n">
        <v>284013000</v>
      </c>
      <c r="AM12" s="137" t="n">
        <v>308364000</v>
      </c>
      <c r="AN12" s="137" t="n">
        <v>326014000</v>
      </c>
      <c r="AO12" s="137" t="n">
        <v>205728000</v>
      </c>
      <c r="AP12" s="137" t="n">
        <v>224201000</v>
      </c>
      <c r="AQ12" s="137" t="n">
        <v>240070000</v>
      </c>
      <c r="AR12" s="142" t="n">
        <v>0.025</v>
      </c>
      <c r="AS12" s="142" t="n">
        <v>0.025</v>
      </c>
      <c r="AT12" s="84" t="n">
        <v>0</v>
      </c>
      <c r="AU12" s="51" t="inlineStr">
        <is>
          <t>Tea leaf products (processing, production and sales of tea leaves and other tea products in the PRC)</t>
        </is>
      </c>
      <c r="AV12" s="51" t="inlineStr">
        <is>
          <t>Main Board of the Stock Exchange</t>
        </is>
      </c>
      <c r="AW12" s="136" t="n">
        <v>45838</v>
      </c>
      <c r="AX12" s="137" t="n">
        <v>181241000</v>
      </c>
      <c r="AY12" s="117" t="n">
        <v>436021000</v>
      </c>
      <c r="AZ12" s="117" t="n">
        <v>6453000</v>
      </c>
      <c r="BA12" s="117" t="n">
        <v>0</v>
      </c>
      <c r="BB12" s="138" t="n">
        <v>0.154</v>
      </c>
      <c r="BC12" s="139" t="n">
        <v>0.5</v>
      </c>
      <c r="BD12" s="80" t="n">
        <v>1</v>
      </c>
      <c r="BE12" s="161" t="n">
        <v>1</v>
      </c>
      <c r="BF12" s="161" t="n">
        <v>1</v>
      </c>
      <c r="BG12" s="161" t="inlineStr">
        <is>
          <t>NaN</t>
        </is>
      </c>
      <c r="BH12" s="161" t="inlineStr">
        <is>
          <t>NaN</t>
        </is>
      </c>
      <c r="BI12" s="161" t="inlineStr">
        <is>
          <t>NaN</t>
        </is>
      </c>
      <c r="BJ12" s="162" t="inlineStr">
        <is>
          <t>Tianjin Changfeng; Jingyuan Yisan; Shanghai Fengwang; Chengdu Xinjin; Quanzhou Huixinfu; Jinjiang Baiyingcheng; Wang Kunheng; Wang Qingnan; Wang Xiaojian; Xie Guoshun; Chen Amin; Fu Chan; Lu Zhilan; Liao Yunjin; Zheng Hongzhi; Pan Liang; Qiu Baohui</t>
        </is>
      </c>
      <c r="BK12" s="163" t="n">
        <v>0.1876</v>
      </c>
      <c r="BL12" s="161" t="inlineStr">
        <is>
          <t>NaN</t>
        </is>
      </c>
      <c r="BM12" s="164" t="inlineStr">
        <is>
          <t>October 9, 2018 share transfer</t>
        </is>
      </c>
      <c r="BN12" s="165" t="n">
        <v>7.03</v>
      </c>
      <c r="BO12" s="51" t="inlineStr">
        <is>
          <t>Natural persons (family members acting in concert)</t>
        </is>
      </c>
      <c r="BP12" s="135" t="n">
        <v>0.4998</v>
      </c>
      <c r="BQ12" s="135" t="n">
        <v>0.4998</v>
      </c>
      <c r="BR12" s="137" t="n">
        <v>176296000</v>
      </c>
      <c r="BS12" s="51" t="inlineStr">
        <is>
          <t>NA</t>
        </is>
      </c>
      <c r="BT12" s="142" t="n">
        <v>0</v>
      </c>
      <c r="BU12" s="60" t="inlineStr">
        <is>
          <t>Main Board</t>
        </is>
      </c>
      <c r="BV12" s="89" t="inlineStr">
        <is>
          <t>H Shares</t>
        </is>
      </c>
      <c r="BW12" s="61" t="n">
        <v>0</v>
      </c>
      <c r="BX12" s="77" t="n">
        <v>0</v>
      </c>
      <c r="BY12" s="77" t="n">
        <v>0</v>
      </c>
      <c r="BZ12" s="78" t="n">
        <v>0</v>
      </c>
      <c r="CA12" s="60" t="inlineStr">
        <is>
          <t>251030</t>
        </is>
      </c>
      <c r="CB12" s="76" t="inlineStr">
        <is>
          <t>HSICS (Hang Seng Industry Classification System) 2026</t>
        </is>
      </c>
      <c r="CC12" s="140" t="n">
        <v>35639</v>
      </c>
      <c r="CD12" s="171" t="n">
        <v>28.25</v>
      </c>
      <c r="CE12" s="76" t="inlineStr">
        <is>
          <t>PRC</t>
        </is>
      </c>
      <c r="CF12" s="89" t="inlineStr">
        <is>
          <t>Shenzhen, Guangdong Province, PRC</t>
        </is>
      </c>
      <c r="CG12" s="91" t="n">
        <v>1000</v>
      </c>
      <c r="CH12" s="60" t="inlineStr">
        <is>
          <t>IFRS Accounting Standards</t>
        </is>
      </c>
      <c r="CI12" s="141" t="n">
        <v>44927</v>
      </c>
      <c r="CJ12" s="141" t="n">
        <v>45291</v>
      </c>
      <c r="CK12" s="141" t="n">
        <v>45292</v>
      </c>
      <c r="CL12" s="141" t="n">
        <v>45657</v>
      </c>
      <c r="CM12" s="141" t="n">
        <v>45658</v>
      </c>
      <c r="CN12" s="64" t="n">
        <v>1063194000</v>
      </c>
      <c r="CO12" s="64" t="n">
        <v>163007000</v>
      </c>
      <c r="CP12" s="64" t="n">
        <v>120035000</v>
      </c>
      <c r="CQ12" s="141" t="n">
        <v>45950</v>
      </c>
      <c r="CR12" s="141" t="n">
        <v>45953</v>
      </c>
      <c r="CS12" s="63" t="n">
        <v>52986875</v>
      </c>
      <c r="CT12" s="64" t="n">
        <v>587624000</v>
      </c>
      <c r="CU12" s="64" t="n">
        <v>26000000</v>
      </c>
      <c r="CV12" s="59" t="inlineStr">
        <is>
          <t>Unqualified opinion</t>
        </is>
      </c>
      <c r="CW12" s="64" t="n">
        <v>59300000</v>
      </c>
      <c r="CX12" s="51" t="inlineStr">
        <is>
          <t>NA</t>
        </is>
      </c>
      <c r="CY12" s="142" t="n">
        <v>0</v>
      </c>
      <c r="CZ12" s="136" t="inlineStr">
        <is>
          <t>NA</t>
        </is>
      </c>
      <c r="DA12" s="143" t="n">
        <v>2680.04</v>
      </c>
      <c r="DB12" s="63" t="n">
        <v>168027</v>
      </c>
      <c r="DC12" s="63" t="n">
        <v>2412039400</v>
      </c>
      <c r="DD12" s="59" t="inlineStr">
        <is>
          <t>Subscription level 2,680.04 times</t>
        </is>
      </c>
      <c r="DE12" s="141" t="n">
        <v>45954</v>
      </c>
      <c r="DF12" s="141" t="n">
        <v>45957</v>
      </c>
      <c r="DG12" s="63" t="n">
        <v>9000000</v>
      </c>
      <c r="DH12" s="63" t="n">
        <v>900000</v>
      </c>
      <c r="DI12" s="63" t="n">
        <v>8100000</v>
      </c>
      <c r="DJ12" s="63" t="n">
        <v>0</v>
      </c>
      <c r="DK12" s="169" t="n">
        <v>0</v>
      </c>
      <c r="DL12" s="59" t="inlineStr">
        <is>
          <t>No reallocation: 0 Offer Shares reallocated from the International Offering to the Hong Kong Public Offering; final Hong Kong Public Offering size unchanged at 900,000 H Shares</t>
        </is>
      </c>
      <c r="DM12" s="144" t="n">
        <v>389890000</v>
      </c>
      <c r="DN12" s="142" t="n">
        <v>0.463</v>
      </c>
      <c r="DO12" s="51" t="n">
        <v>85000000</v>
      </c>
      <c r="DP12" s="142" t="n">
        <v>0.1059</v>
      </c>
      <c r="DQ12" s="59" t="inlineStr">
        <is>
          <t>Free float denominator = issued share capital of the Company upon Listing (85,000,000 Shares), the same base as the public float percentage; free float numerator = Offer Shares not subject to lock-up</t>
        </is>
      </c>
      <c r="DR12" s="63" t="n">
        <v>85000000</v>
      </c>
      <c r="DS12" s="142" t="n">
        <v>-0.06173877</v>
      </c>
      <c r="DT12" s="80" t="n">
        <v>20</v>
      </c>
      <c r="DU12" s="142" t="n">
        <v>0.0353167</v>
      </c>
      <c r="DV12" s="144" t="n">
        <v>54164000000</v>
      </c>
      <c r="DW12" s="145" t="n">
        <v>93.34999999999999</v>
      </c>
      <c r="DX12" s="169" t="n">
        <v>0.867</v>
      </c>
      <c r="DY12" s="172" t="n">
        <v>390150000</v>
      </c>
      <c r="DZ12" s="146" t="n">
        <v>80.09999999999999</v>
      </c>
      <c r="EA12" s="146" t="n">
        <v>97.90000000000001</v>
      </c>
      <c r="EB12" s="146" t="n">
        <v>80</v>
      </c>
      <c r="EC12" s="63" t="n">
        <v>4215100</v>
      </c>
      <c r="ED12" s="169" t="n">
        <v>0.468344</v>
      </c>
      <c r="EE12" s="64" t="n"/>
      <c r="EF12" s="60" t="inlineStr">
        <is>
          <t>Mechanism B</t>
        </is>
      </c>
      <c r="EG12" s="59" t="inlineStr">
        <is>
          <t>FINI (from 22/11/2023); 2025-08-04 pricing reform (Mechanism A/B; six-month cornerstone lock-up retained); this IPO: Mechanism B</t>
        </is>
      </c>
      <c r="EH12" t="inlineStr">
        <is>
          <t>八马茶业股份有限公司</t>
        </is>
      </c>
      <c r="EI12" s="174" t="inlineStr">
        <is>
          <t>Active</t>
        </is>
      </c>
      <c r="EJ12" s="175" t="n">
        <v>54.213</v>
      </c>
      <c r="EK12" s="176" t="n">
        <v>-0.410491</v>
      </c>
      <c r="EL12" s="176" t="n">
        <v>0.100613</v>
      </c>
      <c r="EM12" s="176" t="n">
        <v>-0.017141</v>
      </c>
      <c r="EN12" s="176" t="n">
        <v>-0.07900500000000001</v>
      </c>
      <c r="EO12" s="179" t="n">
        <v>0.5998</v>
      </c>
      <c r="EP12" s="179" t="n">
        <v>0.6401</v>
      </c>
      <c r="EQ12" s="178" t="n">
        <v>47518246</v>
      </c>
      <c r="ER12" s="175" t="n">
        <v>26.053</v>
      </c>
      <c r="ES12" s="176" t="n">
        <v>-0.716701</v>
      </c>
      <c r="ET12" s="176" t="n">
        <v>-0.471081</v>
      </c>
      <c r="EU12" s="176" t="n">
        <v>-0.025293</v>
      </c>
      <c r="EV12" s="176" t="n">
        <v>-0.207805</v>
      </c>
      <c r="EW12" s="179" t="n">
        <v>0.2907</v>
      </c>
      <c r="EX12" s="179" t="n">
        <v>0.3576</v>
      </c>
      <c r="EY12" s="178" t="n">
        <v>2515052.5</v>
      </c>
      <c r="EZ12" s="176" t="n">
        <v>0.007079</v>
      </c>
      <c r="FA12" s="176" t="n"/>
      <c r="FB12" s="179" t="n"/>
      <c r="FC12" s="176" t="n"/>
      <c r="FD12" s="179" t="n"/>
      <c r="FE12" s="174" t="inlineStr">
        <is>
          <t>Standard</t>
        </is>
      </c>
      <c r="FF12" s="181" t="n"/>
      <c r="FG12" s="185" t="n"/>
      <c r="FH12" s="183" t="n"/>
      <c r="FI12" s="178" t="n"/>
      <c r="FJ12" s="176" t="n"/>
      <c r="FK12" s="185" t="n"/>
      <c r="FL12" s="178" t="n"/>
      <c r="FM12" s="176" t="n"/>
      <c r="FN12" s="176" t="n"/>
      <c r="FO12" s="176" t="n"/>
      <c r="FP12" s="176" t="n"/>
      <c r="FQ12" s="176" t="n">
        <v>-0.156041</v>
      </c>
      <c r="FR12" s="179" t="n">
        <v>0.8568</v>
      </c>
      <c r="FS12" s="176" t="n">
        <v>-0.410491</v>
      </c>
      <c r="FT12" s="179" t="n">
        <v>0.5998</v>
      </c>
      <c r="FU12" s="176" t="n">
        <v>-0.692344</v>
      </c>
      <c r="FV12" s="179" t="n">
        <v>0.2913</v>
      </c>
      <c r="FW12" s="179" t="n">
        <v>0.3177</v>
      </c>
      <c r="FX12" s="178" t="n">
        <v>18971494.13</v>
      </c>
      <c r="FY12" s="186" t="n">
        <v>0.0137158347107438</v>
      </c>
      <c r="FZ12" s="183" t="n">
        <v>0</v>
      </c>
      <c r="GA12" s="176" t="n">
        <v>0.09233143917596667</v>
      </c>
      <c r="GB12" s="176" t="n">
        <v>0.8182160000000001</v>
      </c>
      <c r="GC12" s="185" t="n"/>
      <c r="GD12" s="185" t="n"/>
      <c r="GE12" s="176" t="n"/>
      <c r="GF12" s="176" t="n"/>
      <c r="GG12" s="179" t="n"/>
      <c r="GH12" s="181" t="inlineStr">
        <is>
          <t>Huatai Financial Holdings (Hong Kong) Limited</t>
        </is>
      </c>
      <c r="GI12" s="183" t="n">
        <v>3</v>
      </c>
      <c r="GJ12" s="183" t="n">
        <v>1</v>
      </c>
      <c r="GK12" s="176" t="n">
        <v>0.025</v>
      </c>
      <c r="GL12" s="176" t="n"/>
      <c r="GM12" s="176" t="n"/>
      <c r="GN12" s="183" t="n">
        <v>0</v>
      </c>
      <c r="GO12" s="183" t="n">
        <v>0</v>
      </c>
      <c r="GP12" s="183" t="n">
        <v>0</v>
      </c>
      <c r="GQ12" s="183" t="n">
        <v>17</v>
      </c>
      <c r="GR12" s="183" t="n">
        <v>0</v>
      </c>
      <c r="GS12" s="181" t="inlineStr">
        <is>
          <t>POST_FINI</t>
        </is>
      </c>
      <c r="GT12" s="181" t="inlineStr">
        <is>
          <t>POST_2025_REFORM</t>
        </is>
      </c>
    </row>
    <row r="13" ht="51" customFormat="1" customHeight="1" s="12">
      <c r="A13" s="43" t="n">
        <v>81</v>
      </c>
      <c r="B13" s="47" t="inlineStr">
        <is>
          <t>2718.HK</t>
        </is>
      </c>
      <c r="C13" s="44" t="inlineStr">
        <is>
          <t>Mininglamp Technology - W</t>
        </is>
      </c>
      <c r="D13" s="130" t="n">
        <v>45953</v>
      </c>
      <c r="E13" s="48" t="n">
        <v>45964</v>
      </c>
      <c r="F13" s="43" t="inlineStr">
        <is>
          <t>China International Capital Corporation
Hong Kong Securities Limited</t>
        </is>
      </c>
      <c r="G13" s="43" t="inlineStr">
        <is>
          <t>Ernst &amp; Young</t>
        </is>
      </c>
      <c r="H13" s="43" t="n"/>
      <c r="I13" s="131" t="n">
        <v>101790720</v>
      </c>
      <c r="J13" s="148" t="n">
        <v>1068763080</v>
      </c>
      <c r="K13" s="133" t="n">
        <v>141</v>
      </c>
      <c r="L13" t="n">
        <v>144378361</v>
      </c>
      <c r="M13" s="67" t="n">
        <v>7219000</v>
      </c>
      <c r="N13" t="n">
        <v>137159361</v>
      </c>
      <c r="O13" t="n">
        <v>137159361</v>
      </c>
      <c r="P13" t="n">
        <v>0</v>
      </c>
      <c r="Q13" t="n">
        <v>7219000</v>
      </c>
      <c r="R13" s="67" t="n">
        <v>6497080</v>
      </c>
      <c r="S13" s="67" t="n">
        <v>721920</v>
      </c>
      <c r="T13" s="147" t="n">
        <v>141</v>
      </c>
      <c r="U13" s="147" t="n">
        <v>141</v>
      </c>
      <c r="V13" s="169" t="n">
        <v>0</v>
      </c>
      <c r="W13" s="169" t="n">
        <v>0</v>
      </c>
      <c r="X13" s="170" t="inlineStr">
        <is>
          <t>Fixed price</t>
        </is>
      </c>
      <c r="Y13" s="26" t="inlineStr">
        <is>
          <t>RMB</t>
        </is>
      </c>
      <c r="Z13" s="137" t="n">
        <v>2451378000</v>
      </c>
      <c r="AA13" s="137" t="n">
        <v>2381365000</v>
      </c>
      <c r="AB13" s="137" t="n">
        <v>2309726000</v>
      </c>
      <c r="AC13" s="137" t="n">
        <v>-6426455000</v>
      </c>
      <c r="AD13" s="137" t="n">
        <v>-6399964000</v>
      </c>
      <c r="AE13" s="137" t="n">
        <v>-6566365000</v>
      </c>
      <c r="AF13" s="137" t="n">
        <v>8877833000</v>
      </c>
      <c r="AG13" s="137" t="n">
        <v>8781329000</v>
      </c>
      <c r="AH13" s="137" t="n">
        <v>8876091000</v>
      </c>
      <c r="AI13" s="137" t="n">
        <v>1461973000</v>
      </c>
      <c r="AJ13" s="137" t="n">
        <v>1381382000</v>
      </c>
      <c r="AK13" s="137" t="n">
        <v>1287564000</v>
      </c>
      <c r="AL13" s="137" t="n">
        <v>320368000</v>
      </c>
      <c r="AM13" s="137" t="n">
        <v>7870000</v>
      </c>
      <c r="AN13" s="137" t="n">
        <v>-406200000</v>
      </c>
      <c r="AO13" s="137" t="n">
        <v>318412000</v>
      </c>
      <c r="AP13" s="137" t="n">
        <v>7949000</v>
      </c>
      <c r="AQ13" s="137" t="n">
        <v>-407804000</v>
      </c>
      <c r="AR13" s="142" t="n">
        <v>0.03</v>
      </c>
      <c r="AS13" s="142" t="n">
        <v>0.03</v>
      </c>
      <c r="AT13" s="84" t="n">
        <v>0.15</v>
      </c>
      <c r="AU13" s="51" t="inlineStr">
        <is>
          <t>Data intelligence application software (marketing intelligence and operational intelligence products and solutions)</t>
        </is>
      </c>
      <c r="AV13" s="51" t="inlineStr">
        <is>
          <t>Chapter 8A (weighted voting rights structure)</t>
        </is>
      </c>
      <c r="AW13" s="136" t="n">
        <v>45838</v>
      </c>
      <c r="AX13" s="137" t="n">
        <v>-11409000</v>
      </c>
      <c r="AY13" s="117" t="n">
        <v>360552000</v>
      </c>
      <c r="AZ13" s="117" t="n">
        <v>150447000</v>
      </c>
      <c r="BA13" s="117" t="inlineStr">
        <is>
          <t>NaN</t>
        </is>
      </c>
      <c r="BB13" s="138" t="n">
        <v>0.314</v>
      </c>
      <c r="BC13" s="139" t="n">
        <v>0.5</v>
      </c>
      <c r="BD13" s="80" t="n">
        <v>1</v>
      </c>
      <c r="BE13" s="161" t="n">
        <v>1</v>
      </c>
      <c r="BF13" s="161" t="n">
        <v>1</v>
      </c>
      <c r="BG13" s="161" t="n">
        <v>1</v>
      </c>
      <c r="BH13" s="161" t="n">
        <v>1</v>
      </c>
      <c r="BI13" s="161" t="n">
        <v>1</v>
      </c>
      <c r="BJ13" s="162" t="inlineStr">
        <is>
          <t>Image Frame Investment (HK) Limited; Grace Gate Holding Limited; Master Power Holding Limited; Gold Endeavor Bolai Fund (Shenzhen), L.P.; Gold Endeavor Erqi Fund (Shenzhen), L.P.; Ziyang Mingtuo Equity Investment Fund Partnership (Limited Partnership); Gold Endeavor Capital (HK) Limited; Shenzhen Hangjing Jinggong Equity Investment Fund Partnership (Limited Partnership); Shanghai Yulian Investment Center (Limited Partnership); Dahlia Investments Pte. Ltd.; Shanghai Huasheng Lingfei Equity Investment Partnership (Limited Partnership); Gomq (BVI) Limited; PV Ace 1 Limited; Cosmic Blue Investments Limited; Shanghai Ruiji Huachang Enterprise Management Partnership (Limited Partnership); Tibet Changyan Equity Investment Partnership (Limited Partnership); Raymond Amc Holdings Limited; GSR Ventures III, L.P.; Hundreds Capital; Cavendish Square Holdings B.V.; KPCB China Fund II, L.P.</t>
        </is>
      </c>
      <c r="BK13" s="163" t="inlineStr">
        <is>
          <t>NaN</t>
        </is>
      </c>
      <c r="BL13" s="161" t="n">
        <v>1</v>
      </c>
      <c r="BM13" s="164" t="inlineStr">
        <is>
          <t>Series A-2</t>
        </is>
      </c>
      <c r="BN13" s="165" t="n">
        <v>15.27</v>
      </c>
      <c r="BO13" s="51" t="inlineStr">
        <is>
          <t>自然人</t>
        </is>
      </c>
      <c r="BP13" s="135" t="n">
        <v>0.1057</v>
      </c>
      <c r="BQ13" s="135" t="n">
        <v>0.5354</v>
      </c>
      <c r="BR13" s="137" t="n">
        <v>8263606000</v>
      </c>
      <c r="BS13" s="51" t="inlineStr">
        <is>
          <t>规模商业化</t>
        </is>
      </c>
      <c r="BT13" s="142" t="n">
        <v>0</v>
      </c>
      <c r="BU13" s="60" t="inlineStr">
        <is>
          <t>Main Board</t>
        </is>
      </c>
      <c r="BV13" s="89" t="inlineStr">
        <is>
          <t>Class A Shares</t>
        </is>
      </c>
      <c r="BW13" s="61" t="n">
        <v>0</v>
      </c>
      <c r="BX13" s="77" t="n">
        <v>1</v>
      </c>
      <c r="BY13" s="77" t="n">
        <v>0</v>
      </c>
      <c r="BZ13" s="78" t="n">
        <v>0</v>
      </c>
      <c r="CA13" s="60" t="inlineStr">
        <is>
          <t>702030</t>
        </is>
      </c>
      <c r="CB13" s="76" t="inlineStr">
        <is>
          <t>HSICS (Hang Seng Industry Classification System) 2026</t>
        </is>
      </c>
      <c r="CC13" s="140" t="n">
        <v>40210</v>
      </c>
      <c r="CD13" s="171" t="n">
        <v>15.75</v>
      </c>
      <c r="CE13" s="76" t="inlineStr">
        <is>
          <t>NA</t>
        </is>
      </c>
      <c r="CF13" s="89" t="inlineStr">
        <is>
          <t>Ziyang City, Sichuan Province, PRC</t>
        </is>
      </c>
      <c r="CG13" s="91" t="n">
        <v>1000</v>
      </c>
      <c r="CH13" s="60" t="inlineStr">
        <is>
          <t>HKFRS Accounting Standards</t>
        </is>
      </c>
      <c r="CI13" s="141" t="n">
        <v>44927</v>
      </c>
      <c r="CJ13" s="141" t="n">
        <v>45291</v>
      </c>
      <c r="CK13" s="141" t="n">
        <v>45292</v>
      </c>
      <c r="CL13" s="141" t="n">
        <v>45657</v>
      </c>
      <c r="CM13" s="141" t="n">
        <v>45658</v>
      </c>
      <c r="CN13" s="64" t="n">
        <v>643782000</v>
      </c>
      <c r="CO13" s="64" t="n">
        <v>-203100000</v>
      </c>
      <c r="CP13" s="64" t="n">
        <v>-203902000</v>
      </c>
      <c r="CQ13" s="141" t="n">
        <v>45953</v>
      </c>
      <c r="CR13" s="141" t="n">
        <v>45958</v>
      </c>
      <c r="CS13" s="63" t="n">
        <v>144378361</v>
      </c>
      <c r="CT13" s="64" t="n">
        <v>360105000</v>
      </c>
      <c r="CU13" s="64" t="n">
        <v>2835000</v>
      </c>
      <c r="CV13" s="59" t="inlineStr">
        <is>
          <t>Unqualified opinion</t>
        </is>
      </c>
      <c r="CW13" s="64" t="n">
        <v>115700000</v>
      </c>
      <c r="CX13" s="51" t="inlineStr">
        <is>
          <t>Huang River Investment Limited; Ms. Minfang Guo; Treasure-stone Investment Group Limited; Ms. Lina Bao; Hundreds Capital; GFH Financial Group B.S.C.; QuantumPharm Limited</t>
        </is>
      </c>
      <c r="CY13" s="142" t="n">
        <v>0.451</v>
      </c>
      <c r="CZ13" s="136" t="n">
        <v>46145</v>
      </c>
      <c r="DA13" s="143" t="n">
        <v>4452.86</v>
      </c>
      <c r="DB13" s="63" t="n">
        <v>283629</v>
      </c>
      <c r="DC13" s="63" t="n">
        <v>3214610880</v>
      </c>
      <c r="DD13" s="59" t="inlineStr">
        <is>
          <t>Subscription level 4,452.86 times</t>
        </is>
      </c>
      <c r="DE13" s="141" t="inlineStr">
        <is>
          <t>NA</t>
        </is>
      </c>
      <c r="DF13" s="141" t="n">
        <v>45961</v>
      </c>
      <c r="DG13" s="63" t="n">
        <v>7219000</v>
      </c>
      <c r="DH13" s="63" t="n">
        <v>721920</v>
      </c>
      <c r="DI13" s="63" t="n">
        <v>6497080</v>
      </c>
      <c r="DJ13" s="63" t="n">
        <v>1082800</v>
      </c>
      <c r="DK13" s="169" t="n">
        <v>1</v>
      </c>
      <c r="DL13" s="59" t="inlineStr">
        <is>
          <t>Claw-back not triggered (N/A); no Offer Shares reallocated from the International Offering to the Hong Kong Public Offering.</t>
        </is>
      </c>
      <c r="DM13" s="144" t="n">
        <v>902200000</v>
      </c>
      <c r="DN13" s="142" t="n">
        <v>0.6891</v>
      </c>
      <c r="DO13" s="51" t="n">
        <v>144378361</v>
      </c>
      <c r="DP13" s="142" t="n">
        <v>0.0275</v>
      </c>
      <c r="DQ13" s="59" t="inlineStr">
        <is>
          <t>Total issued Shares upon Listing (before exercise of the Over-allotment Option), 144,378,361 Shares, including the Class B Shares carrying weighted voting rights; free float numerator = Offer Shares less cornerstone allocation.</t>
        </is>
      </c>
      <c r="DR13" s="63" t="n">
        <v>144378361</v>
      </c>
      <c r="DS13" s="142" t="n">
        <v>-0.0213471</v>
      </c>
      <c r="DT13" s="80" t="n">
        <v>23</v>
      </c>
      <c r="DU13" s="142" t="n">
        <v>0.0353185</v>
      </c>
      <c r="DV13" s="144" t="n">
        <v>54172000000</v>
      </c>
      <c r="DW13" s="145" t="n">
        <v>290.6</v>
      </c>
      <c r="DX13" s="169" t="n">
        <v>1.060993</v>
      </c>
      <c r="DY13" s="172" t="n">
        <v>1079962400</v>
      </c>
      <c r="DZ13" s="146" t="n">
        <v>280</v>
      </c>
      <c r="EA13" s="146" t="n">
        <v>309.8</v>
      </c>
      <c r="EB13" s="146" t="n">
        <v>272</v>
      </c>
      <c r="EC13" s="63" t="n">
        <v>2156929</v>
      </c>
      <c r="ED13" s="169" t="n">
        <v>0.298785</v>
      </c>
      <c r="EE13" s="64" t="n"/>
      <c r="EF13" s="60" t="inlineStr">
        <is>
          <t>Mechanism B</t>
        </is>
      </c>
      <c r="EG13" s="59" t="inlineStr">
        <is>
          <t>FINI (from 22/11/2023); 2025-08-04 pricing reform (Mechanism A/B; six-month cornerstone lock-up retained); this IPO: Mechanism B</t>
        </is>
      </c>
      <c r="EH13" t="inlineStr">
        <is>
          <t>明略科技</t>
        </is>
      </c>
      <c r="EI13" s="174" t="inlineStr">
        <is>
          <t>Active</t>
        </is>
      </c>
      <c r="EJ13" s="175" t="n">
        <v>201.8</v>
      </c>
      <c r="EK13" s="176" t="n">
        <v>-0.305575</v>
      </c>
      <c r="EL13" s="176" t="n">
        <v>0.431206</v>
      </c>
      <c r="EM13" s="176" t="n">
        <v>-0.011448</v>
      </c>
      <c r="EN13" s="176" t="n">
        <v>-0.0546</v>
      </c>
      <c r="EO13" s="179" t="n">
        <v>0.7025</v>
      </c>
      <c r="EP13" s="179" t="n">
        <v>0.7345</v>
      </c>
      <c r="EQ13" s="178" t="n">
        <v>70077773.5</v>
      </c>
      <c r="ER13" s="175" t="n">
        <v>223.2</v>
      </c>
      <c r="ES13" s="176" t="n">
        <v>-0.231934</v>
      </c>
      <c r="ET13" s="176" t="n">
        <v>0.582979</v>
      </c>
      <c r="EU13" s="176" t="n">
        <v>-0.002388</v>
      </c>
      <c r="EV13" s="176" t="n">
        <v>-0.159693</v>
      </c>
      <c r="EW13" s="179" t="n">
        <v>0.7699</v>
      </c>
      <c r="EX13" s="179" t="n">
        <v>0.914</v>
      </c>
      <c r="EY13" s="178" t="n">
        <v>48326093.5</v>
      </c>
      <c r="EZ13" s="176" t="n">
        <v>0.075901</v>
      </c>
      <c r="FA13" s="176" t="n"/>
      <c r="FB13" s="179" t="n"/>
      <c r="FC13" s="176" t="n"/>
      <c r="FD13" s="179" t="n"/>
      <c r="FE13" s="174" t="inlineStr">
        <is>
          <t>Standard</t>
        </is>
      </c>
      <c r="FF13" s="181" t="n"/>
      <c r="FG13" s="185" t="n"/>
      <c r="FH13" s="183" t="n"/>
      <c r="FI13" s="178" t="n"/>
      <c r="FJ13" s="176" t="n"/>
      <c r="FK13" s="185" t="n"/>
      <c r="FL13" s="178" t="n"/>
      <c r="FM13" s="176" t="n"/>
      <c r="FN13" s="176" t="n"/>
      <c r="FO13" s="176" t="n"/>
      <c r="FP13" s="176" t="n"/>
      <c r="FQ13" s="176" t="n">
        <v>-0.28424</v>
      </c>
      <c r="FR13" s="179" t="n">
        <v>0.7135</v>
      </c>
      <c r="FS13" s="176" t="n">
        <v>-0.305575</v>
      </c>
      <c r="FT13" s="179" t="n">
        <v>0.7025</v>
      </c>
      <c r="FU13" s="176" t="n">
        <v>-0.136958</v>
      </c>
      <c r="FV13" s="179" t="n">
        <v>0.8413</v>
      </c>
      <c r="FW13" s="179" t="n">
        <v>0.9349</v>
      </c>
      <c r="FX13" s="178" t="n">
        <v>60379344.22</v>
      </c>
      <c r="FY13" s="186" t="n">
        <v>0.001104884297520661</v>
      </c>
      <c r="FZ13" s="183" t="n">
        <v>0</v>
      </c>
      <c r="GA13" s="176" t="n">
        <v>0.1095867459295579</v>
      </c>
      <c r="GB13" s="176" t="n">
        <v>0.44093</v>
      </c>
      <c r="GC13" s="185" t="n"/>
      <c r="GD13" s="185" t="n"/>
      <c r="GE13" s="176" t="n"/>
      <c r="GF13" s="176" t="n"/>
      <c r="GG13" s="179" t="n"/>
      <c r="GH13" s="181" t="inlineStr">
        <is>
          <t>China International Capital Corporation Hong Kong Securities Limited</t>
        </is>
      </c>
      <c r="GI13" s="183" t="n">
        <v>1</v>
      </c>
      <c r="GJ13" s="183" t="n">
        <v>0</v>
      </c>
      <c r="GK13" s="176" t="n">
        <v>0.03</v>
      </c>
      <c r="GL13" s="176" t="n"/>
      <c r="GM13" s="176" t="n"/>
      <c r="GN13" s="183" t="n">
        <v>7</v>
      </c>
      <c r="GO13" s="183" t="n">
        <v>1</v>
      </c>
      <c r="GP13" s="183" t="n">
        <v>0</v>
      </c>
      <c r="GQ13" s="183" t="n">
        <v>25</v>
      </c>
      <c r="GR13" s="183" t="n">
        <v>1</v>
      </c>
      <c r="GS13" s="181" t="inlineStr">
        <is>
          <t>POST_FINI</t>
        </is>
      </c>
      <c r="GT13" s="181" t="inlineStr">
        <is>
          <t>POST_2025_REFORM</t>
        </is>
      </c>
    </row>
    <row r="14" ht="68" customFormat="1" customHeight="1" s="12">
      <c r="A14" s="43" t="n">
        <v>83</v>
      </c>
      <c r="B14" s="47" t="inlineStr">
        <is>
          <t>9927.HK</t>
        </is>
      </c>
      <c r="C14" s="44" t="inlineStr">
        <is>
          <t>Seres Group Co., Ltd. - H shares</t>
        </is>
      </c>
      <c r="D14" s="130" t="n">
        <v>45957</v>
      </c>
      <c r="E14" s="48" t="n">
        <v>45966</v>
      </c>
      <c r="F14" s="43" t="inlineStr">
        <is>
          <t>China International Capital Corporation/
China Galaxy International Securities
(Hong Kong) Co., Limited</t>
        </is>
      </c>
      <c r="G14" s="43" t="inlineStr">
        <is>
          <t>Deloitte Touche Tohmatsu</t>
        </is>
      </c>
      <c r="H14" s="43" t="n"/>
      <c r="I14" s="131" t="n">
        <v>1428339850</v>
      </c>
      <c r="J14" s="148" t="n">
        <v>12855058650</v>
      </c>
      <c r="K14" s="133" t="n">
        <v>131.5</v>
      </c>
      <c r="L14" t="n">
        <v>1733566086</v>
      </c>
      <c r="M14" s="67" t="n">
        <v>100200000</v>
      </c>
      <c r="N14" t="n">
        <v>1633366086</v>
      </c>
      <c r="O14" t="n">
        <v>1633366086</v>
      </c>
      <c r="P14" t="n">
        <v>0</v>
      </c>
      <c r="Q14" t="n">
        <v>100200000</v>
      </c>
      <c r="R14" s="67" t="n">
        <v>90180000</v>
      </c>
      <c r="S14" s="67" t="n">
        <v>10020000</v>
      </c>
      <c r="T14" s="147" t="n">
        <v>131.5</v>
      </c>
      <c r="U14" s="147" t="inlineStr">
        <is>
          <t>NaN</t>
        </is>
      </c>
      <c r="V14" s="169" t="n">
        <v>0</v>
      </c>
      <c r="W14" s="169" t="n">
        <v>0</v>
      </c>
      <c r="X14" s="170" t="inlineStr">
        <is>
          <t>Fixed price</t>
        </is>
      </c>
      <c r="Y14" s="26" t="inlineStr">
        <is>
          <t>RMB</t>
        </is>
      </c>
      <c r="Z14" s="137" t="n">
        <v>51244671000</v>
      </c>
      <c r="AA14" s="137" t="n">
        <v>94363958000</v>
      </c>
      <c r="AB14" s="137" t="n">
        <v>112911810000</v>
      </c>
      <c r="AC14" s="137" t="n">
        <v>7199947000</v>
      </c>
      <c r="AD14" s="137" t="n">
        <v>11905557000</v>
      </c>
      <c r="AE14" s="137" t="n">
        <v>27009734000</v>
      </c>
      <c r="AF14" s="137" t="n">
        <v>44044724000</v>
      </c>
      <c r="AG14" s="137" t="n">
        <v>82458401000</v>
      </c>
      <c r="AH14" s="137" t="n">
        <v>85902076000</v>
      </c>
      <c r="AI14" s="137" t="n">
        <v>35788885000</v>
      </c>
      <c r="AJ14" s="137" t="n">
        <v>145113623000</v>
      </c>
      <c r="AK14" s="137" t="n">
        <v>124717650000</v>
      </c>
      <c r="AL14" s="137" t="n">
        <v>-4080859000</v>
      </c>
      <c r="AM14" s="137" t="n">
        <v>4951347000</v>
      </c>
      <c r="AN14" s="137" t="n">
        <v>7449582000</v>
      </c>
      <c r="AO14" s="137" t="n">
        <v>-4156716000</v>
      </c>
      <c r="AP14" s="137" t="n">
        <v>4740116000</v>
      </c>
      <c r="AQ14" s="137" t="n">
        <v>6154726000</v>
      </c>
      <c r="AR14" s="142" t="n">
        <v>0.008999999999999999</v>
      </c>
      <c r="AS14" s="142" t="n">
        <v>0.008999999999999999</v>
      </c>
      <c r="AT14" s="84" t="n">
        <v>0.15</v>
      </c>
      <c r="AU14" s="51" t="inlineStr">
        <is>
          <t>New energy vehicles (NEVs) — research and development, manufacturing, sales and services of new energy vehicles as well as core NEV components</t>
        </is>
      </c>
      <c r="AV14" s="51" t="inlineStr">
        <is>
          <t>Main Board, Rule 8.05(3) market capitalisation/revenue test (A+H issuer)</t>
        </is>
      </c>
      <c r="AW14" s="136" t="n">
        <v>45838</v>
      </c>
      <c r="AX14" s="137" t="n">
        <v>14034486000</v>
      </c>
      <c r="AY14" s="117" t="n">
        <v>21664886000</v>
      </c>
      <c r="AZ14" s="117" t="n">
        <v>2929532000</v>
      </c>
      <c r="BA14" s="117" t="n">
        <v>2260956000</v>
      </c>
      <c r="BB14" s="138" t="n">
        <v>0.119</v>
      </c>
      <c r="BC14" s="139" t="n">
        <v>0.5</v>
      </c>
      <c r="BD14" s="80" t="inlineStr">
        <is>
          <t>NaN</t>
        </is>
      </c>
      <c r="BE14" s="161" t="inlineStr">
        <is>
          <t>NaN</t>
        </is>
      </c>
      <c r="BF14" s="161" t="inlineStr">
        <is>
          <t>NaN</t>
        </is>
      </c>
      <c r="BG14" s="161" t="inlineStr">
        <is>
          <t>NaN</t>
        </is>
      </c>
      <c r="BH14" s="161" t="inlineStr">
        <is>
          <t>NaN</t>
        </is>
      </c>
      <c r="BI14" s="161" t="inlineStr">
        <is>
          <t>NaN</t>
        </is>
      </c>
      <c r="BJ14" s="162" t="inlineStr">
        <is>
          <t>NA</t>
        </is>
      </c>
      <c r="BK14" s="163" t="inlineStr">
        <is>
          <t>NaN</t>
        </is>
      </c>
      <c r="BL14" s="161" t="inlineStr">
        <is>
          <t>NaN</t>
        </is>
      </c>
      <c r="BM14" s="164" t="inlineStr">
        <is>
          <t>NA</t>
        </is>
      </c>
      <c r="BN14" s="165" t="inlineStr">
        <is>
          <t>NaN</t>
        </is>
      </c>
      <c r="BO14" s="51" t="inlineStr">
        <is>
          <t>Natural person (Mr. Zhang Xinghai, de facto controller; single largest group with Sokon Holding and Yu’an Industry)</t>
        </is>
      </c>
      <c r="BP14" s="135" t="n">
        <v>0.2692</v>
      </c>
      <c r="BQ14" s="135" t="n">
        <v>0.2692</v>
      </c>
      <c r="BR14" s="137" t="n">
        <v>6439868000</v>
      </c>
      <c r="BS14" s="51" t="inlineStr">
        <is>
          <t>Mass commercialisation (mass production and delivery of AITO series NEVs)</t>
        </is>
      </c>
      <c r="BT14" s="142" t="n">
        <v>0</v>
      </c>
      <c r="BU14" s="60" t="inlineStr">
        <is>
          <t>Main Board</t>
        </is>
      </c>
      <c r="BV14" s="89" t="inlineStr">
        <is>
          <t>H Shares</t>
        </is>
      </c>
      <c r="BW14" s="61" t="n">
        <v>1</v>
      </c>
      <c r="BX14" s="77" t="n">
        <v>0</v>
      </c>
      <c r="BY14" s="77" t="n">
        <v>0</v>
      </c>
      <c r="BZ14" s="78" t="n">
        <v>0</v>
      </c>
      <c r="CA14" s="60" t="inlineStr">
        <is>
          <t>231010</t>
        </is>
      </c>
      <c r="CB14" s="76" t="inlineStr">
        <is>
          <t>HSICS (Hang Seng Industry Classification System) 2026</t>
        </is>
      </c>
      <c r="CC14" s="140" t="n">
        <v>39213</v>
      </c>
      <c r="CD14" s="171" t="n">
        <v>18.49</v>
      </c>
      <c r="CE14" s="76" t="inlineStr">
        <is>
          <t>PRC</t>
        </is>
      </c>
      <c r="CF14" s="89" t="inlineStr">
        <is>
          <t>Chongqing, PRC</t>
        </is>
      </c>
      <c r="CG14" s="91" t="n"/>
      <c r="CH14" s="60" t="inlineStr">
        <is>
          <t>IFRS Accounting Standards</t>
        </is>
      </c>
      <c r="CI14" s="141" t="n">
        <v>44927</v>
      </c>
      <c r="CJ14" s="141" t="n">
        <v>45291</v>
      </c>
      <c r="CK14" s="141" t="n">
        <v>45292</v>
      </c>
      <c r="CL14" s="141" t="n">
        <v>45657</v>
      </c>
      <c r="CM14" s="141" t="n">
        <v>45658</v>
      </c>
      <c r="CN14" s="64" t="n">
        <v>62358825000</v>
      </c>
      <c r="CO14" s="64" t="n">
        <v>3724791000</v>
      </c>
      <c r="CP14" s="64" t="n">
        <v>3077363000</v>
      </c>
      <c r="CQ14" s="141" t="n">
        <v>45957</v>
      </c>
      <c r="CR14" s="141" t="n">
        <v>45961</v>
      </c>
      <c r="CS14" s="63" t="n">
        <v>100200000</v>
      </c>
      <c r="CT14" s="64" t="n">
        <v>16530758000</v>
      </c>
      <c r="CU14" s="64" t="n">
        <v>3164700000</v>
      </c>
      <c r="CV14" s="59" t="inlineStr">
        <is>
          <t>Unqualified opinion</t>
        </is>
      </c>
      <c r="CW14" s="64" t="n">
        <v>251400000</v>
      </c>
      <c r="CX14" s="51" t="inlineStr">
        <is>
          <t>Chongqing Industrial Investment Parent Fund Enterprise Partnership (L.P.) (重慶產業投資母基金合夥企業(有限合夥)); Shenzhen Lin Yuan Investment Management Co., Ltd. and Huatai Capital Investment Limited; GF Fund Management Co., Ltd.; GF International Investment Management Limited; New China Asset Management (Hong Kong) Limited; BESS Broadway Limited; Sanhua (Hong Kong) Co Limited; Zhongsheng Holdings Company Limited; Zhink International Pte. Ltd.; Gold Wings Holdings Limited; Honour Goal Investments Limited; Hichain Logistics (Hong Kong) Limited; Schroder Investment Management (Singapore) Ltd and Schroder Investment Management (Hong Kong) Limited; Mirae Asset Securities Co., Ltd.; New Alternative Limited; PSBC Wealth Management Co., Ltd.; Skyler International Co., Ltd; Xingyu Automotive Lighting (Hong Kong) Company Limited; China MeiDong Auto Holdings Limited; Ghisallo Fund Master Ltd.; Jump Trading Pacific Pte. Ltd.; Jain Global Master Fund Ltd; China Alpha Fund Management (HK) Limited</t>
        </is>
      </c>
      <c r="CY14" s="142" t="n">
        <v>0.4495</v>
      </c>
      <c r="CZ14" s="136" t="n">
        <v>46147</v>
      </c>
      <c r="DA14" s="143" t="n">
        <v>132.68</v>
      </c>
      <c r="DB14" s="63" t="n">
        <v>202321</v>
      </c>
      <c r="DC14" s="63" t="n">
        <v>1329454700</v>
      </c>
      <c r="DD14" s="59" t="inlineStr">
        <is>
          <t>Subscription level 132.68 times</t>
        </is>
      </c>
      <c r="DE14" s="141" t="n">
        <v>45964</v>
      </c>
      <c r="DF14" s="141" t="n">
        <v>45965</v>
      </c>
      <c r="DG14" s="63" t="n">
        <v>108619000</v>
      </c>
      <c r="DH14" s="63" t="n">
        <v>10861900</v>
      </c>
      <c r="DI14" s="63" t="n">
        <v>97757100</v>
      </c>
      <c r="DJ14" s="63" t="n">
        <v>0</v>
      </c>
      <c r="DK14" s="169" t="n">
        <v>0</v>
      </c>
      <c r="DL14" s="59" t="inlineStr">
        <is>
          <t>No claw-back triggered; additional Offer Shares under the Offer Size Adjustment Option allocated 10.0%:90.0% between the Hong Kong Public Offering and the International Offering, with no reallocation of such additional Offer Shares</t>
        </is>
      </c>
      <c r="DM14" s="144" t="n">
        <v>14016410000</v>
      </c>
      <c r="DN14" s="142" t="n">
        <v>0.0624</v>
      </c>
      <c r="DO14" s="51" t="n">
        <v>1741985086</v>
      </c>
      <c r="DP14" s="142" t="n">
        <v>0.0343</v>
      </c>
      <c r="DQ14" s="59" t="inlineStr">
        <is>
          <t>Free float denominator = total issued shares upon listing (col_CZ); numerator = offer shares minus cornerstone allocation</t>
        </is>
      </c>
      <c r="DR14" s="63" t="n">
        <v>1741985086</v>
      </c>
      <c r="DS14" s="142" t="n">
        <v>-0.01351879</v>
      </c>
      <c r="DT14" s="80" t="n">
        <v>22</v>
      </c>
      <c r="DU14" s="142" t="n">
        <v>0.0347292</v>
      </c>
      <c r="DV14" s="144" t="n">
        <v>54172000000</v>
      </c>
      <c r="DW14" s="145" t="n">
        <v>131.5</v>
      </c>
      <c r="DX14" s="169" t="n">
        <v>0</v>
      </c>
      <c r="DY14" s="172" t="n">
        <v>0</v>
      </c>
      <c r="DZ14" s="146" t="n">
        <v>128.9</v>
      </c>
      <c r="EA14" s="146" t="n">
        <v>131.5</v>
      </c>
      <c r="EB14" s="146" t="n">
        <v>118</v>
      </c>
      <c r="EC14" s="63" t="n">
        <v>18589510</v>
      </c>
      <c r="ED14" s="169" t="n">
        <v>0.171144</v>
      </c>
      <c r="EE14" s="64" t="n"/>
      <c r="EF14" s="60" t="inlineStr">
        <is>
          <t>Mechanism B</t>
        </is>
      </c>
      <c r="EG14" s="59" t="inlineStr">
        <is>
          <t>FINI (from 22/11/2023); 2025-08-04 pricing reform (Mechanism A/B; six-month cornerstone lock-up retained); this IPO: Mechanism B</t>
        </is>
      </c>
      <c r="EH14" t="inlineStr">
        <is>
          <t>赛力斯集团股份有限公司</t>
        </is>
      </c>
      <c r="EI14" s="174" t="inlineStr">
        <is>
          <t>Active</t>
        </is>
      </c>
      <c r="EJ14" s="175" t="n">
        <v>116.287</v>
      </c>
      <c r="EK14" s="176" t="n">
        <v>-0.109506</v>
      </c>
      <c r="EL14" s="176" t="n">
        <v>-0.109506</v>
      </c>
      <c r="EM14" s="176" t="n">
        <v>0.006155</v>
      </c>
      <c r="EN14" s="176" t="n">
        <v>-0.027967</v>
      </c>
      <c r="EO14" s="179" t="n">
        <v>0.885</v>
      </c>
      <c r="EP14" s="179" t="n">
        <v>0.9161</v>
      </c>
      <c r="EQ14" s="178" t="n">
        <v>341987368.5</v>
      </c>
      <c r="ER14" s="175" t="n">
        <v>69.187</v>
      </c>
      <c r="ES14" s="176" t="n">
        <v>-0.470185</v>
      </c>
      <c r="ET14" s="176" t="n">
        <v>-0.470185</v>
      </c>
      <c r="EU14" s="176" t="n">
        <v>-0.001419</v>
      </c>
      <c r="EV14" s="176" t="n">
        <v>-0.147977</v>
      </c>
      <c r="EW14" s="179" t="n">
        <v>0.5306</v>
      </c>
      <c r="EX14" s="179" t="n">
        <v>0.6218</v>
      </c>
      <c r="EY14" s="178" t="n">
        <v>68588093.5</v>
      </c>
      <c r="EZ14" s="176" t="n">
        <v>0.028833</v>
      </c>
      <c r="FA14" s="176" t="n"/>
      <c r="FB14" s="179" t="n"/>
      <c r="FC14" s="176" t="n"/>
      <c r="FD14" s="179" t="n"/>
      <c r="FE14" s="174" t="inlineStr">
        <is>
          <t>Standard</t>
        </is>
      </c>
      <c r="FF14" s="181" t="n"/>
      <c r="FG14" s="185" t="n"/>
      <c r="FH14" s="183" t="n"/>
      <c r="FI14" s="178" t="n"/>
      <c r="FJ14" s="176" t="n"/>
      <c r="FK14" s="185" t="n"/>
      <c r="FL14" s="178" t="n"/>
      <c r="FM14" s="176" t="n"/>
      <c r="FN14" s="176" t="n"/>
      <c r="FO14" s="176" t="n"/>
      <c r="FP14" s="176" t="n"/>
      <c r="FQ14" s="176" t="n">
        <v>-0.164641</v>
      </c>
      <c r="FR14" s="179" t="n">
        <v>0.8115</v>
      </c>
      <c r="FS14" s="176" t="n">
        <v>-0.109506</v>
      </c>
      <c r="FT14" s="179" t="n">
        <v>0.885</v>
      </c>
      <c r="FU14" s="176" t="n">
        <v>-0.263809</v>
      </c>
      <c r="FV14" s="179" t="n">
        <v>0.7102000000000001</v>
      </c>
      <c r="FW14" s="179" t="n">
        <v>0.7879</v>
      </c>
      <c r="FX14" s="178" t="n">
        <v>182242012.19</v>
      </c>
      <c r="FY14" s="186" t="n">
        <v>0.0002164916666666667</v>
      </c>
      <c r="FZ14" s="183" t="n">
        <v>0</v>
      </c>
      <c r="GA14" s="176" t="n">
        <v>0.02652349400509622</v>
      </c>
      <c r="GB14" s="176" t="n">
        <v>0.470185</v>
      </c>
      <c r="GC14" s="185" t="n"/>
      <c r="GD14" s="185" t="n"/>
      <c r="GE14" s="176" t="n"/>
      <c r="GF14" s="176" t="n"/>
      <c r="GG14" s="179" t="n"/>
      <c r="GH14" s="181" t="inlineStr">
        <is>
          <t>China International Capital Corporation</t>
        </is>
      </c>
      <c r="GI14" s="183" t="n">
        <v>2</v>
      </c>
      <c r="GJ14" s="183" t="n">
        <v>0</v>
      </c>
      <c r="GK14" s="176" t="n">
        <v>0.009000000000000001</v>
      </c>
      <c r="GL14" s="176" t="n"/>
      <c r="GM14" s="176" t="n"/>
      <c r="GN14" s="183" t="n">
        <v>28</v>
      </c>
      <c r="GO14" s="183" t="n">
        <v>1</v>
      </c>
      <c r="GP14" s="183" t="n">
        <v>0</v>
      </c>
      <c r="GQ14" s="183" t="n">
        <v>0</v>
      </c>
      <c r="GR14" s="183" t="n">
        <v>0</v>
      </c>
      <c r="GS14" s="181" t="inlineStr">
        <is>
          <t>POST_FINI</t>
        </is>
      </c>
      <c r="GT14" s="181" t="inlineStr">
        <is>
          <t>POST_2025_REFORM</t>
        </is>
      </c>
    </row>
    <row r="15" ht="34" customFormat="1" customHeight="1" s="12">
      <c r="A15" s="43" t="n">
        <v>84</v>
      </c>
      <c r="B15" s="47" t="inlineStr">
        <is>
          <t>0699.HK</t>
        </is>
      </c>
      <c r="C15" s="44" t="inlineStr">
        <is>
          <t>NINGBO JOYSON ELECTRONIC CORP.-  H shares</t>
        </is>
      </c>
      <c r="D15" s="130" t="n">
        <v>45958</v>
      </c>
      <c r="E15" s="48" t="n">
        <v>45967</v>
      </c>
      <c r="F15" s="43" t="inlineStr">
        <is>
          <t>China International Capital Corporation
Hong Kong Securities Limited/
UBS Securities Hong Kong Limited</t>
        </is>
      </c>
      <c r="G15" s="43" t="inlineStr">
        <is>
          <t>KPMG</t>
        </is>
      </c>
      <c r="H15" s="43" t="n"/>
      <c r="I15" s="131" t="n">
        <v>341220000</v>
      </c>
      <c r="J15" s="148" t="n">
        <v>3070980000</v>
      </c>
      <c r="K15" s="133" t="n">
        <v>22</v>
      </c>
      <c r="L15" t="n">
        <v>1550770563</v>
      </c>
      <c r="M15" s="67" t="n">
        <v>155100000</v>
      </c>
      <c r="N15" t="n">
        <v>1395670563</v>
      </c>
      <c r="O15" t="n">
        <v>1395670563</v>
      </c>
      <c r="P15" t="n">
        <v>0</v>
      </c>
      <c r="Q15" t="n">
        <v>155100000</v>
      </c>
      <c r="R15" s="67" t="n">
        <v>139590000</v>
      </c>
      <c r="S15" s="67" t="n">
        <v>15510000</v>
      </c>
      <c r="T15" s="147" t="n">
        <v>23.6</v>
      </c>
      <c r="U15" s="147" t="inlineStr">
        <is>
          <t>NaN</t>
        </is>
      </c>
      <c r="V15" s="169" t="n">
        <v>0</v>
      </c>
      <c r="W15" s="169" t="n">
        <v>0</v>
      </c>
      <c r="X15" s="170" t="inlineStr">
        <is>
          <t>Fixed price</t>
        </is>
      </c>
      <c r="Y15" s="26" t="inlineStr">
        <is>
          <t>RMB</t>
        </is>
      </c>
      <c r="Z15" s="137" t="n">
        <v>56886848000</v>
      </c>
      <c r="AA15" s="137" t="n">
        <v>64165868000</v>
      </c>
      <c r="AB15" s="137" t="n">
        <v>67033109000</v>
      </c>
      <c r="AC15" s="137" t="n">
        <v>19126372000</v>
      </c>
      <c r="AD15" s="137" t="n">
        <v>19845543000</v>
      </c>
      <c r="AE15" s="137" t="n">
        <v>20230867000</v>
      </c>
      <c r="AF15" s="137" t="n">
        <v>37760476000</v>
      </c>
      <c r="AG15" s="137" t="n">
        <v>44320325000</v>
      </c>
      <c r="AH15" s="137" t="n">
        <v>46802242000</v>
      </c>
      <c r="AI15" s="137" t="n">
        <v>55728476000</v>
      </c>
      <c r="AJ15" s="137" t="n">
        <v>55863577000</v>
      </c>
      <c r="AK15" s="137" t="n">
        <v>59121861000</v>
      </c>
      <c r="AL15" s="137" t="n">
        <v>1762281000</v>
      </c>
      <c r="AM15" s="137" t="n">
        <v>1995749000</v>
      </c>
      <c r="AN15" s="137" t="n">
        <v>2086701000</v>
      </c>
      <c r="AO15" s="137" t="n">
        <v>1240092000</v>
      </c>
      <c r="AP15" s="137" t="n">
        <v>1326282000</v>
      </c>
      <c r="AQ15" s="137" t="n">
        <v>1471584000</v>
      </c>
      <c r="AR15" s="142" t="n">
        <v>0.022</v>
      </c>
      <c r="AS15" s="142" t="n">
        <v>0.022</v>
      </c>
      <c r="AT15" s="84" t="n">
        <v>0.15</v>
      </c>
      <c r="AU15" s="51" t="inlineStr">
        <is>
          <t>Automotive parts and components - intelligent automotive technology solutions (automotive electronics and automotive safety)</t>
        </is>
      </c>
      <c r="AV15" s="51" t="inlineStr">
        <is>
          <t>Main Board - Chapter 19A (PRC issuer; H Shares listed on the Stock Exchange alongside A Shares listed on the Shanghai Stock Exchange)</t>
        </is>
      </c>
      <c r="AW15" s="136" t="n">
        <v>45777</v>
      </c>
      <c r="AX15" s="137" t="n">
        <v>693850000</v>
      </c>
      <c r="AY15" s="117" t="n">
        <v>5347044000</v>
      </c>
      <c r="AZ15" s="117" t="n">
        <v>1107696000</v>
      </c>
      <c r="BA15" s="117" t="n">
        <v>466191000</v>
      </c>
      <c r="BB15" s="138" t="n">
        <v>0.472</v>
      </c>
      <c r="BC15" s="139" t="n">
        <v>0.333333</v>
      </c>
      <c r="BD15" s="80" t="inlineStr">
        <is>
          <t>NaN</t>
        </is>
      </c>
      <c r="BE15" s="161" t="inlineStr">
        <is>
          <t>NaN</t>
        </is>
      </c>
      <c r="BF15" s="161" t="inlineStr">
        <is>
          <t>NaN</t>
        </is>
      </c>
      <c r="BG15" s="161" t="inlineStr">
        <is>
          <t>NaN</t>
        </is>
      </c>
      <c r="BH15" s="161" t="inlineStr">
        <is>
          <t>NaN</t>
        </is>
      </c>
      <c r="BI15" s="161" t="inlineStr">
        <is>
          <t>NaN</t>
        </is>
      </c>
      <c r="BJ15" s="162" t="inlineStr">
        <is>
          <t>NA</t>
        </is>
      </c>
      <c r="BK15" s="163" t="inlineStr">
        <is>
          <t>NaN</t>
        </is>
      </c>
      <c r="BL15" s="161" t="inlineStr">
        <is>
          <t>NaN</t>
        </is>
      </c>
      <c r="BM15" s="164" t="inlineStr">
        <is>
          <t>NA</t>
        </is>
      </c>
      <c r="BN15" s="165" t="inlineStr">
        <is>
          <t>NaN</t>
        </is>
      </c>
      <c r="BO15" s="51" t="inlineStr">
        <is>
          <t>自然人 / Natural person (Mr. WANG Jianfeng)</t>
        </is>
      </c>
      <c r="BP15" s="135" t="n">
        <v>0.3586</v>
      </c>
      <c r="BQ15" s="135" t="n">
        <v>0.3586</v>
      </c>
      <c r="BR15" s="137" t="n">
        <v>26581451000</v>
      </c>
      <c r="BS15" s="51" t="inlineStr">
        <is>
          <t>规模商业化 / Mass production - commercialized at scale</t>
        </is>
      </c>
      <c r="BT15" s="142" t="n">
        <v>0</v>
      </c>
      <c r="BU15" s="60" t="inlineStr">
        <is>
          <t>Main Board</t>
        </is>
      </c>
      <c r="BV15" s="89" t="inlineStr">
        <is>
          <t>H Shares</t>
        </is>
      </c>
      <c r="BW15" s="61" t="n">
        <v>1</v>
      </c>
      <c r="BX15" s="77" t="n">
        <v>0</v>
      </c>
      <c r="BY15" s="77" t="n">
        <v>0</v>
      </c>
      <c r="BZ15" s="78" t="n">
        <v>0</v>
      </c>
      <c r="CA15" s="60" t="inlineStr">
        <is>
          <t>231020</t>
        </is>
      </c>
      <c r="CB15" s="76" t="inlineStr">
        <is>
          <t>HSICS (Hang Seng Industry Classification System) 2026</t>
        </is>
      </c>
      <c r="CC15" s="140" t="n">
        <v>33823</v>
      </c>
      <c r="CD15" s="171" t="n">
        <v>33.25</v>
      </c>
      <c r="CE15" s="76" t="inlineStr">
        <is>
          <t>PRC</t>
        </is>
      </c>
      <c r="CF15" s="89" t="inlineStr">
        <is>
          <t>Ningbo, Zhejiang Province, PRC</t>
        </is>
      </c>
      <c r="CG15" s="91" t="n"/>
      <c r="CH15" s="60" t="inlineStr">
        <is>
          <t>IFRS Accounting Standards</t>
        </is>
      </c>
      <c r="CI15" s="141" t="n">
        <v>44927</v>
      </c>
      <c r="CJ15" s="141" t="n">
        <v>45291</v>
      </c>
      <c r="CK15" s="141" t="n">
        <v>45292</v>
      </c>
      <c r="CL15" s="141" t="n">
        <v>45657</v>
      </c>
      <c r="CM15" s="141" t="n">
        <v>45658</v>
      </c>
      <c r="CN15" s="64" t="n">
        <v>19707287000</v>
      </c>
      <c r="CO15" s="64" t="n">
        <v>695567000</v>
      </c>
      <c r="CP15" s="64" t="n">
        <v>490528000</v>
      </c>
      <c r="CQ15" s="141" t="n">
        <v>45958</v>
      </c>
      <c r="CR15" s="141" t="n">
        <v>45964</v>
      </c>
      <c r="CS15" s="63" t="n">
        <v>155100000</v>
      </c>
      <c r="CT15" s="64" t="n">
        <v>3513685000</v>
      </c>
      <c r="CU15" s="64" t="n">
        <v>612055000</v>
      </c>
      <c r="CV15" s="59" t="inlineStr">
        <is>
          <t>无保留意见 / Unqualified opinion</t>
        </is>
      </c>
      <c r="CW15" s="64" t="n">
        <v>201830000</v>
      </c>
      <c r="CX15" s="51" t="inlineStr">
        <is>
          <t>Jun Sheng SP (a segregated portfolio of JSC International Investment Fund SPC); Ningbo Xinzhi Industrial Investment Co., Ltd.; Jump Trading Pacific Pte. Ltd.; Eastern Bell Capital VIII Investment Limited; PSBC Wealth Management Co., Ltd.; Vandi Investments Limited; Fidelidade - Companhia de Seguros, S.A.</t>
        </is>
      </c>
      <c r="CY15" s="142" t="n">
        <v>0.2438</v>
      </c>
      <c r="CZ15" s="136" t="n">
        <v>46148</v>
      </c>
      <c r="DA15" s="143" t="n">
        <v>147.67</v>
      </c>
      <c r="DB15" s="63" t="n">
        <v>94653</v>
      </c>
      <c r="DC15" s="63" t="n">
        <v>2290403500</v>
      </c>
      <c r="DD15" s="59" t="inlineStr">
        <is>
          <t>Subscription level 147.67 times</t>
        </is>
      </c>
      <c r="DE15" s="141" t="n">
        <v>45965</v>
      </c>
      <c r="DF15" s="141" t="n">
        <v>45966</v>
      </c>
      <c r="DG15" s="63" t="n">
        <v>155100000</v>
      </c>
      <c r="DH15" s="63" t="n">
        <v>15510000</v>
      </c>
      <c r="DI15" s="63" t="n">
        <v>139590000</v>
      </c>
      <c r="DJ15" s="63" t="n">
        <v>0</v>
      </c>
      <c r="DK15" s="169" t="n">
        <v>0</v>
      </c>
      <c r="DL15" s="59" t="inlineStr">
        <is>
          <t>Claw-back triggered: N/A; final no. of Offer Shares under the Hong Kong Public Offering 15,510,000, unchanged from the 15,510,000 initially available</t>
        </is>
      </c>
      <c r="DM15" s="144" t="n">
        <v>3252500000</v>
      </c>
      <c r="DN15" s="142" t="n">
        <v>0.1008</v>
      </c>
      <c r="DO15" s="51" t="n">
        <v>1550770563</v>
      </c>
      <c r="DP15" s="142" t="n">
        <v>0.0756</v>
      </c>
      <c r="DQ15" s="59" t="inlineStr">
        <is>
          <t>Free float denominator = total issued shares upon listing (col_CZ); numerator = offer shares minus cornerstone allocation</t>
        </is>
      </c>
      <c r="DR15" s="63" t="n">
        <v>1550770563</v>
      </c>
      <c r="DS15" s="142" t="n">
        <v>-0.00192492</v>
      </c>
      <c r="DT15" s="80" t="n">
        <v>22</v>
      </c>
      <c r="DU15" s="142" t="n">
        <v>0.035</v>
      </c>
      <c r="DV15" s="144" t="n">
        <v>54172000000</v>
      </c>
      <c r="DW15" s="145" t="n">
        <v>20.24</v>
      </c>
      <c r="DX15" s="169" t="n">
        <v>-0.08</v>
      </c>
      <c r="DY15" s="172" t="n">
        <v>-272976000</v>
      </c>
      <c r="DZ15" s="146" t="n">
        <v>21.5</v>
      </c>
      <c r="EA15" s="146" t="n">
        <v>21.5</v>
      </c>
      <c r="EB15" s="146" t="n">
        <v>19.85</v>
      </c>
      <c r="EC15" s="63" t="n">
        <v>34771600</v>
      </c>
      <c r="ED15" s="169" t="n">
        <v>0.224188</v>
      </c>
      <c r="EE15" s="64" t="n"/>
      <c r="EF15" s="60" t="inlineStr">
        <is>
          <t>Mechanism B</t>
        </is>
      </c>
      <c r="EG15" s="59" t="inlineStr">
        <is>
          <t>FINI (from 22/11/2023); 2025-08-04 pricing reform (Mechanism A/B; six-month cornerstone lock-up retained); this IPO: Mechanism B</t>
        </is>
      </c>
      <c r="EH15" t="inlineStr">
        <is>
          <t>宁波均胜电子股份有限公司</t>
        </is>
      </c>
      <c r="EI15" s="174" t="inlineStr">
        <is>
          <t>Active</t>
        </is>
      </c>
      <c r="EJ15" s="175" t="n">
        <v>17.594</v>
      </c>
      <c r="EK15" s="176" t="n">
        <v>-0.121793</v>
      </c>
      <c r="EL15" s="176" t="n">
        <v>-0.19205</v>
      </c>
      <c r="EM15" s="176" t="n">
        <v>-0.027379</v>
      </c>
      <c r="EN15" s="176" t="n">
        <v>-0.068857</v>
      </c>
      <c r="EO15" s="179" t="n">
        <v>0.9029</v>
      </c>
      <c r="EP15" s="179" t="n">
        <v>0.9431</v>
      </c>
      <c r="EQ15" s="178" t="n">
        <v>129258155.5</v>
      </c>
      <c r="ER15" s="175" t="n">
        <v>17.364</v>
      </c>
      <c r="ES15" s="176" t="n">
        <v>-0.133273</v>
      </c>
      <c r="ET15" s="176" t="n">
        <v>-0.202612</v>
      </c>
      <c r="EU15" s="176" t="n">
        <v>-0.010274</v>
      </c>
      <c r="EV15" s="176" t="n">
        <v>-0.164028</v>
      </c>
      <c r="EW15" s="179" t="n">
        <v>0.8757</v>
      </c>
      <c r="EX15" s="179" t="n">
        <v>1.0368</v>
      </c>
      <c r="EY15" s="178" t="n">
        <v>82212805.5</v>
      </c>
      <c r="EZ15" s="176" t="n">
        <v>0.114679</v>
      </c>
      <c r="FA15" s="176" t="n"/>
      <c r="FB15" s="179" t="n"/>
      <c r="FC15" s="176" t="n"/>
      <c r="FD15" s="179" t="n"/>
      <c r="FE15" s="174" t="inlineStr">
        <is>
          <t>Standard</t>
        </is>
      </c>
      <c r="FF15" s="181" t="n"/>
      <c r="FG15" s="185" t="n"/>
      <c r="FH15" s="183" t="n"/>
      <c r="FI15" s="178" t="n"/>
      <c r="FJ15" s="176" t="n"/>
      <c r="FK15" s="185" t="n"/>
      <c r="FL15" s="178" t="n"/>
      <c r="FM15" s="176" t="n"/>
      <c r="FN15" s="176" t="n"/>
      <c r="FO15" s="176" t="n"/>
      <c r="FP15" s="176" t="n"/>
      <c r="FQ15" s="176" t="n">
        <v>-0.139762</v>
      </c>
      <c r="FR15" s="179" t="n">
        <v>0.8463000000000001</v>
      </c>
      <c r="FS15" s="176" t="n">
        <v>-0.121793</v>
      </c>
      <c r="FT15" s="179" t="n">
        <v>0.9029</v>
      </c>
      <c r="FU15" s="176" t="n">
        <v>-0.163223</v>
      </c>
      <c r="FV15" s="179" t="n">
        <v>0.8344</v>
      </c>
      <c r="FW15" s="179" t="n">
        <v>0.9304</v>
      </c>
      <c r="FX15" s="178" t="n">
        <v>84680394.22</v>
      </c>
      <c r="FY15" s="186" t="n">
        <v>0.0005360083333333334</v>
      </c>
      <c r="FZ15" s="183" t="n">
        <v>0</v>
      </c>
      <c r="GA15" s="176" t="n">
        <v>0.03179343407815084</v>
      </c>
      <c r="GB15" s="176" t="n">
        <v>0.340002</v>
      </c>
      <c r="GC15" s="185" t="n"/>
      <c r="GD15" s="185" t="n"/>
      <c r="GE15" s="176" t="n"/>
      <c r="GF15" s="176" t="n"/>
      <c r="GG15" s="179" t="n"/>
      <c r="GH15" s="181" t="inlineStr">
        <is>
          <t>China International Capital Corporation Hong Kong Securities Limited</t>
        </is>
      </c>
      <c r="GI15" s="183" t="n">
        <v>2</v>
      </c>
      <c r="GJ15" s="183" t="n">
        <v>0</v>
      </c>
      <c r="GK15" s="176" t="n">
        <v>0.022</v>
      </c>
      <c r="GL15" s="176" t="n"/>
      <c r="GM15" s="176" t="n"/>
      <c r="GN15" s="183" t="n">
        <v>10</v>
      </c>
      <c r="GO15" s="183" t="n">
        <v>1</v>
      </c>
      <c r="GP15" s="183" t="n">
        <v>0</v>
      </c>
      <c r="GQ15" s="183" t="n">
        <v>0</v>
      </c>
      <c r="GR15" s="183" t="n">
        <v>0</v>
      </c>
      <c r="GS15" s="181" t="inlineStr">
        <is>
          <t>POST_FINI</t>
        </is>
      </c>
      <c r="GT15" s="181" t="inlineStr">
        <is>
          <t>POST_2025_REFORM</t>
        </is>
      </c>
    </row>
    <row r="16" ht="51" customFormat="1" customHeight="1" s="12">
      <c r="A16" s="43" t="n">
        <v>87</v>
      </c>
      <c r="B16" s="47" t="inlineStr">
        <is>
          <t>0800.HK</t>
        </is>
      </c>
      <c r="C16" s="44" t="inlineStr">
        <is>
          <t>WeRide Inc. - W</t>
        </is>
      </c>
      <c r="D16" s="130" t="n">
        <v>45958</v>
      </c>
      <c r="E16" s="48" t="n">
        <v>45967</v>
      </c>
      <c r="F16" s="43" t="inlineStr">
        <is>
          <t>China International Capital Corporation/
Morgan Stanley Asia Limited</t>
        </is>
      </c>
      <c r="G16" s="43" t="inlineStr">
        <is>
          <t>KPMG</t>
        </is>
      </c>
      <c r="H16" s="43" t="n"/>
      <c r="I16" s="131" t="n">
        <v>478315000</v>
      </c>
      <c r="J16" s="148" t="n">
        <v>1913260000</v>
      </c>
      <c r="K16" s="133" t="n">
        <v>27.1</v>
      </c>
      <c r="L16" t="n">
        <v>1026616330</v>
      </c>
      <c r="M16" s="67" t="n">
        <v>88250000</v>
      </c>
      <c r="N16" t="n">
        <v>938366330</v>
      </c>
      <c r="O16" t="n">
        <v>938366330</v>
      </c>
      <c r="P16" t="n">
        <v>0</v>
      </c>
      <c r="Q16" t="n">
        <v>88250000</v>
      </c>
      <c r="R16" s="67" t="n">
        <v>83837500</v>
      </c>
      <c r="S16" s="67" t="n">
        <v>4412500</v>
      </c>
      <c r="T16" s="147" t="n">
        <v>35</v>
      </c>
      <c r="U16" s="147" t="inlineStr">
        <is>
          <t>NaN</t>
        </is>
      </c>
      <c r="V16" s="169" t="n">
        <v>0</v>
      </c>
      <c r="W16" s="169" t="n">
        <v>0</v>
      </c>
      <c r="X16" s="170" t="inlineStr">
        <is>
          <t>Fixed price</t>
        </is>
      </c>
      <c r="Y16" s="26" t="inlineStr">
        <is>
          <t>RMB</t>
        </is>
      </c>
      <c r="Z16" s="137" t="n">
        <v>5614258000</v>
      </c>
      <c r="AA16" s="137" t="n">
        <v>7693770000</v>
      </c>
      <c r="AB16" s="137" t="n">
        <v>7145853000</v>
      </c>
      <c r="AC16" s="137" t="n">
        <v>-3051918000</v>
      </c>
      <c r="AD16" s="137" t="n">
        <v>7066019000</v>
      </c>
      <c r="AE16" s="137" t="n">
        <v>6463756000</v>
      </c>
      <c r="AF16" s="137" t="n">
        <v>8666176000</v>
      </c>
      <c r="AG16" s="137" t="n">
        <v>627751000</v>
      </c>
      <c r="AH16" s="137" t="n">
        <v>682097000</v>
      </c>
      <c r="AI16" s="137" t="n">
        <v>401844000</v>
      </c>
      <c r="AJ16" s="137" t="n">
        <v>361134000</v>
      </c>
      <c r="AK16" s="137" t="n">
        <v>399230000</v>
      </c>
      <c r="AL16" s="137" t="n">
        <v>-1946235000</v>
      </c>
      <c r="AM16" s="137" t="n">
        <v>-2510940000</v>
      </c>
      <c r="AN16" s="137" t="n">
        <v>-1579280000</v>
      </c>
      <c r="AO16" s="137" t="n">
        <v>-1949101000</v>
      </c>
      <c r="AP16" s="137" t="n">
        <v>-2516808000</v>
      </c>
      <c r="AQ16" s="137" t="n">
        <v>-1583034000</v>
      </c>
      <c r="AR16" s="142" t="n">
        <v>0.02</v>
      </c>
      <c r="AS16" s="142" t="n">
        <v>0.02</v>
      </c>
      <c r="AT16" s="84" t="n">
        <v>0.15</v>
      </c>
      <c r="AU16" s="51" t="inlineStr">
        <is>
          <t>Autonomous driving (L4 autonomous driving products and solutions)</t>
        </is>
      </c>
      <c r="AV16" s="51" t="inlineStr">
        <is>
          <t>Dual primary listing of Class A Ordinary Shares on the Stock Exchange as a Specialist Technology Company with WVR structure under Chapters 8A and 18C of the Listing Rules</t>
        </is>
      </c>
      <c r="AW16" s="136" t="n">
        <v>45838</v>
      </c>
      <c r="AX16" s="137" t="n">
        <v>-663396000</v>
      </c>
      <c r="AY16" s="117" t="n">
        <v>3836137000</v>
      </c>
      <c r="AZ16" s="117" t="n">
        <v>644635000</v>
      </c>
      <c r="BA16" s="117" t="n">
        <v>0</v>
      </c>
      <c r="BB16" s="138" t="n">
        <v>0.484</v>
      </c>
      <c r="BC16" s="139" t="n">
        <v>0.5</v>
      </c>
      <c r="BD16" s="80" t="n">
        <v>1</v>
      </c>
      <c r="BE16" s="161" t="n">
        <v>1</v>
      </c>
      <c r="BF16" s="161" t="inlineStr">
        <is>
          <t>NaN</t>
        </is>
      </c>
      <c r="BG16" s="161" t="n">
        <v>1</v>
      </c>
      <c r="BH16" s="161" t="n">
        <v>1</v>
      </c>
      <c r="BI16" s="161" t="inlineStr">
        <is>
          <t>NaN</t>
        </is>
      </c>
      <c r="BJ16" s="162" t="inlineStr">
        <is>
          <t>Qiming entities (Qiming Venture Partners V, L.P.; Qiming Managing Directors Fund V, L.P.; Qiming Venture Partners VII, L.P.; Qiming VII Strategic Investors Fund, L.P.); Alliance Ventures B.V.; Yutong entities (Beijing Xufeng Zhiyuan Intelligent Technology Partnership (Limited Partnership); Zhengzhou Xufeng Jiayuan Intelligent Connected Enterprise Management Center (Limited Partnership)); China-UAE Investment Cooperation Fund, L.P.</t>
        </is>
      </c>
      <c r="BK16" s="163" t="inlineStr">
        <is>
          <t>NaN</t>
        </is>
      </c>
      <c r="BL16" s="161" t="n">
        <v>1</v>
      </c>
      <c r="BM16" s="164" t="inlineStr">
        <is>
          <t>Series seed financing</t>
        </is>
      </c>
      <c r="BN16" s="165" t="inlineStr">
        <is>
          <t>NaN</t>
        </is>
      </c>
      <c r="BO16" s="51" t="inlineStr">
        <is>
          <t>自然人（WVR 受益人 Dr. Han 及 Dr. Li；公司无单一控股股东，二人构成单一最大股东集团）</t>
        </is>
      </c>
      <c r="BP16" s="135" t="n">
        <v>0.0798</v>
      </c>
      <c r="BQ16" s="135" t="n">
        <v>0.7015</v>
      </c>
      <c r="BR16" s="137" t="n">
        <v>246817000</v>
      </c>
      <c r="BS16" s="51" t="inlineStr">
        <is>
          <t>Commercial Company under Chapter 18C（技术已进入商业化阶段）</t>
        </is>
      </c>
      <c r="BT16" s="142" t="n">
        <v>0</v>
      </c>
      <c r="BU16" s="60" t="inlineStr">
        <is>
          <t>Main Board</t>
        </is>
      </c>
      <c r="BV16" s="89" t="inlineStr">
        <is>
          <t>Class A Ordinary Shares; Class B Ordinary Shares</t>
        </is>
      </c>
      <c r="BW16" s="61" t="n">
        <v>0</v>
      </c>
      <c r="BX16" s="77" t="n">
        <v>0</v>
      </c>
      <c r="BY16" s="77" t="n">
        <v>0</v>
      </c>
      <c r="BZ16" s="78" t="n">
        <v>0</v>
      </c>
      <c r="CA16" s="60" t="inlineStr">
        <is>
          <t>702015</t>
        </is>
      </c>
      <c r="CB16" s="76" t="inlineStr">
        <is>
          <t>HSICS (Hang Seng Industry Classification System) 2026</t>
        </is>
      </c>
      <c r="CC16" s="140" t="n">
        <v>42807</v>
      </c>
      <c r="CD16" s="171" t="n">
        <v>8.65</v>
      </c>
      <c r="CE16" s="76" t="inlineStr">
        <is>
          <t>Cayman Islands</t>
        </is>
      </c>
      <c r="CF16" s="89" t="inlineStr">
        <is>
          <t>Guangzhou, Guangdong Province, PRC</t>
        </is>
      </c>
      <c r="CG16" s="91" t="n">
        <v>1000</v>
      </c>
      <c r="CH16" s="60" t="inlineStr">
        <is>
          <t>IFRS Accounting Standards</t>
        </is>
      </c>
      <c r="CI16" s="141" t="n">
        <v>44927</v>
      </c>
      <c r="CJ16" s="141" t="n">
        <v>45291</v>
      </c>
      <c r="CK16" s="141" t="n">
        <v>45292</v>
      </c>
      <c r="CL16" s="141" t="n">
        <v>45657</v>
      </c>
      <c r="CM16" s="141" t="n">
        <v>45658</v>
      </c>
      <c r="CN16" s="64" t="n">
        <v>199615000</v>
      </c>
      <c r="CO16" s="64" t="n">
        <v>-789640000</v>
      </c>
      <c r="CP16" s="64" t="n">
        <v>-791517000</v>
      </c>
      <c r="CQ16" s="141" t="n">
        <v>45958</v>
      </c>
      <c r="CR16" s="141" t="n">
        <v>45964</v>
      </c>
      <c r="CS16" s="63" t="n">
        <v>1026616330</v>
      </c>
      <c r="CT16" s="64" t="n">
        <v>61059000</v>
      </c>
      <c r="CU16" s="64" t="n">
        <v>134471000</v>
      </c>
      <c r="CV16" s="59" t="inlineStr">
        <is>
          <t>Unqualified opinion (true and fair view)</t>
        </is>
      </c>
      <c r="CW16" s="64" t="n">
        <v>156700000</v>
      </c>
      <c r="CX16" s="51" t="inlineStr">
        <is>
          <t>NA</t>
        </is>
      </c>
      <c r="CY16" s="142" t="n">
        <v>0</v>
      </c>
      <c r="CZ16" s="136" t="inlineStr">
        <is>
          <t>NA</t>
        </is>
      </c>
      <c r="DA16" s="143" t="n">
        <v>73.44</v>
      </c>
      <c r="DB16" s="63" t="n">
        <v>64949</v>
      </c>
      <c r="DC16" s="63" t="n">
        <v>324037100</v>
      </c>
      <c r="DD16" s="59" t="inlineStr">
        <is>
          <t>Subscription level 73.44 times</t>
        </is>
      </c>
      <c r="DE16" s="141" t="n">
        <v>45965</v>
      </c>
      <c r="DF16" s="141" t="n">
        <v>45966</v>
      </c>
      <c r="DG16" s="63" t="n">
        <v>88250000</v>
      </c>
      <c r="DH16" s="63" t="n">
        <v>17650000</v>
      </c>
      <c r="DI16" s="63" t="n">
        <v>70600000</v>
      </c>
      <c r="DJ16" s="63" t="n">
        <v>0</v>
      </c>
      <c r="DK16" s="169" t="n">
        <v>0</v>
      </c>
      <c r="DL16" s="59" t="inlineStr">
        <is>
          <t>13,237,500 Offer Shares reallocated from the International Offering (claw-back); final Hong Kong Public Offering 17,650,000 Offer Shares (20% of the Global Offering)</t>
        </is>
      </c>
      <c r="DM16" s="144" t="n">
        <v>2264340000</v>
      </c>
      <c r="DN16" s="142" t="n">
        <v>0.972</v>
      </c>
      <c r="DO16" s="51" t="n">
        <v>1026616330</v>
      </c>
      <c r="DP16" s="142" t="n">
        <v>0.08599999999999999</v>
      </c>
      <c r="DQ16" s="59" t="inlineStr">
        <is>
          <t>Free float denominator = total issued shares upon listing (col_CZ); numerator = offer shares minus cornerstone allocation</t>
        </is>
      </c>
      <c r="DR16" s="63" t="n">
        <v>1026616330</v>
      </c>
      <c r="DS16" s="142" t="n">
        <v>-0.00192492</v>
      </c>
      <c r="DT16" s="80" t="n">
        <v>22</v>
      </c>
      <c r="DU16" s="142" t="n">
        <v>0.035</v>
      </c>
      <c r="DV16" s="144" t="n">
        <v>54172000000</v>
      </c>
      <c r="DW16" s="145" t="n">
        <v>24.4</v>
      </c>
      <c r="DX16" s="169" t="n">
        <v>-0.099631</v>
      </c>
      <c r="DY16" s="172" t="n">
        <v>-238275000</v>
      </c>
      <c r="DZ16" s="146" t="n">
        <v>24.98</v>
      </c>
      <c r="EA16" s="146" t="n">
        <v>24.98</v>
      </c>
      <c r="EB16" s="146" t="n">
        <v>23</v>
      </c>
      <c r="EC16" s="63" t="n">
        <v>16900938</v>
      </c>
      <c r="ED16" s="169" t="n">
        <v>0.191512</v>
      </c>
      <c r="EE16" s="64" t="n"/>
      <c r="EF16" s="60" t="inlineStr">
        <is>
          <t>Mechanism A</t>
        </is>
      </c>
      <c r="EG16" s="59" t="inlineStr">
        <is>
          <t>FINI (from 22/11/2023); 2025-08-04 pricing reform (Mechanism A/B; six-month cornerstone lock-up retained); this IPO: Mechanism A</t>
        </is>
      </c>
      <c r="EH16" t="inlineStr">
        <is>
          <t>文远知行</t>
        </is>
      </c>
      <c r="EI16" s="174" t="inlineStr">
        <is>
          <t>Active</t>
        </is>
      </c>
      <c r="EJ16" s="175" t="n">
        <v>23.12</v>
      </c>
      <c r="EK16" s="176" t="n">
        <v>-0.052459</v>
      </c>
      <c r="EL16" s="176" t="n">
        <v>-0.146863</v>
      </c>
      <c r="EM16" s="176" t="n">
        <v>-0.027379</v>
      </c>
      <c r="EN16" s="176" t="n">
        <v>-0.068857</v>
      </c>
      <c r="EO16" s="179" t="n">
        <v>0.9742</v>
      </c>
      <c r="EP16" s="179" t="n">
        <v>1.0176</v>
      </c>
      <c r="EQ16" s="178" t="n">
        <v>55632275</v>
      </c>
      <c r="ER16" s="175" t="n">
        <v>20</v>
      </c>
      <c r="ES16" s="176" t="n">
        <v>-0.180328</v>
      </c>
      <c r="ET16" s="176" t="n">
        <v>-0.261993</v>
      </c>
      <c r="EU16" s="176" t="n">
        <v>-0.010274</v>
      </c>
      <c r="EV16" s="176" t="n">
        <v>-0.164028</v>
      </c>
      <c r="EW16" s="179" t="n">
        <v>0.8282</v>
      </c>
      <c r="EX16" s="179" t="n">
        <v>0.9805</v>
      </c>
      <c r="EY16" s="178" t="n">
        <v>100117220</v>
      </c>
      <c r="EZ16" s="176" t="n">
        <v>0.248316</v>
      </c>
      <c r="FA16" s="176" t="n"/>
      <c r="FB16" s="179" t="n"/>
      <c r="FC16" s="176" t="n"/>
      <c r="FD16" s="179" t="n"/>
      <c r="FE16" s="174" t="inlineStr">
        <is>
          <t>Standard</t>
        </is>
      </c>
      <c r="FF16" s="181" t="n"/>
      <c r="FG16" s="185" t="n"/>
      <c r="FH16" s="183" t="n"/>
      <c r="FI16" s="178" t="n"/>
      <c r="FJ16" s="176" t="n"/>
      <c r="FK16" s="185" t="n"/>
      <c r="FL16" s="178" t="n"/>
      <c r="FM16" s="176" t="n"/>
      <c r="FN16" s="176" t="n"/>
      <c r="FO16" s="176" t="n"/>
      <c r="FP16" s="176" t="n"/>
      <c r="FQ16" s="176" t="n">
        <v>-0.131148</v>
      </c>
      <c r="FR16" s="179" t="n">
        <v>0.8548</v>
      </c>
      <c r="FS16" s="176" t="n">
        <v>-0.052459</v>
      </c>
      <c r="FT16" s="179" t="n">
        <v>0.9742</v>
      </c>
      <c r="FU16" s="176" t="n">
        <v>-0.206148</v>
      </c>
      <c r="FV16" s="179" t="n">
        <v>0.7916</v>
      </c>
      <c r="FW16" s="179" t="n">
        <v>0.8827</v>
      </c>
      <c r="FX16" s="178" t="n">
        <v>32526034.38</v>
      </c>
      <c r="FY16" s="186" t="n">
        <v>0.001071125</v>
      </c>
      <c r="FZ16" s="183" t="n">
        <v>0</v>
      </c>
      <c r="GA16" s="176" t="n">
        <v>0.03907763049080881</v>
      </c>
      <c r="GB16" s="176" t="n">
        <v>0.379138</v>
      </c>
      <c r="GC16" s="185" t="n"/>
      <c r="GD16" s="185" t="n"/>
      <c r="GE16" s="176" t="n"/>
      <c r="GF16" s="176" t="n"/>
      <c r="GG16" s="179" t="n"/>
      <c r="GH16" s="181" t="inlineStr">
        <is>
          <t>China International Capital Corporation</t>
        </is>
      </c>
      <c r="GI16" s="183" t="n">
        <v>2</v>
      </c>
      <c r="GJ16" s="183" t="n">
        <v>0</v>
      </c>
      <c r="GK16" s="176" t="n">
        <v>0.02</v>
      </c>
      <c r="GL16" s="176" t="n"/>
      <c r="GM16" s="176" t="n"/>
      <c r="GN16" s="183" t="n">
        <v>0</v>
      </c>
      <c r="GO16" s="183" t="n">
        <v>0</v>
      </c>
      <c r="GP16" s="183" t="n">
        <v>0</v>
      </c>
      <c r="GQ16" s="183" t="n">
        <v>13</v>
      </c>
      <c r="GR16" s="183" t="n">
        <v>1</v>
      </c>
      <c r="GS16" s="181" t="inlineStr">
        <is>
          <t>POST_FINI</t>
        </is>
      </c>
      <c r="GT16" s="181" t="inlineStr">
        <is>
          <t>POST_2025_REFORM</t>
        </is>
      </c>
    </row>
    <row r="17" ht="68" customFormat="1" customHeight="1" s="12">
      <c r="A17" s="43" t="n">
        <v>85</v>
      </c>
      <c r="B17" s="47" t="inlineStr">
        <is>
          <t>2026.HK</t>
        </is>
      </c>
      <c r="C17" s="44" t="inlineStr">
        <is>
          <t>Pony AI Inc. - W</t>
        </is>
      </c>
      <c r="D17" s="130" t="n">
        <v>45958</v>
      </c>
      <c r="E17" s="48" t="n">
        <v>45967</v>
      </c>
      <c r="F17" s="43" t="inlineStr">
        <is>
          <t>Goldman Sachs (Asia) L.L.C./
Merrill Lynch (Asia Pacific) Limited/
Deutsche Securities Asia Limited/
Huatai Financial Holdings
(Hong Kong) Limited</t>
        </is>
      </c>
      <c r="G17" s="43" t="inlineStr">
        <is>
          <t>Deloitte Touche Tohmatsu</t>
        </is>
      </c>
      <c r="H17" s="43" t="n"/>
      <c r="I17" s="131" t="n">
        <v>583188400</v>
      </c>
      <c r="J17" s="148" t="n">
        <v>6123422600</v>
      </c>
      <c r="K17" s="133" t="n">
        <v>139</v>
      </c>
      <c r="L17" t="n">
        <v>427248253</v>
      </c>
      <c r="M17" s="67" t="n">
        <v>41955700</v>
      </c>
      <c r="N17" t="n">
        <v>385292553</v>
      </c>
      <c r="O17" t="n">
        <v>385292553</v>
      </c>
      <c r="P17" t="n">
        <v>0</v>
      </c>
      <c r="Q17" t="n">
        <v>41955700</v>
      </c>
      <c r="R17" s="67" t="n">
        <v>37760100</v>
      </c>
      <c r="S17" s="67" t="n">
        <v>4195600</v>
      </c>
      <c r="T17" s="147" t="n">
        <v>180</v>
      </c>
      <c r="U17" s="147" t="inlineStr">
        <is>
          <t>NaN</t>
        </is>
      </c>
      <c r="V17" s="169" t="n">
        <v>0</v>
      </c>
      <c r="W17" s="169" t="n">
        <v>0</v>
      </c>
      <c r="X17" s="170" t="inlineStr">
        <is>
          <t>Fixed price</t>
        </is>
      </c>
      <c r="Y17" s="26" t="inlineStr">
        <is>
          <t>USD</t>
        </is>
      </c>
      <c r="Z17" s="137" t="n">
        <v>747117000</v>
      </c>
      <c r="AA17" s="137" t="n">
        <v>1050821000</v>
      </c>
      <c r="AB17" s="137" t="n">
        <v>991046000</v>
      </c>
      <c r="AC17" s="137" t="n">
        <v>695173000</v>
      </c>
      <c r="AD17" s="137" t="n">
        <v>968711000</v>
      </c>
      <c r="AE17" s="137" t="n">
        <v>864265000</v>
      </c>
      <c r="AF17" s="137" t="n">
        <v>51944000</v>
      </c>
      <c r="AG17" s="137" t="n">
        <v>82110000</v>
      </c>
      <c r="AH17" s="137" t="n">
        <v>126781000</v>
      </c>
      <c r="AI17" s="137" t="n">
        <v>71899000</v>
      </c>
      <c r="AJ17" s="137" t="n">
        <v>75025000</v>
      </c>
      <c r="AK17" s="137" t="n">
        <v>70868000</v>
      </c>
      <c r="AL17" s="137" t="n">
        <v>-125454000</v>
      </c>
      <c r="AM17" s="137" t="n">
        <v>-275005000</v>
      </c>
      <c r="AN17" s="137" t="n">
        <v>-181278000</v>
      </c>
      <c r="AO17" s="137" t="n">
        <v>-125328000</v>
      </c>
      <c r="AP17" s="137" t="n">
        <v>-275006000</v>
      </c>
      <c r="AQ17" s="137" t="n">
        <v>-181280000</v>
      </c>
      <c r="AR17" s="142" t="n">
        <v>0.025</v>
      </c>
      <c r="AS17" s="142" t="n">
        <v>0.025</v>
      </c>
      <c r="AT17" s="84" t="n">
        <v>0.15</v>
      </c>
      <c r="AU17" s="51" t="inlineStr">
        <is>
          <t>Autonomous driving technology — Level 4 autonomous driving solutions (robotaxi and robotruck services, licensing and applications)</t>
        </is>
      </c>
      <c r="AV17" s="51" t="inlineStr">
        <is>
          <t>Dual primary listing as an issuer with a WVR structure (Chapter 8A of the Hong Kong Listing Rules)</t>
        </is>
      </c>
      <c r="AW17" s="136" t="n">
        <v>45838</v>
      </c>
      <c r="AX17" s="137" t="n">
        <v>-79570000</v>
      </c>
      <c r="AY17" s="117" t="n">
        <v>318533000</v>
      </c>
      <c r="AZ17" s="117" t="n">
        <v>96516000</v>
      </c>
      <c r="BA17" s="117" t="n">
        <v>0</v>
      </c>
      <c r="BB17" s="138" t="n">
        <v>0.731</v>
      </c>
      <c r="BC17" s="139" t="n">
        <v>0.5</v>
      </c>
      <c r="BD17" s="80" t="n">
        <v>1</v>
      </c>
      <c r="BE17" s="161" t="n">
        <v>1</v>
      </c>
      <c r="BF17" s="161" t="n">
        <v>1</v>
      </c>
      <c r="BG17" s="161" t="n">
        <v>1</v>
      </c>
      <c r="BH17" s="161" t="inlineStr">
        <is>
          <t>NaN</t>
        </is>
      </c>
      <c r="BI17" s="161" t="n">
        <v>1</v>
      </c>
      <c r="BJ17" s="162" t="inlineStr">
        <is>
          <t>Toyota Motor Corporation; HSG Venture VI Holdco, Ltd.; HSG Venture VII Holdco, Ltd.; IDG China Venture Capital Fund IV L.P.; IDG China IV Investors L.P.; IDG China Capital Fund III L.P.; IDG China Capital III Investors L.P.; Morningside China TMT Fund IV, L.P.; Morningside China TMT Fund IV Co-Investment, L.P.; Morningside China TMT Special Opportunity Fund II, L.P.; 2774719 Ontario Limited; ClearVue Pony AI Plus Holdings, Ltd.; China-UAE Investment Cooperation Fund, L.P.; Raumier Limited; NEOM Company; Evodia Investments; Assets Key Limited; Hainan Kaibeixin Investment Partnership, L.P.; Shenzhen Z&amp;Y High-tech Venture Capital Co., LTD</t>
        </is>
      </c>
      <c r="BK17" s="163" t="inlineStr">
        <is>
          <t>NaN</t>
        </is>
      </c>
      <c r="BL17" s="161" t="n">
        <v>1</v>
      </c>
      <c r="BM17" s="164" t="inlineStr">
        <is>
          <t>Series A preferred shares</t>
        </is>
      </c>
      <c r="BN17" s="165" t="inlineStr">
        <is>
          <t>NaN</t>
        </is>
      </c>
      <c r="BO17" s="51" t="inlineStr">
        <is>
          <t>Natural person</t>
        </is>
      </c>
      <c r="BP17" s="135" t="n">
        <v>0.1404</v>
      </c>
      <c r="BQ17" s="135" t="n">
        <v>0.5185999999999999</v>
      </c>
      <c r="BR17" s="137" t="n">
        <v>18098000</v>
      </c>
      <c r="BS17" s="51" t="inlineStr">
        <is>
          <t>Commercialization-ready Level 4 fully driverless solution (early stage of large-scale commercialization)</t>
        </is>
      </c>
      <c r="BT17" s="142" t="n">
        <v>0</v>
      </c>
      <c r="BU17" s="60" t="inlineStr">
        <is>
          <t>Main Board</t>
        </is>
      </c>
      <c r="BV17" s="89" t="inlineStr">
        <is>
          <t>Class A Ordinary Shares; Class B Ordinary Shares</t>
        </is>
      </c>
      <c r="BW17" s="61" t="n">
        <v>0</v>
      </c>
      <c r="BX17" s="77" t="n">
        <v>1</v>
      </c>
      <c r="BY17" s="77" t="n">
        <v>0</v>
      </c>
      <c r="BZ17" s="78" t="n">
        <v>0</v>
      </c>
      <c r="CA17" s="60" t="inlineStr">
        <is>
          <t>702015</t>
        </is>
      </c>
      <c r="CB17" s="76" t="inlineStr">
        <is>
          <t>HSICS (Hang Seng Industry Classification System) 2026</t>
        </is>
      </c>
      <c r="CC17" s="140" t="n">
        <v>42678</v>
      </c>
      <c r="CD17" s="171" t="n">
        <v>9</v>
      </c>
      <c r="CE17" s="76" t="inlineStr">
        <is>
          <t>Cayman Islands</t>
        </is>
      </c>
      <c r="CF17" s="89" t="inlineStr">
        <is>
          <t>Guangzhou, PRC</t>
        </is>
      </c>
      <c r="CG17" s="91" t="n">
        <v>1000</v>
      </c>
      <c r="CH17" s="60" t="inlineStr">
        <is>
          <t>U.S. GAAP</t>
        </is>
      </c>
      <c r="CI17" s="141" t="n">
        <v>44927</v>
      </c>
      <c r="CJ17" s="141" t="n">
        <v>45291</v>
      </c>
      <c r="CK17" s="141" t="n">
        <v>45292</v>
      </c>
      <c r="CL17" s="141" t="n">
        <v>45657</v>
      </c>
      <c r="CM17" s="141" t="n">
        <v>45658</v>
      </c>
      <c r="CN17" s="64" t="n">
        <v>35434000</v>
      </c>
      <c r="CO17" s="64" t="n">
        <v>-90639000</v>
      </c>
      <c r="CP17" s="64" t="n">
        <v>-90640000</v>
      </c>
      <c r="CQ17" s="141" t="n">
        <v>45958</v>
      </c>
      <c r="CR17" s="141" t="n">
        <v>45964</v>
      </c>
      <c r="CS17" s="63" t="n">
        <v>427248253</v>
      </c>
      <c r="CT17" s="64" t="n">
        <v>5779000</v>
      </c>
      <c r="CU17" s="64" t="n">
        <v>14464000</v>
      </c>
      <c r="CV17" s="59" t="inlineStr">
        <is>
          <t>Unqualified opinion</t>
        </is>
      </c>
      <c r="CW17" s="64" t="n">
        <v>358500000</v>
      </c>
      <c r="CX17" s="51" t="inlineStr">
        <is>
          <t>Eastspring Investments (Singapore) Limited; Ghisallo Fund Master Ltd; Athos Capital Limited; Hel Ved Master Fund; Ocean Arete Limited</t>
        </is>
      </c>
      <c r="CY17" s="142" t="n">
        <v>0.139</v>
      </c>
      <c r="CZ17" s="136" t="n">
        <v>46148</v>
      </c>
      <c r="DA17" s="143" t="n">
        <v>15.88</v>
      </c>
      <c r="DB17" s="63" t="n">
        <v>37062</v>
      </c>
      <c r="DC17" s="63" t="n">
        <v>66637000</v>
      </c>
      <c r="DD17" s="59" t="inlineStr">
        <is>
          <t>Subscription level
15.88 times</t>
        </is>
      </c>
      <c r="DE17" s="141" t="n">
        <v>45965</v>
      </c>
      <c r="DF17" s="141" t="n">
        <v>45966</v>
      </c>
      <c r="DG17" s="63" t="n">
        <v>48249000</v>
      </c>
      <c r="DH17" s="63" t="n">
        <v>4195600</v>
      </c>
      <c r="DI17" s="63" t="n">
        <v>44053400</v>
      </c>
      <c r="DJ17" s="63" t="n">
        <v>0</v>
      </c>
      <c r="DK17" s="169" t="n">
        <v>0</v>
      </c>
      <c r="DL17" s="59" t="inlineStr">
        <is>
          <t>Claw-back triggered
N/A</t>
        </is>
      </c>
      <c r="DM17" s="144" t="n">
        <v>6454360000</v>
      </c>
      <c r="DN17" s="142" t="n">
        <v>0.9871</v>
      </c>
      <c r="DO17" s="51" t="n">
        <v>433541553</v>
      </c>
      <c r="DP17" s="142" t="n">
        <v>0.0958</v>
      </c>
      <c r="DQ17" s="59" t="inlineStr">
        <is>
          <t>Free float denominator = total issued shares upon listing (col_CZ); numerator = offer shares minus cornerstone allocation</t>
        </is>
      </c>
      <c r="DR17" s="63" t="n">
        <v>433541553</v>
      </c>
      <c r="DS17" s="142" t="n">
        <v>-0.00192492</v>
      </c>
      <c r="DT17" s="80" t="n">
        <v>22</v>
      </c>
      <c r="DU17" s="142" t="n">
        <v>0.035</v>
      </c>
      <c r="DV17" s="144" t="n">
        <v>54172000000</v>
      </c>
      <c r="DW17" s="145" t="n">
        <v>126.1</v>
      </c>
      <c r="DX17" s="169" t="n">
        <v>-0.092806</v>
      </c>
      <c r="DY17" s="172" t="n">
        <v>-622412100</v>
      </c>
      <c r="DZ17" s="146" t="n">
        <v>124</v>
      </c>
      <c r="EA17" s="146" t="n">
        <v>126.1</v>
      </c>
      <c r="EB17" s="146" t="n">
        <v>118.8</v>
      </c>
      <c r="EC17" s="63" t="n">
        <v>8679020</v>
      </c>
      <c r="ED17" s="169" t="n">
        <v>0.17988</v>
      </c>
      <c r="EE17" s="64" t="n"/>
      <c r="EF17" s="60" t="inlineStr">
        <is>
          <t>NA</t>
        </is>
      </c>
      <c r="EG17" s="59" t="inlineStr">
        <is>
          <t>FINI (from 22/11/2023); 2025-08-04 pricing reform (Mechanism A/B; six-month cornerstone lock-up retained)</t>
        </is>
      </c>
      <c r="EH17" t="inlineStr">
        <is>
          <t>小马智行</t>
        </is>
      </c>
      <c r="EI17" s="174" t="inlineStr">
        <is>
          <t>Active</t>
        </is>
      </c>
      <c r="EJ17" s="175" t="n">
        <v>110.1</v>
      </c>
      <c r="EK17" s="176" t="n">
        <v>-0.126883</v>
      </c>
      <c r="EL17" s="176" t="n">
        <v>-0.207914</v>
      </c>
      <c r="EM17" s="176" t="n">
        <v>-0.027379</v>
      </c>
      <c r="EN17" s="176" t="n">
        <v>-0.068857</v>
      </c>
      <c r="EO17" s="179" t="n">
        <v>0.8977000000000001</v>
      </c>
      <c r="EP17" s="179" t="n">
        <v>0.9377</v>
      </c>
      <c r="EQ17" s="178" t="n">
        <v>141800635</v>
      </c>
      <c r="ER17" s="175" t="n">
        <v>78.65000000000001</v>
      </c>
      <c r="ES17" s="176" t="n">
        <v>-0.376289</v>
      </c>
      <c r="ET17" s="176" t="n">
        <v>-0.434173</v>
      </c>
      <c r="EU17" s="176" t="n">
        <v>-0.010274</v>
      </c>
      <c r="EV17" s="176" t="n">
        <v>-0.164028</v>
      </c>
      <c r="EW17" s="179" t="n">
        <v>0.6302</v>
      </c>
      <c r="EX17" s="179" t="n">
        <v>0.7461</v>
      </c>
      <c r="EY17" s="178" t="n">
        <v>36872915</v>
      </c>
      <c r="EZ17" s="176" t="n">
        <v>0.034889</v>
      </c>
      <c r="FA17" s="176" t="n"/>
      <c r="FB17" s="179" t="n"/>
      <c r="FC17" s="176" t="n"/>
      <c r="FD17" s="179" t="n"/>
      <c r="FE17" s="174" t="inlineStr">
        <is>
          <t>Standard</t>
        </is>
      </c>
      <c r="FF17" s="181" t="n"/>
      <c r="FG17" s="185" t="n"/>
      <c r="FH17" s="183" t="n"/>
      <c r="FI17" s="178" t="n"/>
      <c r="FJ17" s="176" t="n"/>
      <c r="FK17" s="185" t="n"/>
      <c r="FL17" s="178" t="n"/>
      <c r="FM17" s="176" t="n"/>
      <c r="FN17" s="176" t="n"/>
      <c r="FO17" s="176" t="n"/>
      <c r="FP17" s="176" t="n"/>
      <c r="FQ17" s="176" t="n">
        <v>-0.108644</v>
      </c>
      <c r="FR17" s="179" t="n">
        <v>0.8769</v>
      </c>
      <c r="FS17" s="176" t="n">
        <v>-0.126883</v>
      </c>
      <c r="FT17" s="179" t="n">
        <v>0.8977000000000001</v>
      </c>
      <c r="FU17" s="176" t="n">
        <v>-0.177637</v>
      </c>
      <c r="FV17" s="179" t="n">
        <v>0.8201000000000001</v>
      </c>
      <c r="FW17" s="179" t="n">
        <v>0.9144</v>
      </c>
      <c r="FX17" s="178" t="n">
        <v>86103225</v>
      </c>
      <c r="FY17" s="186" t="n">
        <v>0.0006099833333333333</v>
      </c>
      <c r="FZ17" s="183" t="n">
        <v>0</v>
      </c>
      <c r="GA17" s="176" t="n">
        <v>0.04925870769163915</v>
      </c>
      <c r="GB17" s="176" t="n">
        <v>0.511687</v>
      </c>
      <c r="GC17" s="185" t="n"/>
      <c r="GD17" s="185" t="n"/>
      <c r="GE17" s="176" t="n"/>
      <c r="GF17" s="176" t="n"/>
      <c r="GG17" s="179" t="n"/>
      <c r="GH17" s="181" t="inlineStr">
        <is>
          <t>Goldman Sachs (Asia) L.L.C.</t>
        </is>
      </c>
      <c r="GI17" s="183" t="n">
        <v>4</v>
      </c>
      <c r="GJ17" s="183" t="n">
        <v>0</v>
      </c>
      <c r="GK17" s="176" t="n">
        <v>0.025</v>
      </c>
      <c r="GL17" s="176" t="n"/>
      <c r="GM17" s="176" t="n"/>
      <c r="GN17" s="183" t="n">
        <v>5</v>
      </c>
      <c r="GO17" s="183" t="n">
        <v>1</v>
      </c>
      <c r="GP17" s="183" t="n">
        <v>0</v>
      </c>
      <c r="GQ17" s="183" t="n">
        <v>28</v>
      </c>
      <c r="GR17" s="183" t="n">
        <v>1</v>
      </c>
      <c r="GS17" s="181" t="inlineStr">
        <is>
          <t>POST_FINI</t>
        </is>
      </c>
      <c r="GT17" s="181" t="inlineStr">
        <is>
          <t>POST_2025_REFORM</t>
        </is>
      </c>
    </row>
    <row r="18" ht="51" customFormat="1" customHeight="1" s="11">
      <c r="A18" s="43" t="n">
        <v>86</v>
      </c>
      <c r="B18" s="47" t="inlineStr">
        <is>
          <t>2630.HK</t>
        </is>
      </c>
      <c r="C18" s="44" t="inlineStr">
        <is>
          <t>Vigonvita Life Sciences Co., Ltd. - B - H shares</t>
        </is>
      </c>
      <c r="D18" s="130" t="n">
        <v>45958</v>
      </c>
      <c r="E18" s="48" t="n">
        <v>45967</v>
      </c>
      <c r="F18" s="43" t="inlineStr">
        <is>
          <t>CITIC Securities (Hong Kong) Limited</t>
        </is>
      </c>
      <c r="G18" s="43" t="inlineStr">
        <is>
          <t>Deloitte Touche Tohmatsu</t>
        </is>
      </c>
      <c r="H18" s="43" t="inlineStr">
        <is>
          <t>AVISTA Valuation Advisory Limited</t>
        </is>
      </c>
      <c r="I18" s="131" t="n">
        <v>58724525.99999999</v>
      </c>
      <c r="J18" s="148" t="n">
        <v>528514059.9999999</v>
      </c>
      <c r="K18" s="133" t="n">
        <v>33.37</v>
      </c>
      <c r="L18" t="n">
        <v>167597800</v>
      </c>
      <c r="M18" s="67" t="n">
        <v>17597800</v>
      </c>
      <c r="N18" t="n">
        <v>150000000</v>
      </c>
      <c r="O18" t="n">
        <v>150000000</v>
      </c>
      <c r="P18" t="n">
        <v>0</v>
      </c>
      <c r="Q18" t="n">
        <v>17597800</v>
      </c>
      <c r="R18" s="67" t="n">
        <v>15838000</v>
      </c>
      <c r="S18" s="67" t="n">
        <v>1759800</v>
      </c>
      <c r="T18" s="147" t="n">
        <v>34</v>
      </c>
      <c r="U18" s="147" t="n">
        <v>32</v>
      </c>
      <c r="V18" s="169" t="n">
        <v>0.011212</v>
      </c>
      <c r="W18" s="169" t="n">
        <v>0.060606</v>
      </c>
      <c r="X18" s="170" t="inlineStr">
        <is>
          <t>Within range</t>
        </is>
      </c>
      <c r="Y18" s="26" t="inlineStr">
        <is>
          <t>RMB</t>
        </is>
      </c>
      <c r="Z18" s="137" t="n">
        <v>676296000</v>
      </c>
      <c r="AA18" s="137" t="n">
        <v>725956000</v>
      </c>
      <c r="AB18" s="137" t="n">
        <v>727246000</v>
      </c>
      <c r="AC18" s="137" t="n">
        <v>188116000</v>
      </c>
      <c r="AD18" s="137" t="n">
        <v>140371000</v>
      </c>
      <c r="AE18" s="137" t="n">
        <v>86492000</v>
      </c>
      <c r="AF18" s="137" t="n">
        <v>488180000</v>
      </c>
      <c r="AG18" s="137" t="n">
        <v>585585000</v>
      </c>
      <c r="AH18" s="137" t="n">
        <v>640754000</v>
      </c>
      <c r="AI18" s="137" t="n">
        <v>199651000</v>
      </c>
      <c r="AJ18" s="137" t="n">
        <v>11832000</v>
      </c>
      <c r="AK18" s="137" t="n">
        <v>38874000</v>
      </c>
      <c r="AL18" s="137" t="n">
        <v>6427000</v>
      </c>
      <c r="AM18" s="137" t="n">
        <v>-217643000</v>
      </c>
      <c r="AN18" s="137" t="n">
        <v>-337227000</v>
      </c>
      <c r="AO18" s="137" t="n">
        <v>6427000</v>
      </c>
      <c r="AP18" s="137" t="n">
        <v>-217643000</v>
      </c>
      <c r="AQ18" s="137" t="n">
        <v>-337227000</v>
      </c>
      <c r="AR18" s="142" t="n">
        <v>0.032</v>
      </c>
      <c r="AS18" s="142" t="n">
        <v>0.032</v>
      </c>
      <c r="AT18" s="84" t="n">
        <v>0.15</v>
      </c>
      <c r="AU18" s="51" t="inlineStr">
        <is>
          <t>Biopharmaceutical — discovery, development and commercialisation of small molecule drugs (neuropsychiatry, reproductive health and viral infection)</t>
        </is>
      </c>
      <c r="AV18" s="51" t="inlineStr">
        <is>
          <t>Chapter 18A of the Listing Rules (Main Board)</t>
        </is>
      </c>
      <c r="AW18" s="136" t="n">
        <v>45777</v>
      </c>
      <c r="AX18" s="137" t="n">
        <v>-43729000</v>
      </c>
      <c r="AY18" s="117" t="n">
        <v>72833000</v>
      </c>
      <c r="AZ18" s="117" t="n">
        <v>63905000</v>
      </c>
      <c r="BA18" s="117" t="n">
        <v>102000</v>
      </c>
      <c r="BB18" s="138" t="n">
        <v>0.912</v>
      </c>
      <c r="BC18" s="139" t="n">
        <v>0.333333</v>
      </c>
      <c r="BD18" s="80" t="n">
        <v>1</v>
      </c>
      <c r="BE18" s="161" t="n">
        <v>1</v>
      </c>
      <c r="BF18" s="161" t="n">
        <v>1</v>
      </c>
      <c r="BG18" s="161" t="n">
        <v>1</v>
      </c>
      <c r="BH18" s="161" t="n">
        <v>1</v>
      </c>
      <c r="BI18" s="161" t="inlineStr">
        <is>
          <t>NaN</t>
        </is>
      </c>
      <c r="BJ18" s="162" t="inlineStr">
        <is>
          <t>Gongqingcheng Zhongcai Qihu Financial Control Phase II Internet Industry Investment Center (Limited Partnership); Suzhou Xieyao Kexin Venture Capital Partnership Enterprise (Limited Partnership); Suzhou Xieyao Kesheng Entrepreneurship Investment Partnership Enterprise (Limited Partnership); Suzhou Meilingge Business Consulting Partnership Enterprise (Limited Partnership); Ganzhou Yufei Shanshui Equity Investment Partnership Enterprise (Limited Partnership); Jiaxing Yuhan Equity Investment Partnership Enterprise (Limited Partnership); Qingdao Bei’an Industrial Investment Holding Co., Ltd.; Shenzhen Ruikang Yuhong Win Win Investment Partnership (Limited Partnership); Hainan Junshi Phase I Equity Investment Fund Partnership Enterprise (Limited Partnership); Hangzhou Hemeng Medical Intelligence Equity Investment Partnership Enterprise (Limited Partnership); Qingdao Wangde Venture Capital Partnership Enterprise (Limited Partnership); Fuzhou Yide Equity Investment Partnership Enterprise (Limited Partnership); Suzhou Junding Changwang Entrepreneurship Investment Center (Limited Partnership); Suzhou Industrial Investment Innovation and Entrepreneurship Investment Partnership Enterprise (Limited Partnership); Hubei Jiuzhou Ketou Health Venture Capital Fund Partnership (Limited Partnership); Fuzhou Xindui Investment Partnership Enterprise (Limited Partnership); Hubei Chuangxin Tongxiang Enterprise Management Partnership (Limited Partnership)</t>
        </is>
      </c>
      <c r="BK18" s="163" t="n">
        <v>0.2402</v>
      </c>
      <c r="BL18" s="161" t="inlineStr">
        <is>
          <t>NaN</t>
        </is>
      </c>
      <c r="BM18" s="164" t="inlineStr">
        <is>
          <t>Angel Round Financing</t>
        </is>
      </c>
      <c r="BN18" s="165" t="n">
        <v>6.96</v>
      </c>
      <c r="BO18" s="51" t="inlineStr">
        <is>
          <t>Natural persons (founder Dr. Shen and his spouse Ms. Jin Jie)</t>
        </is>
      </c>
      <c r="BP18" s="135" t="n">
        <v>0.5056</v>
      </c>
      <c r="BQ18" s="135" t="n">
        <v>0.5056</v>
      </c>
      <c r="BR18" s="137" t="n">
        <v>507823000</v>
      </c>
      <c r="BS18" s="51" t="inlineStr">
        <is>
          <t>Two in commercial stage, four in clinical stage and three in preclinical stage (nine innovative assets in total)</t>
        </is>
      </c>
      <c r="BT18" s="142" t="n">
        <v>0</v>
      </c>
      <c r="BU18" s="60" t="inlineStr">
        <is>
          <t>Main Board</t>
        </is>
      </c>
      <c r="BV18" s="89" t="inlineStr">
        <is>
          <t>H Shares</t>
        </is>
      </c>
      <c r="BW18" s="61" t="n">
        <v>0</v>
      </c>
      <c r="BX18" s="77" t="n">
        <v>0</v>
      </c>
      <c r="BY18" s="77" t="n">
        <v>1</v>
      </c>
      <c r="BZ18" s="78" t="n">
        <v>0</v>
      </c>
      <c r="CA18" s="60" t="inlineStr">
        <is>
          <t>281020</t>
        </is>
      </c>
      <c r="CB18" s="76" t="inlineStr">
        <is>
          <t>HSICS (Hang Seng Industry Classification System) 2026</t>
        </is>
      </c>
      <c r="CC18" s="140" t="n">
        <v>41295</v>
      </c>
      <c r="CD18" s="171" t="n">
        <v>12.79</v>
      </c>
      <c r="CE18" s="76" t="inlineStr">
        <is>
          <t>PRC</t>
        </is>
      </c>
      <c r="CF18" s="89" t="inlineStr">
        <is>
          <t>Suzhou, PRC</t>
        </is>
      </c>
      <c r="CG18" s="91" t="n"/>
      <c r="CH18" s="60" t="inlineStr">
        <is>
          <t>IFRS Accounting Standards</t>
        </is>
      </c>
      <c r="CI18" s="141" t="n">
        <v>44927</v>
      </c>
      <c r="CJ18" s="141" t="n">
        <v>45291</v>
      </c>
      <c r="CK18" s="141" t="n">
        <v>45292</v>
      </c>
      <c r="CL18" s="141" t="n">
        <v>45657</v>
      </c>
      <c r="CM18" s="141" t="n">
        <v>45658</v>
      </c>
      <c r="CN18" s="64" t="n">
        <v>12958000</v>
      </c>
      <c r="CO18" s="64" t="n">
        <v>-112409000</v>
      </c>
      <c r="CP18" s="64" t="n">
        <v>-112409000</v>
      </c>
      <c r="CQ18" s="141" t="n">
        <v>45958</v>
      </c>
      <c r="CR18" s="141" t="n">
        <v>45964</v>
      </c>
      <c r="CS18" s="63" t="n">
        <v>66677133</v>
      </c>
      <c r="CT18" s="64" t="n">
        <v>9870000</v>
      </c>
      <c r="CU18" s="64" t="n">
        <v>76000000</v>
      </c>
      <c r="CV18" s="59" t="inlineStr">
        <is>
          <t>Unqualified opinion</t>
        </is>
      </c>
      <c r="CW18" s="64" t="n">
        <v>59600000</v>
      </c>
      <c r="CX18" s="51" t="inlineStr">
        <is>
          <t>NA</t>
        </is>
      </c>
      <c r="CY18" s="142" t="n">
        <v>0</v>
      </c>
      <c r="CZ18" s="136" t="inlineStr">
        <is>
          <t>NA</t>
        </is>
      </c>
      <c r="DA18" s="143" t="n">
        <v>6238.42</v>
      </c>
      <c r="DB18" s="63" t="n">
        <v>265188</v>
      </c>
      <c r="DC18" s="63" t="n">
        <v>10978367400</v>
      </c>
      <c r="DD18" s="59" t="inlineStr">
        <is>
          <t>Subscription level 6,238.42 times (Hong Kong Public Offering; claw-back triggered: No)</t>
        </is>
      </c>
      <c r="DE18" s="141" t="n">
        <v>45965</v>
      </c>
      <c r="DF18" s="141" t="n">
        <v>45966</v>
      </c>
      <c r="DG18" s="63" t="n">
        <v>17597800</v>
      </c>
      <c r="DH18" s="63" t="n">
        <v>1759800</v>
      </c>
      <c r="DI18" s="63" t="n">
        <v>15838000</v>
      </c>
      <c r="DJ18" s="63" t="n">
        <v>0</v>
      </c>
      <c r="DK18" s="169" t="n">
        <v>0</v>
      </c>
      <c r="DL18" s="59" t="inlineStr">
        <is>
          <t>Claw-back triggered: No; final Hong Kong Public Offering 1,759,800 and International Offering 15,838,000, i.e. no reallocation from the International Offering</t>
        </is>
      </c>
      <c r="DM18" s="144" t="n">
        <v>527360000</v>
      </c>
      <c r="DN18" s="142" t="n">
        <v>0.3052</v>
      </c>
      <c r="DO18" s="51" t="n">
        <v>167597800</v>
      </c>
      <c r="DP18" s="142" t="n">
        <v>0.105</v>
      </c>
      <c r="DQ18" s="59" t="inlineStr">
        <is>
          <t>Free float denominator = total issued shares upon listing (col_CZ = 167,597,800)</t>
        </is>
      </c>
      <c r="DR18" s="63" t="n">
        <v>167597800</v>
      </c>
      <c r="DS18" s="142" t="n">
        <v>-0.00192492</v>
      </c>
      <c r="DT18" s="80" t="n">
        <v>22</v>
      </c>
      <c r="DU18" s="142" t="n">
        <v>0.035</v>
      </c>
      <c r="DV18" s="144" t="n">
        <v>54172000000</v>
      </c>
      <c r="DW18" s="145" t="n">
        <v>82</v>
      </c>
      <c r="DX18" s="169" t="n">
        <v>1.457297</v>
      </c>
      <c r="DY18" s="172" t="n">
        <v>855781014</v>
      </c>
      <c r="DZ18" s="146" t="n">
        <v>95</v>
      </c>
      <c r="EA18" s="146" t="n">
        <v>97</v>
      </c>
      <c r="EB18" s="146" t="n">
        <v>81.75</v>
      </c>
      <c r="EC18" s="63" t="n">
        <v>5534414</v>
      </c>
      <c r="ED18" s="169" t="n">
        <v>0.314495</v>
      </c>
      <c r="EE18" s="64" t="n"/>
      <c r="EF18" s="60" t="inlineStr">
        <is>
          <t>Mechanism B</t>
        </is>
      </c>
      <c r="EG18" s="59" t="inlineStr">
        <is>
          <t>FINI (from 22/11/2023); 2025-08-04 pricing reform (Mechanism A/B; six-month cornerstone lock-up retained); this IPO: Mechanism B</t>
        </is>
      </c>
      <c r="EH18" t="inlineStr">
        <is>
          <t>苏州旺山旺水生物医药股份有限公司</t>
        </is>
      </c>
      <c r="EI18" s="174" t="inlineStr">
        <is>
          <t>Active</t>
        </is>
      </c>
      <c r="EJ18" s="175" t="n">
        <v>76</v>
      </c>
      <c r="EK18" s="176" t="n">
        <v>-0.073171</v>
      </c>
      <c r="EL18" s="176" t="n">
        <v>1.277495</v>
      </c>
      <c r="EM18" s="176" t="n">
        <v>-0.027379</v>
      </c>
      <c r="EN18" s="176" t="n">
        <v>-0.068857</v>
      </c>
      <c r="EO18" s="179" t="n">
        <v>0.9529</v>
      </c>
      <c r="EP18" s="179" t="n">
        <v>0.9954</v>
      </c>
      <c r="EQ18" s="178" t="n">
        <v>40243390</v>
      </c>
      <c r="ER18" s="175" t="n">
        <v>76</v>
      </c>
      <c r="ES18" s="176" t="n">
        <v>-0.073171</v>
      </c>
      <c r="ET18" s="176" t="n">
        <v>1.277495</v>
      </c>
      <c r="EU18" s="176" t="n">
        <v>-0.010274</v>
      </c>
      <c r="EV18" s="176" t="n">
        <v>-0.164028</v>
      </c>
      <c r="EW18" s="179" t="n">
        <v>0.9365</v>
      </c>
      <c r="EX18" s="179" t="n">
        <v>1.1087</v>
      </c>
      <c r="EY18" s="178" t="n">
        <v>3889025</v>
      </c>
      <c r="EZ18" s="176" t="n">
        <v>0.007998999999999999</v>
      </c>
      <c r="FA18" s="176" t="n"/>
      <c r="FB18" s="179" t="n"/>
      <c r="FC18" s="176" t="n"/>
      <c r="FD18" s="179" t="n"/>
      <c r="FE18" s="174" t="inlineStr">
        <is>
          <t>18A (Biotech / B-tag)</t>
        </is>
      </c>
      <c r="FF18" s="181" t="n"/>
      <c r="FG18" s="185" t="n"/>
      <c r="FH18" s="183" t="n"/>
      <c r="FI18" s="178" t="n"/>
      <c r="FJ18" s="176" t="n"/>
      <c r="FK18" s="185" t="n"/>
      <c r="FL18" s="178" t="n"/>
      <c r="FM18" s="176" t="n"/>
      <c r="FN18" s="176" t="n"/>
      <c r="FO18" s="176" t="n"/>
      <c r="FP18" s="176" t="n"/>
      <c r="FQ18" s="176" t="n">
        <v>-0.355488</v>
      </c>
      <c r="FR18" s="179" t="n">
        <v>0.6341</v>
      </c>
      <c r="FS18" s="176" t="n">
        <v>-0.073171</v>
      </c>
      <c r="FT18" s="179" t="n">
        <v>0.9529</v>
      </c>
      <c r="FU18" s="176" t="n">
        <v>0.286585</v>
      </c>
      <c r="FV18" s="179" t="n">
        <v>1.283</v>
      </c>
      <c r="FW18" s="179" t="n">
        <v>1.4305</v>
      </c>
      <c r="FX18" s="178" t="n">
        <v>21559403.12</v>
      </c>
      <c r="FY18" s="186" t="n">
        <v>0.004251458333333334</v>
      </c>
      <c r="FZ18" s="183" t="n">
        <v>0</v>
      </c>
      <c r="GA18" s="176" t="n">
        <v>0.1444530651431415</v>
      </c>
      <c r="GB18" s="176" t="n">
        <v>0.467754</v>
      </c>
      <c r="GC18" s="185" t="n"/>
      <c r="GD18" s="185" t="n"/>
      <c r="GE18" s="176" t="n"/>
      <c r="GF18" s="176" t="n"/>
      <c r="GG18" s="179" t="n"/>
      <c r="GH18" s="181" t="inlineStr">
        <is>
          <t>CITIC Securities (Hong Kong) Limited</t>
        </is>
      </c>
      <c r="GI18" s="183" t="n">
        <v>1</v>
      </c>
      <c r="GJ18" s="183" t="n">
        <v>0</v>
      </c>
      <c r="GK18" s="176" t="n">
        <v>0.032</v>
      </c>
      <c r="GL18" s="176" t="n"/>
      <c r="GM18" s="176" t="n"/>
      <c r="GN18" s="183" t="n">
        <v>0</v>
      </c>
      <c r="GO18" s="183" t="n">
        <v>0</v>
      </c>
      <c r="GP18" s="183" t="n">
        <v>0</v>
      </c>
      <c r="GQ18" s="183" t="n">
        <v>18</v>
      </c>
      <c r="GR18" s="183" t="n">
        <v>1</v>
      </c>
      <c r="GS18" s="181" t="inlineStr">
        <is>
          <t>POST_FINI</t>
        </is>
      </c>
      <c r="GT18" s="181" t="inlineStr">
        <is>
          <t>POST_2025_REFORM</t>
        </is>
      </c>
    </row>
    <row r="19" ht="85" customFormat="1" customHeight="1" s="11">
      <c r="A19" s="43" t="n">
        <v>88</v>
      </c>
      <c r="B19" s="47" t="inlineStr">
        <is>
          <t>2698.HK</t>
        </is>
      </c>
      <c r="C19" s="44" t="inlineStr">
        <is>
          <t>Softcare Limited</t>
        </is>
      </c>
      <c r="D19" s="130" t="n">
        <v>45961</v>
      </c>
      <c r="E19" s="48" t="n">
        <v>45971</v>
      </c>
      <c r="F19" s="43" t="inlineStr">
        <is>
          <t>China International Capital Corporation
Hong Kong Securities Limited/
CITIC Securities (Hong Kong) Limited/
GF Capital (Hong Kong) Limited</t>
        </is>
      </c>
      <c r="G19" s="43" t="inlineStr">
        <is>
          <t>Deloitte Touche Tohmatsu</t>
        </is>
      </c>
      <c r="H19" s="43" t="n"/>
      <c r="I19" s="131" t="n">
        <v>238116080</v>
      </c>
      <c r="J19" s="148" t="n">
        <v>2500218840</v>
      </c>
      <c r="K19" s="133" t="n">
        <v>26.2</v>
      </c>
      <c r="L19" t="n">
        <v>605884000</v>
      </c>
      <c r="M19" s="67" t="n">
        <v>90884000</v>
      </c>
      <c r="N19" t="n">
        <v>515000000</v>
      </c>
      <c r="O19" t="n">
        <v>515000000</v>
      </c>
      <c r="P19" t="n">
        <v>0</v>
      </c>
      <c r="Q19" t="n">
        <v>90884000</v>
      </c>
      <c r="R19" s="67" t="n">
        <v>81795600</v>
      </c>
      <c r="S19" s="67" t="n">
        <v>9088400</v>
      </c>
      <c r="T19" s="147" t="n">
        <v>26.2</v>
      </c>
      <c r="U19" s="147" t="n">
        <v>24.2</v>
      </c>
      <c r="V19" s="169" t="n">
        <v>0.039683</v>
      </c>
      <c r="W19" s="169" t="n">
        <v>0.079365</v>
      </c>
      <c r="X19" s="170" t="inlineStr">
        <is>
          <t>At high</t>
        </is>
      </c>
      <c r="Y19" s="26" t="inlineStr">
        <is>
          <t>US$</t>
        </is>
      </c>
      <c r="Z19" s="137" t="n">
        <v>244687000</v>
      </c>
      <c r="AA19" s="137" t="n">
        <v>254066000</v>
      </c>
      <c r="AB19" s="137" t="n">
        <v>317133000</v>
      </c>
      <c r="AC19" s="137" t="n">
        <v>85398000</v>
      </c>
      <c r="AD19" s="137" t="n">
        <v>139886000</v>
      </c>
      <c r="AE19" s="137" t="n">
        <v>170865000</v>
      </c>
      <c r="AF19" s="137" t="n">
        <v>159289000</v>
      </c>
      <c r="AG19" s="137" t="n">
        <v>114180000</v>
      </c>
      <c r="AH19" s="137" t="n">
        <v>146268000</v>
      </c>
      <c r="AI19" s="137" t="n">
        <v>411369000</v>
      </c>
      <c r="AJ19" s="137" t="n">
        <v>454389000</v>
      </c>
      <c r="AK19" s="137" t="n">
        <v>483930000</v>
      </c>
      <c r="AL19" s="137" t="n">
        <v>76488000</v>
      </c>
      <c r="AM19" s="137" t="n">
        <v>113081000</v>
      </c>
      <c r="AN19" s="137" t="n">
        <v>110841000</v>
      </c>
      <c r="AO19" s="137" t="n">
        <v>64680000</v>
      </c>
      <c r="AP19" s="137" t="n">
        <v>95111000</v>
      </c>
      <c r="AQ19" s="137" t="n">
        <v>93309000</v>
      </c>
      <c r="AR19" s="142" t="n">
        <v>0.025</v>
      </c>
      <c r="AS19" s="142" t="n">
        <v>0.025</v>
      </c>
      <c r="AT19" s="84" t="n">
        <v>0.15</v>
      </c>
      <c r="AU19" s="51" t="inlineStr">
        <is>
          <t>Multinational hygiene product corporation engaged in the development, manufacturing and sales of baby and feminine hygiene products (baby diapers, baby pants, sanitary pads and wet wipes) focusing on Emerging Markets in Africa, Latin America and Central Asia</t>
        </is>
      </c>
      <c r="AV19" s="51" t="inlineStr">
        <is>
          <t>Main Board (Listing Rules Chapter 8)</t>
        </is>
      </c>
      <c r="AW19" s="136" t="n">
        <v>45777</v>
      </c>
      <c r="AX19" s="137" t="n">
        <v>32332000</v>
      </c>
      <c r="AY19" s="117" t="n">
        <v>84526000</v>
      </c>
      <c r="AZ19" s="117" t="n">
        <v>257000</v>
      </c>
      <c r="BA19" s="117" t="inlineStr">
        <is>
          <t>NaN</t>
        </is>
      </c>
      <c r="BB19" s="138" t="n">
        <v>0.063</v>
      </c>
      <c r="BC19" s="139" t="n">
        <v>0.333333</v>
      </c>
      <c r="BD19" s="80" t="n">
        <v>1</v>
      </c>
      <c r="BE19" s="161" t="inlineStr">
        <is>
          <t>NaN</t>
        </is>
      </c>
      <c r="BF19" s="161" t="inlineStr">
        <is>
          <t>NaN</t>
        </is>
      </c>
      <c r="BG19" s="161" t="inlineStr">
        <is>
          <t>NaN</t>
        </is>
      </c>
      <c r="BH19" s="161" t="n">
        <v>1</v>
      </c>
      <c r="BI19" s="161" t="inlineStr">
        <is>
          <t>NaN</t>
        </is>
      </c>
      <c r="BJ19" s="162" t="inlineStr">
        <is>
          <t>International Finance Corporation</t>
        </is>
      </c>
      <c r="BK19" s="163" t="n">
        <v>0.0291</v>
      </c>
      <c r="BL19" s="161" t="inlineStr">
        <is>
          <t>NaN</t>
        </is>
      </c>
      <c r="BM19" s="164" t="inlineStr">
        <is>
          <t>Pre-IPO Investment (subscription agreement dated February 18, 2025)</t>
        </is>
      </c>
      <c r="BN19" s="165" t="n">
        <v>0.7</v>
      </c>
      <c r="BO19" s="51" t="inlineStr">
        <is>
          <t>Natural person</t>
        </is>
      </c>
      <c r="BP19" s="135" t="n">
        <v>0.5475</v>
      </c>
      <c r="BQ19" s="135" t="n">
        <v>0.5475</v>
      </c>
      <c r="BR19" s="137" t="n">
        <v>33133000</v>
      </c>
      <c r="BS19" s="51" t="inlineStr">
        <is>
          <t>NA</t>
        </is>
      </c>
      <c r="BT19" s="142" t="n">
        <v>0</v>
      </c>
      <c r="BU19" s="60" t="inlineStr">
        <is>
          <t>Main Board</t>
        </is>
      </c>
      <c r="BV19" s="89" t="inlineStr">
        <is>
          <t>Ordinary Shares of US$0.0001 each</t>
        </is>
      </c>
      <c r="BW19" s="61" t="n">
        <v>0</v>
      </c>
      <c r="BX19" s="77" t="n">
        <v>0</v>
      </c>
      <c r="BY19" s="77" t="n">
        <v>0</v>
      </c>
      <c r="BZ19" s="78" t="n">
        <v>0</v>
      </c>
      <c r="CA19" s="60" t="inlineStr">
        <is>
          <t>253020</t>
        </is>
      </c>
      <c r="CB19" s="76" t="inlineStr">
        <is>
          <t>HSICS (Hang Seng Industry Classification System) 2026</t>
        </is>
      </c>
      <c r="CC19" s="140" t="n">
        <v>44609</v>
      </c>
      <c r="CD19" s="171" t="n">
        <v>3.73</v>
      </c>
      <c r="CE19" s="76" t="inlineStr">
        <is>
          <t>Cayman Islands</t>
        </is>
      </c>
      <c r="CF19" s="89" t="inlineStr">
        <is>
          <t>Hong Kong</t>
        </is>
      </c>
      <c r="CG19" s="91" t="n">
        <v>1000</v>
      </c>
      <c r="CH19" s="60" t="inlineStr">
        <is>
          <t>IFRS Accounting Standards</t>
        </is>
      </c>
      <c r="CI19" s="141" t="n">
        <v>44927</v>
      </c>
      <c r="CJ19" s="141" t="n">
        <v>45291</v>
      </c>
      <c r="CK19" s="141" t="n">
        <v>45292</v>
      </c>
      <c r="CL19" s="141" t="n">
        <v>45657</v>
      </c>
      <c r="CM19" s="141" t="n">
        <v>45658</v>
      </c>
      <c r="CN19" s="64" t="n">
        <v>161310000</v>
      </c>
      <c r="CO19" s="64" t="n">
        <v>36947000</v>
      </c>
      <c r="CP19" s="64" t="n">
        <v>31103000</v>
      </c>
      <c r="CQ19" s="141" t="n">
        <v>45961</v>
      </c>
      <c r="CR19" s="141" t="n">
        <v>45966</v>
      </c>
      <c r="CS19" s="63" t="n">
        <v>605884000</v>
      </c>
      <c r="CT19" s="64" t="n">
        <v>54209000</v>
      </c>
      <c r="CU19" s="64" t="n">
        <v>7980000</v>
      </c>
      <c r="CV19" s="59" t="inlineStr">
        <is>
          <t>Unqualified opinion</t>
        </is>
      </c>
      <c r="CW19" s="64" t="n">
        <v>149300000</v>
      </c>
      <c r="CX19" s="51" t="inlineStr">
        <is>
          <t>BA Sprout Limited; BA HM Limited; Arc Avenue Asset Management Pte. Ltd.; Arcane Nexus Limited; Beijing Shunao Business Information Consulting Partnership (Limited Partnership); CDH Emerging Markets Fund II, L.P.; HCEP Master Fund and HCEP Long Only Master Fund; NewTrails Capital L.P.; NEWTRAILS FOREST L.P.; China Southern Asset Management Co., Ltd.; Fullgoal Fund Management Co., Ltd.; Fullgoal Asset Management (HK) Limited; E Fund Management Co., Ltd.; E Fund Management (Hong Kong) Co., Ltd.; Charisma Mega Limited; TruMed Healthcare Master Fund; TruMed Health Innovation Fund LP; Qihui Runjin (Qingdao) Private Equity Investment Fund Partnership (Limited Partnership); China Asset Management (Hong Kong) Limited; Jane Street Asia Trading Limited</t>
        </is>
      </c>
      <c r="CY19" s="142" t="n">
        <v>0.4534</v>
      </c>
      <c r="CZ19" s="136" t="n">
        <v>46152</v>
      </c>
      <c r="DA19" s="143" t="n">
        <v>1813.77</v>
      </c>
      <c r="DB19" s="63" t="n">
        <v>294053</v>
      </c>
      <c r="DC19" s="63" t="n">
        <v>16483610576</v>
      </c>
      <c r="DD19" s="59" t="inlineStr">
        <is>
          <t>Subscription level 1,813.77 times (Hong Kong Public Offering)</t>
        </is>
      </c>
      <c r="DE19" s="141" t="n">
        <v>45967</v>
      </c>
      <c r="DF19" s="141" t="n">
        <v>45968</v>
      </c>
      <c r="DG19" s="63" t="n">
        <v>90884000</v>
      </c>
      <c r="DH19" s="63" t="n">
        <v>9088400</v>
      </c>
      <c r="DI19" s="63" t="n">
        <v>81795600</v>
      </c>
      <c r="DJ19" s="63" t="n">
        <v>13632600</v>
      </c>
      <c r="DK19" s="169" t="n">
        <v>1</v>
      </c>
      <c r="DL19" s="59" t="inlineStr">
        <is>
          <t>No reallocation: no. of Offer Shares reallocated from the International Offering = 0; final no. of Offer Shares under the Hong Kong Public Offering = 9,088,400 (10% of the Global Offering)</t>
        </is>
      </c>
      <c r="DM19" s="144" t="n">
        <v>2228720000</v>
      </c>
      <c r="DN19" s="142" t="n">
        <v>0.3628</v>
      </c>
      <c r="DO19" s="51" t="n">
        <v>605884000</v>
      </c>
      <c r="DP19" s="142" t="n">
        <v>0.082</v>
      </c>
      <c r="DQ19" s="59" t="inlineStr">
        <is>
          <t>Total issued Shares upon Listing (before exercise of the Over-allotment Option) = 605,884,000; numerator = Global Offering Shares (90,884,000) less Cornerstone Investor allocation (41,207,400)</t>
        </is>
      </c>
      <c r="DR19" s="63" t="n">
        <v>605884000</v>
      </c>
      <c r="DS19" s="142" t="n">
        <v>-0.01277814</v>
      </c>
      <c r="DT19" s="80" t="n">
        <v>26</v>
      </c>
      <c r="DU19" s="142" t="n">
        <v>0.0341536</v>
      </c>
      <c r="DV19" s="144" t="n">
        <v>54683000000</v>
      </c>
      <c r="DW19" s="145" t="n">
        <v>33</v>
      </c>
      <c r="DX19" s="169" t="n">
        <v>0.259542</v>
      </c>
      <c r="DY19" s="172" t="n">
        <v>618011200</v>
      </c>
      <c r="DZ19" s="146" t="n">
        <v>34.98</v>
      </c>
      <c r="EA19" s="146" t="n">
        <v>36.8</v>
      </c>
      <c r="EB19" s="146" t="n">
        <v>33</v>
      </c>
      <c r="EC19" s="63" t="n">
        <v>42610340</v>
      </c>
      <c r="ED19" s="169" t="n">
        <v>0.468843</v>
      </c>
      <c r="EE19" s="64" t="n"/>
      <c r="EF19" s="60" t="inlineStr">
        <is>
          <t>Mechanism B</t>
        </is>
      </c>
      <c r="EG19" s="59" t="inlineStr">
        <is>
          <t>FINI (from 22/11/2023); 2025-08-04 pricing reform (Mechanism A/B; six-month cornerstone lock-up retained); this IPO: Mechanism B</t>
        </is>
      </c>
      <c r="EH19" t="inlineStr">
        <is>
          <t>乐舒适有限公司</t>
        </is>
      </c>
      <c r="EI19" s="174" t="inlineStr">
        <is>
          <t>Active</t>
        </is>
      </c>
      <c r="EJ19" s="175" t="n">
        <v>28.637</v>
      </c>
      <c r="EK19" s="176" t="n">
        <v>-0.095969</v>
      </c>
      <c r="EL19" s="176" t="n">
        <v>0.138665</v>
      </c>
      <c r="EM19" s="176" t="n">
        <v>-0.021163</v>
      </c>
      <c r="EN19" s="176" t="n">
        <v>-0.042785</v>
      </c>
      <c r="EO19" s="179" t="n">
        <v>0.9236</v>
      </c>
      <c r="EP19" s="179" t="n">
        <v>0.9444</v>
      </c>
      <c r="EQ19" s="178" t="n">
        <v>112620944</v>
      </c>
      <c r="ER19" s="175" t="n">
        <v>25.877</v>
      </c>
      <c r="ES19" s="176" t="n">
        <v>-0.183098</v>
      </c>
      <c r="ET19" s="176" t="n">
        <v>0.028922</v>
      </c>
      <c r="EU19" s="176" t="n">
        <v>-0.009089</v>
      </c>
      <c r="EV19" s="176" t="n">
        <v>-0.136785</v>
      </c>
      <c r="EW19" s="179" t="n">
        <v>0.8244</v>
      </c>
      <c r="EX19" s="179" t="n">
        <v>0.9463</v>
      </c>
      <c r="EY19" s="178" t="n">
        <v>30832763</v>
      </c>
      <c r="EZ19" s="176" t="n">
        <v>0.020734</v>
      </c>
      <c r="FA19" s="176" t="n"/>
      <c r="FB19" s="179" t="n"/>
      <c r="FC19" s="176" t="n"/>
      <c r="FD19" s="179" t="n"/>
      <c r="FE19" s="174" t="inlineStr">
        <is>
          <t>Standard</t>
        </is>
      </c>
      <c r="FF19" s="181" t="n"/>
      <c r="FG19" s="185" t="n"/>
      <c r="FH19" s="183" t="n"/>
      <c r="FI19" s="178" t="n"/>
      <c r="FJ19" s="176" t="n"/>
      <c r="FK19" s="185" t="n"/>
      <c r="FL19" s="178" t="n"/>
      <c r="FM19" s="176" t="n"/>
      <c r="FN19" s="176" t="n"/>
      <c r="FO19" s="176" t="n"/>
      <c r="FP19" s="176" t="n"/>
      <c r="FQ19" s="176" t="n">
        <v>-0.06755700000000001</v>
      </c>
      <c r="FR19" s="179" t="n">
        <v>0.9351</v>
      </c>
      <c r="FS19" s="176" t="n">
        <v>-0.095969</v>
      </c>
      <c r="FT19" s="179" t="n">
        <v>0.9236</v>
      </c>
      <c r="FU19" s="176" t="n">
        <v>-0.073239</v>
      </c>
      <c r="FV19" s="179" t="n">
        <v>0.9086</v>
      </c>
      <c r="FW19" s="179" t="n">
        <v>1.0057</v>
      </c>
      <c r="FX19" s="178" t="n">
        <v>50173352.97</v>
      </c>
      <c r="FY19" s="186" t="n">
        <v>0.0009341157024793389</v>
      </c>
      <c r="FZ19" s="183" t="n">
        <v>0</v>
      </c>
      <c r="GA19" s="176" t="n">
        <v>0.03659655299445797</v>
      </c>
      <c r="GB19" s="176" t="n">
        <v>0.277363</v>
      </c>
      <c r="GC19" s="185" t="n"/>
      <c r="GD19" s="185" t="n"/>
      <c r="GE19" s="176" t="n"/>
      <c r="GF19" s="176" t="n"/>
      <c r="GG19" s="179" t="n"/>
      <c r="GH19" s="181" t="inlineStr">
        <is>
          <t>China International Capital Corporation Hong Kong Securities Limited</t>
        </is>
      </c>
      <c r="GI19" s="183" t="n">
        <v>3</v>
      </c>
      <c r="GJ19" s="183" t="n">
        <v>0</v>
      </c>
      <c r="GK19" s="176" t="n">
        <v>0.025</v>
      </c>
      <c r="GL19" s="176" t="n"/>
      <c r="GM19" s="176" t="n"/>
      <c r="GN19" s="183" t="n">
        <v>25</v>
      </c>
      <c r="GO19" s="183" t="n">
        <v>1</v>
      </c>
      <c r="GP19" s="183" t="n">
        <v>0</v>
      </c>
      <c r="GQ19" s="183" t="n">
        <v>1</v>
      </c>
      <c r="GR19" s="183" t="n">
        <v>1</v>
      </c>
      <c r="GS19" s="181" t="inlineStr">
        <is>
          <t>POST_FINI</t>
        </is>
      </c>
      <c r="GT19" s="181" t="inlineStr">
        <is>
          <t>POST_2025_REFORM</t>
        </is>
      </c>
    </row>
    <row r="20" ht="102" customFormat="1" customHeight="1" s="11">
      <c r="A20" s="43" t="n">
        <v>89</v>
      </c>
      <c r="B20" s="47" t="inlineStr">
        <is>
          <t>2579.HK</t>
        </is>
      </c>
      <c r="C20" s="44" t="inlineStr">
        <is>
          <t>CNGR Advanced Material Co., Ltd. - H shares</t>
        </is>
      </c>
      <c r="D20" s="130" t="n">
        <v>45968</v>
      </c>
      <c r="E20" s="48" t="n">
        <v>45978</v>
      </c>
      <c r="F20" s="43" t="inlineStr">
        <is>
          <t>Morgan Stanley Asia Limited/
Huatai Financial Holdings 
(Hong Kong) Limited</t>
        </is>
      </c>
      <c r="G20" s="43" t="inlineStr">
        <is>
          <t>Ernst &amp; Young</t>
        </is>
      </c>
      <c r="H20" s="43" t="n"/>
      <c r="I20" s="131" t="n">
        <v>354368400</v>
      </c>
      <c r="J20" s="148" t="n">
        <v>3189295200</v>
      </c>
      <c r="K20" s="133" t="n">
        <v>34</v>
      </c>
      <c r="L20" t="n">
        <v>1042253858</v>
      </c>
      <c r="M20" s="67" t="n">
        <v>104225400</v>
      </c>
      <c r="N20" t="n">
        <v>938028458</v>
      </c>
      <c r="O20" t="n">
        <v>938028458</v>
      </c>
      <c r="P20" t="n">
        <v>0</v>
      </c>
      <c r="Q20" t="n">
        <v>104225400</v>
      </c>
      <c r="R20" s="67" t="n">
        <v>93802800</v>
      </c>
      <c r="S20" s="67" t="n">
        <v>10422600</v>
      </c>
      <c r="T20" s="147" t="n">
        <v>37.8</v>
      </c>
      <c r="U20" s="147" t="n">
        <v>34</v>
      </c>
      <c r="V20" s="169" t="n">
        <v>-0.052925</v>
      </c>
      <c r="W20" s="169" t="n">
        <v>0.10585</v>
      </c>
      <c r="X20" s="170" t="inlineStr">
        <is>
          <t>At low</t>
        </is>
      </c>
      <c r="Y20" s="26" t="inlineStr">
        <is>
          <t>RMB</t>
        </is>
      </c>
      <c r="Z20" s="137" t="n">
        <v>62010966000</v>
      </c>
      <c r="AA20" s="137" t="n">
        <v>72895179000</v>
      </c>
      <c r="AB20" s="137" t="n">
        <v>74694105000</v>
      </c>
      <c r="AC20" s="137" t="n">
        <v>27923693000</v>
      </c>
      <c r="AD20" s="137" t="n">
        <v>29488567000</v>
      </c>
      <c r="AE20" s="137" t="n">
        <v>29429595000</v>
      </c>
      <c r="AF20" s="137" t="n">
        <v>34087273000</v>
      </c>
      <c r="AG20" s="137" t="n">
        <v>43406612000</v>
      </c>
      <c r="AH20" s="137" t="n">
        <v>45264510000</v>
      </c>
      <c r="AI20" s="137" t="n">
        <v>34273223000</v>
      </c>
      <c r="AJ20" s="137" t="n">
        <v>40222890000</v>
      </c>
      <c r="AK20" s="137" t="n">
        <v>42645094000</v>
      </c>
      <c r="AL20" s="137" t="n">
        <v>2380899000</v>
      </c>
      <c r="AM20" s="137" t="n">
        <v>2022544000</v>
      </c>
      <c r="AN20" s="137" t="n">
        <v>1654106000</v>
      </c>
      <c r="AO20" s="137" t="n">
        <v>2100489000</v>
      </c>
      <c r="AP20" s="137" t="n">
        <v>1787755000</v>
      </c>
      <c r="AQ20" s="137" t="n">
        <v>1411300000</v>
      </c>
      <c r="AR20" s="142" t="n">
        <v>0.014</v>
      </c>
      <c r="AS20" s="142" t="n">
        <v>0.014</v>
      </c>
      <c r="AT20" s="84" t="n">
        <v>0.15</v>
      </c>
      <c r="AU20" s="51" t="inlineStr">
        <is>
          <t>New energy materials — new energy battery materials (cathode active material precursors (pCAM)) and new energy metal products</t>
        </is>
      </c>
      <c r="AV20" s="51" t="inlineStr">
        <is>
          <t>Main Board — H Share listing by a PRC joint stock company under Chapter 19A of the Listing Rules (A+H issuer)</t>
        </is>
      </c>
      <c r="AW20" s="136" t="n">
        <v>45838</v>
      </c>
      <c r="AX20" s="137" t="n">
        <v>1475641000</v>
      </c>
      <c r="AY20" s="117" t="n">
        <v>9645273000</v>
      </c>
      <c r="AZ20" s="117" t="n">
        <v>544764000</v>
      </c>
      <c r="BA20" s="117" t="inlineStr">
        <is>
          <t>NaN</t>
        </is>
      </c>
      <c r="BB20" s="138" t="n">
        <v>0.34</v>
      </c>
      <c r="BC20" s="139" t="n">
        <v>0.5</v>
      </c>
      <c r="BD20" s="80" t="n">
        <v>1</v>
      </c>
      <c r="BE20" s="161" t="inlineStr">
        <is>
          <t>NaN</t>
        </is>
      </c>
      <c r="BF20" s="161" t="n">
        <v>1</v>
      </c>
      <c r="BG20" s="161" t="inlineStr">
        <is>
          <t>NaN</t>
        </is>
      </c>
      <c r="BH20" s="161" t="n">
        <v>1</v>
      </c>
      <c r="BI20" s="161" t="inlineStr">
        <is>
          <t>NaN</t>
        </is>
      </c>
      <c r="BJ20" s="162" t="inlineStr">
        <is>
          <t>Guizhou New Industrialization Development Equity Investment Fund Partnership (Limited Partnership); Hunan Xingxiang Emerging Industry Investment Fund Partnership (Limited Partnership); Shanghai Gaoyi Asset Management Partnership (Limited Partnership); Sunwoda Treasury</t>
        </is>
      </c>
      <c r="BK20" s="163" t="n">
        <v>0.0463</v>
      </c>
      <c r="BL20" s="161" t="inlineStr">
        <is>
          <t>NaN</t>
        </is>
      </c>
      <c r="BM20" s="164" t="inlineStr">
        <is>
          <t>2021 A Share Placement</t>
        </is>
      </c>
      <c r="BN20" s="165" t="inlineStr">
        <is>
          <t>NaN</t>
        </is>
      </c>
      <c r="BO20" s="51" t="inlineStr">
        <is>
          <t>自然人 / Natural person (Mr. Deng and Ms. Wu as a group of Controlling Shareholders)</t>
        </is>
      </c>
      <c r="BP20" s="135" t="n">
        <v>0.5068</v>
      </c>
      <c r="BQ20" s="135" t="n">
        <v>0.5068</v>
      </c>
      <c r="BR20" s="137" t="n">
        <v>29430478000</v>
      </c>
      <c r="BS20" s="51" t="inlineStr">
        <is>
          <t>规模商业化 / Mass commercialisation (global leader ranked first by shipment volume for five consecutive years since 2020)</t>
        </is>
      </c>
      <c r="BT20" s="142" t="n">
        <v>0</v>
      </c>
      <c r="BU20" s="60" t="inlineStr">
        <is>
          <t>Main Board</t>
        </is>
      </c>
      <c r="BV20" s="89" t="inlineStr">
        <is>
          <t>H Shares</t>
        </is>
      </c>
      <c r="BW20" s="61" t="n">
        <v>1</v>
      </c>
      <c r="BX20" s="77" t="n">
        <v>0</v>
      </c>
      <c r="BY20" s="77" t="n">
        <v>0</v>
      </c>
      <c r="BZ20" s="78" t="n">
        <v>0</v>
      </c>
      <c r="CA20" s="60" t="inlineStr">
        <is>
          <t>053040</t>
        </is>
      </c>
      <c r="CB20" s="76" t="inlineStr">
        <is>
          <t>HSICS (Hang Seng Industry Classification System) 2026</t>
        </is>
      </c>
      <c r="CC20" s="140" t="n">
        <v>41897</v>
      </c>
      <c r="CD20" s="171" t="n">
        <v>11.17</v>
      </c>
      <c r="CE20" s="76" t="inlineStr">
        <is>
          <t>PRC</t>
        </is>
      </c>
      <c r="CF20" s="89" t="inlineStr">
        <is>
          <t>Tongren, Guizhou Province, the PRC</t>
        </is>
      </c>
      <c r="CG20" s="91" t="n"/>
      <c r="CH20" s="60" t="inlineStr">
        <is>
          <t>IFRS Accounting Standards (IFRS)</t>
        </is>
      </c>
      <c r="CI20" s="141" t="n">
        <v>44927</v>
      </c>
      <c r="CJ20" s="141" t="n">
        <v>45291</v>
      </c>
      <c r="CK20" s="141" t="n">
        <v>45292</v>
      </c>
      <c r="CL20" s="141" t="n">
        <v>45657</v>
      </c>
      <c r="CM20" s="141" t="n">
        <v>45658</v>
      </c>
      <c r="CN20" s="64" t="n">
        <v>21322547000</v>
      </c>
      <c r="CO20" s="64" t="n">
        <v>827053000</v>
      </c>
      <c r="CP20" s="64" t="n">
        <v>705650000</v>
      </c>
      <c r="CQ20" s="141" t="n">
        <v>45968</v>
      </c>
      <c r="CR20" s="141" t="n">
        <v>45973</v>
      </c>
      <c r="CS20" s="63" t="n">
        <v>104225400</v>
      </c>
      <c r="CT20" s="64" t="n">
        <v>2542523000</v>
      </c>
      <c r="CU20" s="64" t="n">
        <v>1535036000</v>
      </c>
      <c r="CV20" s="59" t="inlineStr">
        <is>
          <t>Unqualified opinion (无保留意见)</t>
        </is>
      </c>
      <c r="CW20" s="64" t="n">
        <v>123400000</v>
      </c>
      <c r="CX20" s="51" t="inlineStr">
        <is>
          <t>Guizhou New Industrialization Development Equity Investment Fund Partnership (Limited Partnership); Pointer Investment (Hong Kong) Limited; CALB Group Co., Ltd.; Dongsheng Pulead Technology and Guotai Junan Investments (Hong Kong) Limited (in connection with Dongsheng Pulead OTC Swaps); NR 1 SP; Shanghai Gaoyi and Huatai Capital Investment Limited (in connection with Gaoyi OTC Swaps); Hunan Xingxiang Emerging Industry Investment Fund Partnership (Limited Partnership); Lens International (HK) Limited; Sunwoda Treasury (Hong Kong) Limited</t>
        </is>
      </c>
      <c r="CY20" s="142" t="n">
        <v>0.4663</v>
      </c>
      <c r="CZ20" s="136" t="n">
        <v>46159</v>
      </c>
      <c r="DA20" s="143" t="n">
        <v>27.9</v>
      </c>
      <c r="DB20" s="63" t="n">
        <v>40241</v>
      </c>
      <c r="DC20" s="63" t="n">
        <v>290779400</v>
      </c>
      <c r="DD20" s="59" t="inlineStr">
        <is>
          <t>Subscription level 27.90 times; Claw-back triggered: No</t>
        </is>
      </c>
      <c r="DE20" s="141" t="n">
        <v>45974</v>
      </c>
      <c r="DF20" s="141" t="n">
        <v>45977</v>
      </c>
      <c r="DG20" s="63" t="n">
        <v>104225400</v>
      </c>
      <c r="DH20" s="63" t="n">
        <v>10422600</v>
      </c>
      <c r="DI20" s="63" t="n">
        <v>93802800</v>
      </c>
      <c r="DJ20" s="63" t="n">
        <v>0</v>
      </c>
      <c r="DK20" s="169" t="n">
        <v>0</v>
      </c>
      <c r="DL20" s="59" t="inlineStr">
        <is>
          <t>Claw-back triggered: No; the Hong Kong Public Offering remained at its initial 10,422,600 Offer Shares (10% of the Global Offering) with no reallocation from the International Offering</t>
        </is>
      </c>
      <c r="DM20" s="144" t="n">
        <v>3432609775</v>
      </c>
      <c r="DN20" s="142" t="n">
        <v>0.1</v>
      </c>
      <c r="DO20" s="51" t="n">
        <v>1042253858</v>
      </c>
      <c r="DP20" s="142" t="n">
        <v>0.0534</v>
      </c>
      <c r="DQ20" s="59" t="inlineStr">
        <is>
          <t>Free float denominator = total issued shares upon listing (col_CZ); numerator = offer shares minus cornerstone allocation</t>
        </is>
      </c>
      <c r="DR20" s="63" t="n">
        <v>1042253858</v>
      </c>
      <c r="DS20" s="142" t="n">
        <v>-0.01280536</v>
      </c>
      <c r="DT20" s="80" t="n">
        <v>32</v>
      </c>
      <c r="DU20" s="142" t="n">
        <v>0.0311845</v>
      </c>
      <c r="DV20" s="144" t="n">
        <v>54072000000</v>
      </c>
      <c r="DW20" s="145" t="n">
        <v>33.96</v>
      </c>
      <c r="DX20" s="169" t="n">
        <v>-0.001176</v>
      </c>
      <c r="DY20" s="172" t="n">
        <v>-4169016</v>
      </c>
      <c r="DZ20" s="146" t="n">
        <v>34</v>
      </c>
      <c r="EA20" s="146" t="n">
        <v>34</v>
      </c>
      <c r="EB20" s="146" t="n">
        <v>32</v>
      </c>
      <c r="EC20" s="63" t="n">
        <v>17061800</v>
      </c>
      <c r="ED20" s="169" t="n">
        <v>0.163701</v>
      </c>
      <c r="EE20" s="64" t="n"/>
      <c r="EF20" s="60" t="inlineStr">
        <is>
          <t>Mechanism B</t>
        </is>
      </c>
      <c r="EG20" s="59" t="inlineStr">
        <is>
          <t>FINI (from 22/11/2023); 2025-08-04 pricing reform (Mechanism A/B; six-month cornerstone lock-up retained); this IPO: Mechanism B</t>
        </is>
      </c>
      <c r="EH20" t="inlineStr">
        <is>
          <t>中伟新材料股份有限公司</t>
        </is>
      </c>
      <c r="EI20" s="174" t="inlineStr">
        <is>
          <t>Active</t>
        </is>
      </c>
      <c r="EJ20" s="175" t="n">
        <v>26.125</v>
      </c>
      <c r="EK20" s="176" t="n">
        <v>-0.210367</v>
      </c>
      <c r="EL20" s="176" t="n">
        <v>-0.211296</v>
      </c>
      <c r="EM20" s="176" t="n">
        <v>-0.015444</v>
      </c>
      <c r="EN20" s="176" t="n">
        <v>-0.020641</v>
      </c>
      <c r="EO20" s="179" t="n">
        <v>0.802</v>
      </c>
      <c r="EP20" s="179" t="n">
        <v>0.8063</v>
      </c>
      <c r="EQ20" s="178" t="n">
        <v>67259016.5</v>
      </c>
      <c r="ER20" s="175" t="n">
        <v>36.105</v>
      </c>
      <c r="ES20" s="176" t="n">
        <v>0.09128</v>
      </c>
      <c r="ET20" s="176" t="n">
        <v>0.08999600000000001</v>
      </c>
      <c r="EU20" s="176" t="n">
        <v>-0.026876</v>
      </c>
      <c r="EV20" s="176" t="n">
        <v>-0.158409</v>
      </c>
      <c r="EW20" s="179" t="n">
        <v>1.1214</v>
      </c>
      <c r="EX20" s="179" t="n">
        <v>1.2967</v>
      </c>
      <c r="EY20" s="178" t="n">
        <v>107893240</v>
      </c>
      <c r="EZ20" s="176" t="n">
        <v>0.19032</v>
      </c>
      <c r="FA20" s="176" t="n"/>
      <c r="FB20" s="179" t="n"/>
      <c r="FC20" s="176" t="n"/>
      <c r="FD20" s="179" t="n"/>
      <c r="FE20" s="174" t="inlineStr">
        <is>
          <t>Standard</t>
        </is>
      </c>
      <c r="FF20" s="181" t="n"/>
      <c r="FG20" s="185" t="n"/>
      <c r="FH20" s="183" t="n"/>
      <c r="FI20" s="178" t="n"/>
      <c r="FJ20" s="176" t="n"/>
      <c r="FK20" s="185" t="n"/>
      <c r="FL20" s="178" t="n"/>
      <c r="FM20" s="176" t="n"/>
      <c r="FN20" s="176" t="n"/>
      <c r="FO20" s="176" t="n"/>
      <c r="FP20" s="176" t="n"/>
      <c r="FQ20" s="176" t="n">
        <v>-0.163216</v>
      </c>
      <c r="FR20" s="179" t="n">
        <v>0.8754</v>
      </c>
      <c r="FS20" s="176" t="n">
        <v>-0.210367</v>
      </c>
      <c r="FT20" s="179" t="n">
        <v>0.802</v>
      </c>
      <c r="FU20" s="176" t="n">
        <v>0.027203</v>
      </c>
      <c r="FV20" s="179" t="n">
        <v>1.0261</v>
      </c>
      <c r="FW20" s="179" t="n">
        <v>1.1347</v>
      </c>
      <c r="FX20" s="178" t="n">
        <v>85882944.69</v>
      </c>
      <c r="FY20" s="186" t="n">
        <v>0.0006480330578512396</v>
      </c>
      <c r="FZ20" s="183" t="n">
        <v>0</v>
      </c>
      <c r="GA20" s="176" t="n">
        <v>0.04313168948061351</v>
      </c>
      <c r="GB20" s="176" t="n">
        <v>0.260056</v>
      </c>
      <c r="GC20" s="185" t="n"/>
      <c r="GD20" s="185" t="n"/>
      <c r="GE20" s="176" t="n"/>
      <c r="GF20" s="176" t="n"/>
      <c r="GG20" s="179" t="n"/>
      <c r="GH20" s="181" t="inlineStr">
        <is>
          <t>Morgan Stanley Asia Limited</t>
        </is>
      </c>
      <c r="GI20" s="183" t="n">
        <v>2</v>
      </c>
      <c r="GJ20" s="183" t="n">
        <v>0</v>
      </c>
      <c r="GK20" s="176" t="n">
        <v>0.014</v>
      </c>
      <c r="GL20" s="176" t="n"/>
      <c r="GM20" s="176" t="n"/>
      <c r="GN20" s="183" t="n">
        <v>10</v>
      </c>
      <c r="GO20" s="183" t="n">
        <v>1</v>
      </c>
      <c r="GP20" s="183" t="n">
        <v>0</v>
      </c>
      <c r="GQ20" s="183" t="n">
        <v>4</v>
      </c>
      <c r="GR20" s="183" t="n">
        <v>1</v>
      </c>
      <c r="GS20" s="181" t="inlineStr">
        <is>
          <t>POST_FINI</t>
        </is>
      </c>
      <c r="GT20" s="181" t="inlineStr">
        <is>
          <t>POST_2025_REFORM</t>
        </is>
      </c>
    </row>
    <row r="21" ht="51" customFormat="1" customHeight="1" s="11">
      <c r="A21" s="43" t="n">
        <v>90</v>
      </c>
      <c r="B21" s="47" t="inlineStr">
        <is>
          <t>2788.HK</t>
        </is>
      </c>
      <c r="C21" s="44" t="inlineStr">
        <is>
          <t>Chuangxin Industries Holdings Limited</t>
        </is>
      </c>
      <c r="D21" s="130" t="n">
        <v>45975</v>
      </c>
      <c r="E21" s="48" t="n">
        <v>45985</v>
      </c>
      <c r="F21" s="43" t="inlineStr">
        <is>
          <t>China International Capital Corporation
Hong Kong Securities Limited/
Huatai Financial Holdings 
(Hong Kong) Limited</t>
        </is>
      </c>
      <c r="G21" s="43" t="inlineStr">
        <is>
          <t>Deloitte Touche Tohmatsu</t>
        </is>
      </c>
      <c r="H21" s="43" t="n"/>
      <c r="I21" s="131" t="n">
        <v>549500000</v>
      </c>
      <c r="J21" s="148" t="n">
        <v>5769750000</v>
      </c>
      <c r="K21" s="133" t="n">
        <v>10.99</v>
      </c>
      <c r="L21" t="n">
        <v>2000000000</v>
      </c>
      <c r="M21" s="67" t="n">
        <v>500000000</v>
      </c>
      <c r="N21" t="n">
        <v>1500000000</v>
      </c>
      <c r="O21" t="n">
        <v>1500000000</v>
      </c>
      <c r="P21" t="n">
        <v>0</v>
      </c>
      <c r="Q21" t="n">
        <v>500000000</v>
      </c>
      <c r="R21" s="67" t="n">
        <v>450000000</v>
      </c>
      <c r="S21" s="67" t="n">
        <v>50000000</v>
      </c>
      <c r="T21" s="147" t="n">
        <v>10.99</v>
      </c>
      <c r="U21" s="147" t="n">
        <v>10.18</v>
      </c>
      <c r="V21" s="169" t="n">
        <v>0.038262</v>
      </c>
      <c r="W21" s="169" t="n">
        <v>0.07652299999999999</v>
      </c>
      <c r="X21" s="170" t="inlineStr">
        <is>
          <t>At high</t>
        </is>
      </c>
      <c r="Y21" s="26" t="inlineStr">
        <is>
          <t>RMB</t>
        </is>
      </c>
      <c r="Z21" s="137" t="n">
        <v>19553450000</v>
      </c>
      <c r="AA21" s="137" t="n">
        <v>18319817000</v>
      </c>
      <c r="AB21" s="137" t="n">
        <v>20943206000</v>
      </c>
      <c r="AC21" s="137" t="n">
        <v>3448870000</v>
      </c>
      <c r="AD21" s="137" t="n">
        <v>2326268000</v>
      </c>
      <c r="AE21" s="137" t="n">
        <v>3181773000</v>
      </c>
      <c r="AF21" s="137" t="n">
        <v>16104580000</v>
      </c>
      <c r="AG21" s="137" t="n">
        <v>15993549000</v>
      </c>
      <c r="AH21" s="137" t="n">
        <v>17761433000</v>
      </c>
      <c r="AI21" s="137" t="n">
        <v>13489726000</v>
      </c>
      <c r="AJ21" s="137" t="n">
        <v>13814657000</v>
      </c>
      <c r="AK21" s="137" t="n">
        <v>17312462400</v>
      </c>
      <c r="AL21" s="137" t="n">
        <v>1047659000</v>
      </c>
      <c r="AM21" s="137" t="n">
        <v>1272492000</v>
      </c>
      <c r="AN21" s="137" t="n">
        <v>2485550400</v>
      </c>
      <c r="AO21" s="137" t="n">
        <v>912902000</v>
      </c>
      <c r="AP21" s="137" t="n">
        <v>1080632000</v>
      </c>
      <c r="AQ21" s="137" t="n">
        <v>2053082400</v>
      </c>
      <c r="AR21" s="142" t="n">
        <v>0.015</v>
      </c>
      <c r="AS21" s="142" t="n">
        <v>0.015</v>
      </c>
      <c r="AT21" s="84" t="n">
        <v>0.15</v>
      </c>
      <c r="AU21" s="51" t="inlineStr">
        <is>
          <t>Production and sales of electrolytic aluminum and alumina</t>
        </is>
      </c>
      <c r="AV21" s="51" t="inlineStr">
        <is>
          <t>Main Board of the Stock Exchange (Chapter 8; not Chapter 18A/18C)</t>
        </is>
      </c>
      <c r="AW21" s="136" t="n">
        <v>45808</v>
      </c>
      <c r="AX21" s="137" t="n">
        <v>832863000</v>
      </c>
      <c r="AY21" s="117" t="n">
        <v>470857000</v>
      </c>
      <c r="AZ21" s="117" t="inlineStr">
        <is>
          <t>NaN</t>
        </is>
      </c>
      <c r="BA21" s="117" t="inlineStr">
        <is>
          <t>NaN</t>
        </is>
      </c>
      <c r="BB21" s="138" t="n">
        <v>0.797</v>
      </c>
      <c r="BC21" s="139" t="n">
        <v>0.416667</v>
      </c>
      <c r="BD21" s="80" t="inlineStr">
        <is>
          <t>NaN</t>
        </is>
      </c>
      <c r="BE21" s="161" t="inlineStr">
        <is>
          <t>NaN</t>
        </is>
      </c>
      <c r="BF21" s="161" t="inlineStr">
        <is>
          <t>NaN</t>
        </is>
      </c>
      <c r="BG21" s="161" t="inlineStr">
        <is>
          <t>NaN</t>
        </is>
      </c>
      <c r="BH21" s="161" t="inlineStr">
        <is>
          <t>NaN</t>
        </is>
      </c>
      <c r="BI21" s="161" t="inlineStr">
        <is>
          <t>NaN</t>
        </is>
      </c>
      <c r="BJ21" s="162" t="inlineStr">
        <is>
          <t>NA</t>
        </is>
      </c>
      <c r="BK21" s="163" t="inlineStr">
        <is>
          <t>NaN</t>
        </is>
      </c>
      <c r="BL21" s="161" t="inlineStr">
        <is>
          <t>NaN</t>
        </is>
      </c>
      <c r="BM21" s="164" t="inlineStr">
        <is>
          <t>NA</t>
        </is>
      </c>
      <c r="BN21" s="165" t="inlineStr">
        <is>
          <t>NaN</t>
        </is>
      </c>
      <c r="BO21" s="51" t="inlineStr">
        <is>
          <t>Natural person (founder Mr. Cui Lixin)</t>
        </is>
      </c>
      <c r="BP21" s="135" t="n">
        <v>0.75</v>
      </c>
      <c r="BQ21" s="135" t="n">
        <v>0.75</v>
      </c>
      <c r="BR21" s="137" t="n">
        <v>12521400000</v>
      </c>
      <c r="BS21" s="51" t="inlineStr">
        <is>
          <t>Mass commercialization (established, fully-operating production capacity)</t>
        </is>
      </c>
      <c r="BT21" s="142" t="n">
        <v>0</v>
      </c>
      <c r="BU21" s="60" t="inlineStr">
        <is>
          <t>Main Board</t>
        </is>
      </c>
      <c r="BV21" s="89" t="inlineStr">
        <is>
          <t>Ordinary Shares</t>
        </is>
      </c>
      <c r="BW21" s="61" t="n">
        <v>0</v>
      </c>
      <c r="BX21" s="77" t="n">
        <v>0</v>
      </c>
      <c r="BY21" s="77" t="n">
        <v>0</v>
      </c>
      <c r="BZ21" s="78" t="n">
        <v>0</v>
      </c>
      <c r="CA21" s="60" t="inlineStr">
        <is>
          <t>052030</t>
        </is>
      </c>
      <c r="CB21" s="76" t="inlineStr">
        <is>
          <t>HSICS (Hang Seng Industry Classification System) 2026</t>
        </is>
      </c>
      <c r="CC21" s="140" t="n">
        <v>45111</v>
      </c>
      <c r="CD21" s="171" t="n">
        <v>2.39</v>
      </c>
      <c r="CE21" s="76" t="inlineStr">
        <is>
          <t>Cayman Islands</t>
        </is>
      </c>
      <c r="CF21" s="89" t="inlineStr">
        <is>
          <t>Hong Kong (principal place of business); production in Inner Mongolia and Shandong, PRC</t>
        </is>
      </c>
      <c r="CG21" s="91" t="n"/>
      <c r="CH21" s="60" t="inlineStr">
        <is>
          <t>IFRS Accounting Standards</t>
        </is>
      </c>
      <c r="CI21" s="141" t="n">
        <v>44927</v>
      </c>
      <c r="CJ21" s="141" t="n">
        <v>45291</v>
      </c>
      <c r="CK21" s="141" t="n">
        <v>45292</v>
      </c>
      <c r="CL21" s="141" t="n">
        <v>45657</v>
      </c>
      <c r="CM21" s="141" t="n">
        <v>45658</v>
      </c>
      <c r="CN21" s="64" t="n">
        <v>7213526000</v>
      </c>
      <c r="CO21" s="64" t="n">
        <v>1035646000</v>
      </c>
      <c r="CP21" s="64" t="n">
        <v>855451000</v>
      </c>
      <c r="CQ21" s="141" t="n">
        <v>45975</v>
      </c>
      <c r="CR21" s="141" t="n">
        <v>45980</v>
      </c>
      <c r="CS21" s="63" t="n">
        <v>2000000000</v>
      </c>
      <c r="CT21" s="64" t="n">
        <v>1432661000</v>
      </c>
      <c r="CU21" s="64" t="n">
        <v>1301498000</v>
      </c>
      <c r="CV21" s="59" t="inlineStr">
        <is>
          <t>Unqualified / true and fair view opinion</t>
        </is>
      </c>
      <c r="CW21" s="64" t="n">
        <v>176800000</v>
      </c>
      <c r="CX21" s="51" t="inlineStr">
        <is>
          <t>HHLR Advisors, Ltd.; China Hongqiao Group Limited; Taikang Life Insurance Co., Ltd; Glencore International AG; Mercuria Holdings (Singapore) Pte. Ltd.; Greenwoods Asset Management Hong Kong Limited; Shanghai Greenwoods Asset Management Co., Ltd and CICC Financial Trading Limited; TURQUOISE HIME, L.P.; Investcorp Verdant Holdings Limited; CPIC Investment Management (H.K.) Company Limited; GF Management Co., Ltd. and GF International Investment Management Limited; Fullgoal Asset Management (HK) Limited and Fullgoal Fund Management Co., Ltd.; Integrated Core Strategies (Asia) Pte. Ltd.; Jane Street Asia Trading Limited; Polymer Capital Management (HK) Limited; Pointer Investment (H.K.) Ltd.; Brilliant Partners Fund LP and China Core Fund; Cephei Capital Management (Hong Kong) Limited</t>
        </is>
      </c>
      <c r="CY21" s="142" t="n">
        <v>0.4966</v>
      </c>
      <c r="CZ21" s="136" t="n">
        <v>46166</v>
      </c>
      <c r="DA21" s="143" t="n">
        <v>447.2</v>
      </c>
      <c r="DB21" s="63" t="n">
        <v>145228</v>
      </c>
      <c r="DC21" s="63" t="n">
        <v>22359787500</v>
      </c>
      <c r="DD21" s="59" t="inlineStr">
        <is>
          <t>Subscription level 447.20 times</t>
        </is>
      </c>
      <c r="DE21" s="141" t="n">
        <v>45981</v>
      </c>
      <c r="DF21" s="141" t="n">
        <v>45982</v>
      </c>
      <c r="DG21" s="63" t="n">
        <v>500000000</v>
      </c>
      <c r="DH21" s="63" t="n">
        <v>50000000</v>
      </c>
      <c r="DI21" s="63" t="n">
        <v>450000000</v>
      </c>
      <c r="DJ21" s="63" t="n">
        <v>75000000</v>
      </c>
      <c r="DK21" s="169" t="n">
        <v>1</v>
      </c>
      <c r="DL21" s="59" t="inlineStr">
        <is>
          <t>No claw-back: no Offer Shares reallocated between the International Offer and the Public Offer (both claw-back lines marked N/A)</t>
        </is>
      </c>
      <c r="DM21" s="144" t="n">
        <v>5312800000</v>
      </c>
      <c r="DN21" s="142" t="n">
        <v>0.25</v>
      </c>
      <c r="DO21" s="51" t="n">
        <v>2000000000</v>
      </c>
      <c r="DP21" s="142" t="n">
        <v>0.1259</v>
      </c>
      <c r="DQ21" s="59" t="inlineStr">
        <is>
          <t>Free float denominator = total issued shares upon listing (col_CZ); numerator = offer shares minus cornerstone allocation</t>
        </is>
      </c>
      <c r="DR21" s="63" t="n">
        <v>2000000000</v>
      </c>
      <c r="DS21" s="142" t="n">
        <v>0.04486307</v>
      </c>
      <c r="DT21" s="80" t="n">
        <v>31</v>
      </c>
      <c r="DU21" s="142" t="n">
        <v>0.0309756</v>
      </c>
      <c r="DV21" s="144" t="n">
        <v>54090000000</v>
      </c>
      <c r="DW21" s="145" t="n">
        <v>14.59</v>
      </c>
      <c r="DX21" s="169" t="n">
        <v>0.327571</v>
      </c>
      <c r="DY21" s="172" t="n">
        <v>1800000000</v>
      </c>
      <c r="DZ21" s="146" t="n">
        <v>15.2</v>
      </c>
      <c r="EA21" s="146" t="n">
        <v>15.8</v>
      </c>
      <c r="EB21" s="146" t="n">
        <v>14.18</v>
      </c>
      <c r="EC21" s="63" t="n">
        <v>170339680</v>
      </c>
      <c r="ED21" s="169" t="n">
        <v>0.340679</v>
      </c>
      <c r="EE21" s="64" t="n"/>
      <c r="EF21" s="60" t="inlineStr">
        <is>
          <t>Mechanism B</t>
        </is>
      </c>
      <c r="EG21" s="59" t="inlineStr">
        <is>
          <t>FINI (from 22/11/2023); 2025-08-04 pricing reform (Mechanism A/B; six-month cornerstone lock-up retained); this IPO: Mechanism B</t>
        </is>
      </c>
      <c r="EH21" t="inlineStr">
        <is>
          <t>创新实业集团有限公司</t>
        </is>
      </c>
      <c r="EI21" s="174" t="inlineStr">
        <is>
          <t>Active</t>
        </is>
      </c>
      <c r="EJ21" s="175" t="n">
        <v>18.48</v>
      </c>
      <c r="EK21" s="176" t="n">
        <v>0.337192</v>
      </c>
      <c r="EL21" s="176" t="n">
        <v>0.775217</v>
      </c>
      <c r="EM21" s="176" t="n">
        <v>-0.00101</v>
      </c>
      <c r="EN21" s="176" t="n">
        <v>-0.011995</v>
      </c>
      <c r="EO21" s="179" t="n">
        <v>1.3385</v>
      </c>
      <c r="EP21" s="179" t="n">
        <v>1.3534</v>
      </c>
      <c r="EQ21" s="178" t="n">
        <v>310180874</v>
      </c>
      <c r="ER21" s="175" t="n">
        <v>21.34</v>
      </c>
      <c r="ES21" s="176" t="n">
        <v>0.544139</v>
      </c>
      <c r="ET21" s="176" t="n">
        <v>1.049953</v>
      </c>
      <c r="EU21" s="176" t="n">
        <v>-0.004552</v>
      </c>
      <c r="EV21" s="176" t="n">
        <v>-0.107957</v>
      </c>
      <c r="EW21" s="179" t="n">
        <v>1.5512</v>
      </c>
      <c r="EX21" s="179" t="n">
        <v>1.731</v>
      </c>
      <c r="EY21" s="178" t="n">
        <v>214038916.5</v>
      </c>
      <c r="EZ21" s="176" t="n">
        <v>0.08683100000000001</v>
      </c>
      <c r="FA21" s="176" t="n"/>
      <c r="FB21" s="179" t="n"/>
      <c r="FC21" s="176" t="n"/>
      <c r="FD21" s="179" t="n"/>
      <c r="FE21" s="174" t="inlineStr">
        <is>
          <t>Standard</t>
        </is>
      </c>
      <c r="FF21" s="181" t="n"/>
      <c r="FG21" s="185" t="n"/>
      <c r="FH21" s="183" t="n"/>
      <c r="FI21" s="178" t="n"/>
      <c r="FJ21" s="176" t="n"/>
      <c r="FK21" s="185" t="n"/>
      <c r="FL21" s="178" t="n"/>
      <c r="FM21" s="176" t="n"/>
      <c r="FN21" s="176" t="n"/>
      <c r="FO21" s="176" t="n"/>
      <c r="FP21" s="176" t="n"/>
      <c r="FQ21" s="176" t="n">
        <v>0.029667</v>
      </c>
      <c r="FR21" s="179" t="n">
        <v>1.024</v>
      </c>
      <c r="FS21" s="176" t="n">
        <v>0.337192</v>
      </c>
      <c r="FT21" s="179" t="n">
        <v>1.3385</v>
      </c>
      <c r="FU21" s="176" t="n">
        <v>0.698263</v>
      </c>
      <c r="FV21" s="179" t="n">
        <v>1.6425</v>
      </c>
      <c r="FW21" s="179" t="n">
        <v>1.7868</v>
      </c>
      <c r="FX21" s="178" t="n">
        <v>177679845.74</v>
      </c>
      <c r="FY21" s="186" t="n">
        <v>0.0003004545454545454</v>
      </c>
      <c r="FZ21" s="183" t="n">
        <v>0</v>
      </c>
      <c r="GA21" s="176" t="n">
        <v>0.05493556798522831</v>
      </c>
      <c r="GB21" s="176" t="n">
        <v>0.387767</v>
      </c>
      <c r="GC21" s="185" t="n"/>
      <c r="GD21" s="185" t="n"/>
      <c r="GE21" s="176" t="n"/>
      <c r="GF21" s="176" t="n"/>
      <c r="GG21" s="179" t="n"/>
      <c r="GH21" s="181" t="inlineStr">
        <is>
          <t>China International Capital Corporation Hong Kong Securities Limited</t>
        </is>
      </c>
      <c r="GI21" s="183" t="n">
        <v>2</v>
      </c>
      <c r="GJ21" s="183" t="n">
        <v>0</v>
      </c>
      <c r="GK21" s="176" t="n">
        <v>0.015</v>
      </c>
      <c r="GL21" s="176" t="n"/>
      <c r="GM21" s="176" t="n"/>
      <c r="GN21" s="183" t="n">
        <v>24</v>
      </c>
      <c r="GO21" s="183" t="n">
        <v>1</v>
      </c>
      <c r="GP21" s="183" t="n">
        <v>0</v>
      </c>
      <c r="GQ21" s="183" t="n">
        <v>0</v>
      </c>
      <c r="GR21" s="183" t="n">
        <v>0</v>
      </c>
      <c r="GS21" s="181" t="inlineStr">
        <is>
          <t>POST_FINI</t>
        </is>
      </c>
      <c r="GT21" s="181" t="inlineStr">
        <is>
          <t>POST_2025_REFORM</t>
        </is>
      </c>
    </row>
    <row r="22" ht="51" customFormat="1" customHeight="1" s="11">
      <c r="A22" s="43" t="n">
        <v>91</v>
      </c>
      <c r="B22" s="47" t="inlineStr">
        <is>
          <t>2685.HK</t>
        </is>
      </c>
      <c r="C22" s="44" t="inlineStr">
        <is>
          <t>Quantgroup Holding Limited</t>
        </is>
      </c>
      <c r="D22" s="130" t="n">
        <v>45980</v>
      </c>
      <c r="E22" s="48" t="n">
        <v>45988</v>
      </c>
      <c r="F22" s="43" t="inlineStr">
        <is>
          <t>China International Capital Corporation
Hong Kong Securities Limited /
CITIC Securities (Hong Kong) Limited</t>
        </is>
      </c>
      <c r="G22" s="43" t="inlineStr">
        <is>
          <t>KPMG</t>
        </is>
      </c>
      <c r="H22" s="43" t="n"/>
      <c r="I22" s="131" t="n">
        <v>13083000</v>
      </c>
      <c r="J22" s="148" t="n">
        <v>134872500</v>
      </c>
      <c r="K22" s="133" t="n">
        <v>9.800000000000001</v>
      </c>
      <c r="L22" t="n">
        <v>513347500</v>
      </c>
      <c r="M22" s="67" t="n">
        <v>13347500</v>
      </c>
      <c r="N22" t="n">
        <v>500000000</v>
      </c>
      <c r="O22" t="n">
        <v>500000000</v>
      </c>
      <c r="P22" t="n">
        <v>0</v>
      </c>
      <c r="Q22" t="n">
        <v>13347500</v>
      </c>
      <c r="R22" s="67" t="n">
        <v>12012500</v>
      </c>
      <c r="S22" s="67" t="n">
        <v>1335000</v>
      </c>
      <c r="T22" s="147" t="n">
        <v>9.800000000000001</v>
      </c>
      <c r="U22" s="147" t="n">
        <v>8.800000000000001</v>
      </c>
      <c r="V22" s="169" t="n">
        <v>0.053763</v>
      </c>
      <c r="W22" s="169" t="n">
        <v>0.107527</v>
      </c>
      <c r="X22" s="170" t="inlineStr">
        <is>
          <t>At high</t>
        </is>
      </c>
      <c r="Y22" s="26" t="inlineStr">
        <is>
          <t>RMB</t>
        </is>
      </c>
      <c r="Z22" s="137" t="n">
        <v>614067000</v>
      </c>
      <c r="AA22" s="137" t="n">
        <v>1001292000</v>
      </c>
      <c r="AB22" s="137" t="n">
        <v>1235613000</v>
      </c>
      <c r="AC22" s="137" t="n">
        <v>-1093015000</v>
      </c>
      <c r="AD22" s="137" t="n">
        <v>-908916000</v>
      </c>
      <c r="AE22" s="137" t="n">
        <v>-771978000</v>
      </c>
      <c r="AF22" s="137" t="n">
        <v>1707082000</v>
      </c>
      <c r="AG22" s="137" t="n">
        <v>1910208000</v>
      </c>
      <c r="AH22" s="137" t="n">
        <v>2007591000</v>
      </c>
      <c r="AI22" s="137" t="n">
        <v>529669000</v>
      </c>
      <c r="AJ22" s="137" t="n">
        <v>993029000</v>
      </c>
      <c r="AK22" s="137" t="n">
        <v>993936000</v>
      </c>
      <c r="AL22" s="137" t="n">
        <v>2752000</v>
      </c>
      <c r="AM22" s="137" t="n">
        <v>194822000</v>
      </c>
      <c r="AN22" s="137" t="n">
        <v>386577600</v>
      </c>
      <c r="AO22" s="137" t="n">
        <v>3643000</v>
      </c>
      <c r="AP22" s="137" t="n">
        <v>147128000</v>
      </c>
      <c r="AQ22" s="137" t="n">
        <v>301514400</v>
      </c>
      <c r="AR22" s="142" t="n">
        <v>0.04</v>
      </c>
      <c r="AS22" s="142" t="n">
        <v>0.04</v>
      </c>
      <c r="AT22" s="84" t="n">
        <v>0.15</v>
      </c>
      <c r="AU22" s="51" t="inlineStr">
        <is>
          <t>Operation of online marketplaces in China, with advertisement placement and matching services for financial institutions</t>
        </is>
      </c>
      <c r="AV22" s="51" t="inlineStr">
        <is>
          <t>Main Board (Chapter 8 eligibility; no Chapter 18A/18C basis of listing disclosed)</t>
        </is>
      </c>
      <c r="AW22" s="136" t="n">
        <v>45808</v>
      </c>
      <c r="AX22" s="137" t="n">
        <v>97683000</v>
      </c>
      <c r="AY22" s="117" t="n">
        <v>428050000</v>
      </c>
      <c r="AZ22" s="117" t="n">
        <v>21859000</v>
      </c>
      <c r="BA22" s="117" t="n">
        <v>9000</v>
      </c>
      <c r="BB22" s="138" t="n">
        <v>0.099</v>
      </c>
      <c r="BC22" s="139" t="n">
        <v>0.416667</v>
      </c>
      <c r="BD22" s="80" t="n">
        <v>1</v>
      </c>
      <c r="BE22" s="161" t="n">
        <v>1</v>
      </c>
      <c r="BF22" s="161" t="n">
        <v>1</v>
      </c>
      <c r="BG22" s="161" t="inlineStr">
        <is>
          <t>NaN</t>
        </is>
      </c>
      <c r="BH22" s="161" t="inlineStr">
        <is>
          <t>NaN</t>
        </is>
      </c>
      <c r="BI22" s="161" t="inlineStr">
        <is>
          <t>NaN</t>
        </is>
      </c>
      <c r="BJ22" s="162" t="inlineStr">
        <is>
          <t>Mercury Valley; Sunshine Life Insurance; East Asia Star Investment (BVI) Limited; Gaorong QTG Holding Limited; Shanghai Super Star Venture Capital Partners (Limited Partnership); CGC Enterprises Limited; Taironghaoyuan Limited; Saturn Storm; Shitai Point; Fuhai Yichuang; Suyuan Limited; Zhiwei Zhizhang; Tianyi Point; Jiaqing Investment; Jiangmen Growth; Shanghai Chuyuan</t>
        </is>
      </c>
      <c r="BK22" s="163" t="n">
        <v>0.5717</v>
      </c>
      <c r="BL22" s="161" t="n">
        <v>1</v>
      </c>
      <c r="BM22" s="164" t="inlineStr">
        <is>
          <t>Series A Preferred Shares</t>
        </is>
      </c>
      <c r="BN22" s="165" t="inlineStr">
        <is>
          <t>NaN</t>
        </is>
      </c>
      <c r="BO22" s="51" t="inlineStr">
        <is>
          <t>自然人 / natural person (Dr. Zhou, ultimate Controlling Shareholder)</t>
        </is>
      </c>
      <c r="BP22" s="135" t="n">
        <v>0.3303</v>
      </c>
      <c r="BQ22" s="135" t="n">
        <v>0.3303</v>
      </c>
      <c r="BR22" s="137" t="n">
        <v>52288000</v>
      </c>
      <c r="BS22" s="51" t="inlineStr">
        <is>
          <t>Commercial operation (apps in stable operation, continuous upgrades)</t>
        </is>
      </c>
      <c r="BT22" s="142" t="n">
        <v>0</v>
      </c>
      <c r="BU22" s="60" t="inlineStr">
        <is>
          <t>Main Board</t>
        </is>
      </c>
      <c r="BV22" s="89" t="inlineStr">
        <is>
          <t>Ordinary Shares</t>
        </is>
      </c>
      <c r="BW22" s="61" t="n">
        <v>0</v>
      </c>
      <c r="BX22" s="77" t="n">
        <v>0</v>
      </c>
      <c r="BY22" s="77" t="n">
        <v>0</v>
      </c>
      <c r="BZ22" s="78" t="n">
        <v>0</v>
      </c>
      <c r="CA22" s="60" t="inlineStr">
        <is>
          <t>237060</t>
        </is>
      </c>
      <c r="CB22" s="76" t="inlineStr">
        <is>
          <t>HSICS (Hang Seng Industry Classification System) 2026</t>
        </is>
      </c>
      <c r="CC22" s="140" t="n">
        <v>44651</v>
      </c>
      <c r="CD22" s="171" t="n">
        <v>3.66</v>
      </c>
      <c r="CE22" s="76" t="inlineStr">
        <is>
          <t>Cayman Islands</t>
        </is>
      </c>
      <c r="CF22" s="89" t="inlineStr">
        <is>
          <t>Beijing, PRC</t>
        </is>
      </c>
      <c r="CG22" s="91" t="n">
        <v>1000</v>
      </c>
      <c r="CH22" s="60" t="inlineStr">
        <is>
          <t>IFRS Accounting Standards</t>
        </is>
      </c>
      <c r="CI22" s="141" t="n">
        <v>44927</v>
      </c>
      <c r="CJ22" s="141" t="n">
        <v>45291</v>
      </c>
      <c r="CK22" s="141" t="n">
        <v>45292</v>
      </c>
      <c r="CL22" s="141" t="n">
        <v>45657</v>
      </c>
      <c r="CM22" s="141" t="n">
        <v>45658</v>
      </c>
      <c r="CN22" s="64" t="n">
        <v>414140000</v>
      </c>
      <c r="CO22" s="64" t="n">
        <v>161074000</v>
      </c>
      <c r="CP22" s="64" t="n">
        <v>125631000</v>
      </c>
      <c r="CQ22" s="141" t="n">
        <v>45980</v>
      </c>
      <c r="CR22" s="141" t="n">
        <v>45985</v>
      </c>
      <c r="CS22" s="63" t="n">
        <v>513347500</v>
      </c>
      <c r="CT22" s="64" t="n">
        <v>400346000</v>
      </c>
      <c r="CU22" s="64" t="n">
        <v>13000</v>
      </c>
      <c r="CV22" s="59" t="inlineStr">
        <is>
          <t>Unqualified opinion</t>
        </is>
      </c>
      <c r="CW22" s="64" t="n">
        <v>118400000</v>
      </c>
      <c r="CX22" s="51" t="inlineStr">
        <is>
          <t>NA</t>
        </is>
      </c>
      <c r="CY22" s="142" t="n">
        <v>0</v>
      </c>
      <c r="CZ22" s="136" t="inlineStr">
        <is>
          <t>NA</t>
        </is>
      </c>
      <c r="DA22" s="143" t="n">
        <v>9366.280000000001</v>
      </c>
      <c r="DB22" s="63" t="n">
        <v>159327</v>
      </c>
      <c r="DC22" s="63" t="n">
        <v>12503983800</v>
      </c>
      <c r="DD22" s="59" t="inlineStr">
        <is>
          <t>Subscription level 9,366.28 times</t>
        </is>
      </c>
      <c r="DE22" s="141" t="n">
        <v>45986</v>
      </c>
      <c r="DF22" s="141" t="n">
        <v>45987</v>
      </c>
      <c r="DG22" s="63" t="n">
        <v>13347500</v>
      </c>
      <c r="DH22" s="63" t="n">
        <v>1335000</v>
      </c>
      <c r="DI22" s="63" t="n">
        <v>12012500</v>
      </c>
      <c r="DJ22" s="63" t="n">
        <v>1750000</v>
      </c>
      <c r="DK22" s="169" t="n">
        <v>0.874071</v>
      </c>
      <c r="DL22" s="59" t="inlineStr">
        <is>
          <t>Reallocation
No</t>
        </is>
      </c>
      <c r="DM22" s="144" t="n">
        <v>12370000</v>
      </c>
      <c r="DN22" s="142" t="n">
        <v>0.3694</v>
      </c>
      <c r="DO22" s="51" t="n">
        <v>513347500</v>
      </c>
      <c r="DP22" s="142" t="n">
        <v>0.026</v>
      </c>
      <c r="DQ22" s="59" t="inlineStr">
        <is>
          <t>Free float denominator = total issued shares upon listing (col_CZ); numerator = offer shares minus cornerstone allocation</t>
        </is>
      </c>
      <c r="DR22" s="63" t="n">
        <v>513347500</v>
      </c>
      <c r="DS22" s="142" t="n">
        <v>0.00275337</v>
      </c>
      <c r="DT22" s="80" t="n">
        <v>31</v>
      </c>
      <c r="DU22" s="142" t="n">
        <v>0.0287762</v>
      </c>
      <c r="DV22" s="144" t="n">
        <v>54090000000</v>
      </c>
      <c r="DW22" s="145" t="n">
        <v>18.5</v>
      </c>
      <c r="DX22" s="169" t="n">
        <v>0.887755</v>
      </c>
      <c r="DY22" s="172" t="n">
        <v>116123250</v>
      </c>
      <c r="DZ22" s="146" t="n">
        <v>26</v>
      </c>
      <c r="EA22" s="146" t="n">
        <v>27.8</v>
      </c>
      <c r="EB22" s="146" t="n">
        <v>18.3</v>
      </c>
      <c r="EC22" s="63" t="n">
        <v>4893100</v>
      </c>
      <c r="ED22" s="169" t="n">
        <v>0.366593</v>
      </c>
      <c r="EE22" s="64" t="n"/>
      <c r="EF22" s="60" t="inlineStr">
        <is>
          <t>Mechanism B</t>
        </is>
      </c>
      <c r="EG22" s="59" t="inlineStr">
        <is>
          <t>FINI (from 22/11/2023); 2025-08-04 pricing reform (Mechanism A/B; six-month cornerstone lock-up retained); this IPO: Mechanism B</t>
        </is>
      </c>
      <c r="EH22" t="inlineStr">
        <is>
          <t>量化派控股有限公司</t>
        </is>
      </c>
      <c r="EI22" s="174" t="inlineStr">
        <is>
          <t>Active</t>
        </is>
      </c>
      <c r="EJ22" s="175" t="n">
        <v>26.4</v>
      </c>
      <c r="EK22" s="176" t="n">
        <v>0.427027</v>
      </c>
      <c r="EL22" s="176" t="n">
        <v>1.693878</v>
      </c>
      <c r="EM22" s="176" t="n">
        <v>-0.004895</v>
      </c>
      <c r="EN22" s="176" t="n">
        <v>-0.01764</v>
      </c>
      <c r="EO22" s="179" t="n">
        <v>1.434</v>
      </c>
      <c r="EP22" s="179" t="n">
        <v>1.4527</v>
      </c>
      <c r="EQ22" s="178" t="n">
        <v>19164030</v>
      </c>
      <c r="ER22" s="175" t="n">
        <v>10.56</v>
      </c>
      <c r="ES22" s="176" t="n">
        <v>-0.429189</v>
      </c>
      <c r="ET22" s="176" t="n">
        <v>0.07755099999999999</v>
      </c>
      <c r="EU22" s="176" t="n">
        <v>-0.023807</v>
      </c>
      <c r="EV22" s="176" t="n">
        <v>-0.123343</v>
      </c>
      <c r="EW22" s="179" t="n">
        <v>0.5847</v>
      </c>
      <c r="EX22" s="179" t="n">
        <v>0.6511</v>
      </c>
      <c r="EY22" s="178" t="n">
        <v>28991050</v>
      </c>
      <c r="EZ22" s="176" t="n">
        <v>0.228773</v>
      </c>
      <c r="FA22" s="176" t="n"/>
      <c r="FB22" s="179" t="n"/>
      <c r="FC22" s="176" t="n"/>
      <c r="FD22" s="179" t="n"/>
      <c r="FE22" s="174" t="inlineStr">
        <is>
          <t>Standard</t>
        </is>
      </c>
      <c r="FF22" s="181" t="n"/>
      <c r="FG22" s="185" t="n"/>
      <c r="FH22" s="183" t="n"/>
      <c r="FI22" s="178" t="n"/>
      <c r="FJ22" s="176" t="n"/>
      <c r="FK22" s="185" t="n"/>
      <c r="FL22" s="178" t="n"/>
      <c r="FM22" s="176" t="n"/>
      <c r="FN22" s="176" t="n"/>
      <c r="FO22" s="176" t="n"/>
      <c r="FP22" s="176" t="n"/>
      <c r="FQ22" s="176" t="n">
        <v>0.540541</v>
      </c>
      <c r="FR22" s="179" t="n">
        <v>1.5516</v>
      </c>
      <c r="FS22" s="176" t="n">
        <v>0.427027</v>
      </c>
      <c r="FT22" s="179" t="n">
        <v>1.434</v>
      </c>
      <c r="FU22" s="176" t="n">
        <v>0.762162</v>
      </c>
      <c r="FV22" s="179" t="n">
        <v>1.7169</v>
      </c>
      <c r="FW22" s="179" t="n">
        <v>1.92</v>
      </c>
      <c r="FX22" s="178" t="n">
        <v>14799006.56</v>
      </c>
      <c r="FY22" s="186" t="n">
        <v>0.002517268907563025</v>
      </c>
      <c r="FZ22" s="183" t="n">
        <v>0</v>
      </c>
      <c r="GA22" s="176" t="n">
        <v>0.1054726242270941</v>
      </c>
      <c r="GB22" s="176" t="n">
        <v>0.756688</v>
      </c>
      <c r="GC22" s="185" t="n"/>
      <c r="GD22" s="185" t="n"/>
      <c r="GE22" s="176" t="n"/>
      <c r="GF22" s="176" t="n"/>
      <c r="GG22" s="179" t="n"/>
      <c r="GH22" s="181" t="inlineStr">
        <is>
          <t>China International Capital Corporation Hong Kong Securities Limited</t>
        </is>
      </c>
      <c r="GI22" s="183" t="n">
        <v>2</v>
      </c>
      <c r="GJ22" s="183" t="n">
        <v>0</v>
      </c>
      <c r="GK22" s="176" t="n">
        <v>0.04</v>
      </c>
      <c r="GL22" s="176" t="n"/>
      <c r="GM22" s="176" t="n"/>
      <c r="GN22" s="183" t="n">
        <v>0</v>
      </c>
      <c r="GO22" s="183" t="n">
        <v>0</v>
      </c>
      <c r="GP22" s="183" t="n">
        <v>0</v>
      </c>
      <c r="GQ22" s="183" t="n">
        <v>16</v>
      </c>
      <c r="GR22" s="183" t="n">
        <v>1</v>
      </c>
      <c r="GS22" s="181" t="inlineStr">
        <is>
          <t>POST_FINI</t>
        </is>
      </c>
      <c r="GT22" s="181" t="inlineStr">
        <is>
          <t>POST_2025_REFORM</t>
        </is>
      </c>
    </row>
    <row r="23" ht="68" customFormat="1" customHeight="1" s="11">
      <c r="A23" s="43" t="n">
        <v>92</v>
      </c>
      <c r="B23" s="47" t="inlineStr">
        <is>
          <t>9609.HK</t>
        </is>
      </c>
      <c r="C23" s="44" t="inlineStr">
        <is>
          <t>Hebei Haiwei Electronic New Material Technology Co., Ltd.- H shares</t>
        </is>
      </c>
      <c r="D23" s="130" t="n">
        <v>45981</v>
      </c>
      <c r="E23" s="48" t="n">
        <v>45989</v>
      </c>
      <c r="F23" s="43" t="inlineStr">
        <is>
          <t>China International Capital Corporation 
Hong Kong Securities Limited</t>
        </is>
      </c>
      <c r="G23" s="43" t="inlineStr">
        <is>
          <t>Deloitte Touche Tohmatsu</t>
        </is>
      </c>
      <c r="H23" s="43" t="n"/>
      <c r="I23" s="131" t="n">
        <v>50631168</v>
      </c>
      <c r="J23" s="148" t="n">
        <v>480793320</v>
      </c>
      <c r="K23" s="133" t="n">
        <v>14.28</v>
      </c>
      <c r="L23" t="n">
        <v>154543287</v>
      </c>
      <c r="M23" s="67" t="n">
        <v>30831400</v>
      </c>
      <c r="N23" t="n">
        <v>123711887</v>
      </c>
      <c r="O23" t="n">
        <v>123711887</v>
      </c>
      <c r="P23" t="n">
        <v>0</v>
      </c>
      <c r="Q23" t="n">
        <v>30831400</v>
      </c>
      <c r="R23" s="67" t="n">
        <v>27748200</v>
      </c>
      <c r="S23" s="67" t="n">
        <v>3083200</v>
      </c>
      <c r="T23" s="147" t="n">
        <v>14.28</v>
      </c>
      <c r="U23" s="147" t="n">
        <v>14.28</v>
      </c>
      <c r="V23" s="169" t="n">
        <v>0</v>
      </c>
      <c r="W23" s="169" t="n">
        <v>0</v>
      </c>
      <c r="X23" s="170" t="inlineStr">
        <is>
          <t>Fixed price</t>
        </is>
      </c>
      <c r="Y23" s="26" t="inlineStr">
        <is>
          <t>RMB</t>
        </is>
      </c>
      <c r="Z23" s="137" t="n">
        <v>740123000</v>
      </c>
      <c r="AA23" s="137" t="n">
        <v>762578000</v>
      </c>
      <c r="AB23" s="137" t="n">
        <v>834564000</v>
      </c>
      <c r="AC23" s="137" t="n">
        <v>602320000</v>
      </c>
      <c r="AD23" s="137" t="n">
        <v>686019000</v>
      </c>
      <c r="AE23" s="137" t="n">
        <v>716763000</v>
      </c>
      <c r="AF23" s="137" t="n">
        <v>137803000</v>
      </c>
      <c r="AG23" s="137" t="n">
        <v>76559000</v>
      </c>
      <c r="AH23" s="137" t="n">
        <v>117801000</v>
      </c>
      <c r="AI23" s="137" t="n">
        <v>329545000</v>
      </c>
      <c r="AJ23" s="137" t="n">
        <v>421695000</v>
      </c>
      <c r="AK23" s="137" t="n">
        <v>377085600</v>
      </c>
      <c r="AL23" s="137" t="n">
        <v>78292000</v>
      </c>
      <c r="AM23" s="137" t="n">
        <v>93228000</v>
      </c>
      <c r="AN23" s="137" t="n">
        <v>87156000</v>
      </c>
      <c r="AO23" s="137" t="n">
        <v>69826000</v>
      </c>
      <c r="AP23" s="137" t="n">
        <v>86418000</v>
      </c>
      <c r="AQ23" s="137" t="n">
        <v>75261600</v>
      </c>
      <c r="AR23" s="142" t="n">
        <v>0.03</v>
      </c>
      <c r="AS23" s="142" t="n">
        <v>0.03</v>
      </c>
      <c r="AT23" s="84" t="n">
        <v>0.15</v>
      </c>
      <c r="AU23" s="51" t="inlineStr">
        <is>
          <t>Capacitor film manufacturing (capacitor base films and metallized films)</t>
        </is>
      </c>
      <c r="AV23" s="51" t="inlineStr">
        <is>
          <t>Main Board of the Stock Exchange (H-share listing; no Chapter 18A/18C specialist-technology route disclosed)</t>
        </is>
      </c>
      <c r="AW23" s="136" t="n">
        <v>45808</v>
      </c>
      <c r="AX23" s="137" t="n">
        <v>-35810000</v>
      </c>
      <c r="AY23" s="117" t="n">
        <v>155110000</v>
      </c>
      <c r="AZ23" s="117" t="n">
        <v>7265000</v>
      </c>
      <c r="BA23" s="117" t="inlineStr">
        <is>
          <t>NaN</t>
        </is>
      </c>
      <c r="BB23" s="138" t="n">
        <v>0.421</v>
      </c>
      <c r="BC23" s="139" t="n">
        <v>0.416667</v>
      </c>
      <c r="BD23" s="80" t="n">
        <v>1</v>
      </c>
      <c r="BE23" s="161" t="n">
        <v>1</v>
      </c>
      <c r="BF23" s="161" t="n">
        <v>1</v>
      </c>
      <c r="BG23" s="161" t="n">
        <v>1</v>
      </c>
      <c r="BH23" s="161" t="n">
        <v>1</v>
      </c>
      <c r="BI23" s="161" t="inlineStr">
        <is>
          <t>NaN</t>
        </is>
      </c>
      <c r="BJ23" s="162" t="inlineStr">
        <is>
          <t>CICC Pucheng Investment Co., Ltd.; Yibin Lvneng Equity Investment Partnership (Limited Partnership); Ningbo Meishan Bonded Port Area Thriving Venture Capital Partnership (Limited Partnership); Sungrow Power Supply Co., Ltd.; Shanghai Dingbo Enterprise Consulting Partnership (Limited Partnership); BYD Company Limited; Jiaxing Chuangqi Kaiying Venture Capital Partnership (Limited Partnership); Guangzhou Hanxin Venture Capital Partnership (Limited Partnership); Hebei Industry Investment Zhanxin Industry Development Center (Limited Partnership); Yichang Industrial Investment Changzheng Green Industry Fund Partnership (Limited Partnership); Chutian Changxing (Wuhan) Enterprise Management Center (Limited Partnership); Anhui New Energy and Energy Saving and Environmental Protection Industry Fund Partnership (Limited Partnership); Qingdao Taifu Hongying No. 6 Private Equity Investment Fund Partnership (Limited Partnership); Hebei Henghu Equity Investment Fund Center (Limited Partnership); Huamin Caixin; Dezhou Jianyi Investment Consulting Co., Ltd; Qingdao Taifu Huixin No. 8 Private Equity Investment Fund Partnership (Limited Partnership)</t>
        </is>
      </c>
      <c r="BK23" s="163" t="n">
        <v>0.2288</v>
      </c>
      <c r="BL23" s="161" t="inlineStr">
        <is>
          <t>NaN</t>
        </is>
      </c>
      <c r="BM23" s="164" t="inlineStr">
        <is>
          <t>Series A</t>
        </is>
      </c>
      <c r="BN23" s="165" t="n">
        <v>2.77</v>
      </c>
      <c r="BO23" s="51" t="inlineStr">
        <is>
          <t>自然人 (Mr. Song Wenlan)</t>
        </is>
      </c>
      <c r="BP23" s="135" t="n">
        <v>0.3948</v>
      </c>
      <c r="BQ23" s="135" t="n">
        <v>0.6173999999999999</v>
      </c>
      <c r="BR23" s="137" t="n">
        <v>70070000</v>
      </c>
      <c r="BS23" s="51" t="inlineStr">
        <is>
          <t>已量产 / 规模商业化 (mass production and commercial sales of capacitor films)</t>
        </is>
      </c>
      <c r="BT23" s="142" t="n">
        <v>0</v>
      </c>
      <c r="BU23" s="60" t="inlineStr">
        <is>
          <t>Main Board</t>
        </is>
      </c>
      <c r="BV23" s="89" t="inlineStr">
        <is>
          <t>H Shares</t>
        </is>
      </c>
      <c r="BW23" s="61" t="n">
        <v>0</v>
      </c>
      <c r="BX23" s="77" t="n">
        <v>0</v>
      </c>
      <c r="BY23" s="77" t="n">
        <v>0</v>
      </c>
      <c r="BZ23" s="78" t="n">
        <v>0</v>
      </c>
      <c r="CA23" s="60" t="inlineStr">
        <is>
          <t>101020</t>
        </is>
      </c>
      <c r="CB23" s="76" t="inlineStr">
        <is>
          <t>HSICS (Hang Seng Industry Classification System) 2026</t>
        </is>
      </c>
      <c r="CC23" s="140" t="n">
        <v>38966</v>
      </c>
      <c r="CD23" s="171" t="n">
        <v>19.23</v>
      </c>
      <c r="CE23" s="76" t="inlineStr">
        <is>
          <t>PRC</t>
        </is>
      </c>
      <c r="CF23" s="89" t="inlineStr">
        <is>
          <t>Hengshui, Hebei Province, PRC</t>
        </is>
      </c>
      <c r="CG23" s="91" t="n"/>
      <c r="CH23" s="60" t="inlineStr">
        <is>
          <t>IFRS Accounting Standards</t>
        </is>
      </c>
      <c r="CI23" s="141" t="n">
        <v>44927</v>
      </c>
      <c r="CJ23" s="141" t="n">
        <v>45291</v>
      </c>
      <c r="CK23" s="141" t="n">
        <v>45292</v>
      </c>
      <c r="CL23" s="141" t="n">
        <v>45657</v>
      </c>
      <c r="CM23" s="141" t="n">
        <v>45658</v>
      </c>
      <c r="CN23" s="64" t="n">
        <v>157119000</v>
      </c>
      <c r="CO23" s="64" t="n">
        <v>36315000</v>
      </c>
      <c r="CP23" s="64" t="n">
        <v>31359000</v>
      </c>
      <c r="CQ23" s="141" t="n">
        <v>45981</v>
      </c>
      <c r="CR23" s="141" t="n">
        <v>45986</v>
      </c>
      <c r="CS23" s="63" t="n">
        <v>59850939</v>
      </c>
      <c r="CT23" s="64" t="n">
        <v>55730000</v>
      </c>
      <c r="CU23" s="64" t="n">
        <v>3192000</v>
      </c>
      <c r="CV23" s="59" t="inlineStr">
        <is>
          <t>Unqualified opinion (无保留意见)</t>
        </is>
      </c>
      <c r="CW23" s="64" t="n">
        <v>51900000</v>
      </c>
      <c r="CX23" s="51" t="inlineStr">
        <is>
          <t>Horizon Splendor Limited</t>
        </is>
      </c>
      <c r="CY23" s="142" t="n">
        <v>0.4267</v>
      </c>
      <c r="CZ23" s="136" t="n">
        <v>46170</v>
      </c>
      <c r="DA23" s="143" t="n">
        <v>5426.27</v>
      </c>
      <c r="DB23" s="63" t="n">
        <v>165803</v>
      </c>
      <c r="DC23" s="63" t="n">
        <v>16730263200</v>
      </c>
      <c r="DD23" s="59" t="inlineStr">
        <is>
          <t>Subscription level 5,426.27 times (Hong Kong Public Offering); the announcement states a "Subscription level" and not an "over-subscribed by N times" figure</t>
        </is>
      </c>
      <c r="DE23" s="141" t="inlineStr">
        <is>
          <t>NA</t>
        </is>
      </c>
      <c r="DF23" s="141" t="n">
        <v>45988</v>
      </c>
      <c r="DG23" s="63" t="n">
        <v>35456000</v>
      </c>
      <c r="DH23" s="63" t="n">
        <v>3545600</v>
      </c>
      <c r="DI23" s="63" t="n">
        <v>31910400</v>
      </c>
      <c r="DJ23" s="63" t="n">
        <v>1758600</v>
      </c>
      <c r="DK23" s="169" t="n">
        <v>0.330663</v>
      </c>
      <c r="DL23" s="59" t="inlineStr">
        <is>
          <t>No reallocation/clawback between the Hong Kong Public Offering and the International Offering; the additional Offer Shares under the Offer Size Adjustment Option were allocated to maintain the initial 10.0%:90.0% proportion. Claw-back triggered: N/A</t>
        </is>
      </c>
      <c r="DM23" s="144" t="n">
        <v>451760000</v>
      </c>
      <c r="DN23" s="142" t="n">
        <v>0.3752</v>
      </c>
      <c r="DO23" s="51" t="n">
        <v>159167887</v>
      </c>
      <c r="DP23" s="142" t="n">
        <v>0.1277</v>
      </c>
      <c r="DQ23" s="59" t="inlineStr">
        <is>
          <t>Free float denominator = total issued shares upon listing (col_CZ); numerator = offer shares minus cornerstone allocation</t>
        </is>
      </c>
      <c r="DR23" s="63" t="n">
        <v>159167887</v>
      </c>
      <c r="DS23" s="142" t="n">
        <v>-0.0075651</v>
      </c>
      <c r="DT23" s="80" t="n">
        <v>31</v>
      </c>
      <c r="DU23" s="142" t="n">
        <v>0.0228369</v>
      </c>
      <c r="DV23" s="144" t="n">
        <v>54163000000</v>
      </c>
      <c r="DW23" s="145" t="n">
        <v>11</v>
      </c>
      <c r="DX23" s="169" t="n">
        <v>-0.229692</v>
      </c>
      <c r="DY23" s="172" t="n">
        <v>-116295680</v>
      </c>
      <c r="DZ23" s="146" t="n">
        <v>13.5</v>
      </c>
      <c r="EA23" s="146" t="n">
        <v>13.5</v>
      </c>
      <c r="EB23" s="146" t="n">
        <v>11</v>
      </c>
      <c r="EC23" s="63" t="n">
        <v>16128800</v>
      </c>
      <c r="ED23" s="169" t="n">
        <v>0.454896</v>
      </c>
      <c r="EE23" s="64" t="n"/>
      <c r="EF23" s="60" t="inlineStr">
        <is>
          <t>Mechanism B</t>
        </is>
      </c>
      <c r="EG23" s="59" t="inlineStr">
        <is>
          <t>FINI (from 22/11/2023); 2025-08-04 pricing reform (Mechanism A/B; six-month cornerstone lock-up retained); this IPO: Mechanism B</t>
        </is>
      </c>
      <c r="EH23" t="inlineStr">
        <is>
          <t>河北海伟电子新材料科技股份有限公司</t>
        </is>
      </c>
      <c r="EI23" s="174" t="inlineStr">
        <is>
          <t>Active</t>
        </is>
      </c>
      <c r="EJ23" s="175" t="n">
        <v>10.15</v>
      </c>
      <c r="EK23" s="176" t="n">
        <v>-0.07727299999999999</v>
      </c>
      <c r="EL23" s="176" t="n">
        <v>-0.289216</v>
      </c>
      <c r="EM23" s="176" t="n">
        <v>-0.008649</v>
      </c>
      <c r="EN23" s="176" t="n">
        <v>-0.020735</v>
      </c>
      <c r="EO23" s="179" t="n">
        <v>0.9308</v>
      </c>
      <c r="EP23" s="179" t="n">
        <v>0.9423</v>
      </c>
      <c r="EQ23" s="178" t="n">
        <v>17878745</v>
      </c>
      <c r="ER23" s="175" t="n">
        <v>6.68</v>
      </c>
      <c r="ES23" s="176" t="n">
        <v>-0.392727</v>
      </c>
      <c r="ET23" s="176" t="n">
        <v>-0.532213</v>
      </c>
      <c r="EU23" s="176" t="n">
        <v>-0.032976</v>
      </c>
      <c r="EV23" s="176" t="n">
        <v>-0.126901</v>
      </c>
      <c r="EW23" s="179" t="n">
        <v>0.628</v>
      </c>
      <c r="EX23" s="179" t="n">
        <v>0.6955</v>
      </c>
      <c r="EY23" s="178" t="n">
        <v>320030</v>
      </c>
      <c r="EZ23" s="176" t="n">
        <v>0.00145</v>
      </c>
      <c r="FA23" s="176" t="n"/>
      <c r="FB23" s="179" t="n"/>
      <c r="FC23" s="176" t="n"/>
      <c r="FD23" s="179" t="n"/>
      <c r="FE23" s="174" t="inlineStr">
        <is>
          <t>Standard</t>
        </is>
      </c>
      <c r="FF23" s="181" t="n"/>
      <c r="FG23" s="185" t="n"/>
      <c r="FH23" s="183" t="n"/>
      <c r="FI23" s="178" t="n"/>
      <c r="FJ23" s="176" t="n"/>
      <c r="FK23" s="185" t="n"/>
      <c r="FL23" s="178" t="n"/>
      <c r="FM23" s="176" t="n"/>
      <c r="FN23" s="176" t="n"/>
      <c r="FO23" s="176" t="n"/>
      <c r="FP23" s="176" t="n"/>
      <c r="FQ23" s="176" t="n">
        <v>0.050909</v>
      </c>
      <c r="FR23" s="179" t="n">
        <v>1.0478</v>
      </c>
      <c r="FS23" s="176" t="n">
        <v>-0.07727299999999999</v>
      </c>
      <c r="FT23" s="179" t="n">
        <v>0.9308</v>
      </c>
      <c r="FU23" s="176" t="n">
        <v>-0.152727</v>
      </c>
      <c r="FV23" s="179" t="n">
        <v>0.8407</v>
      </c>
      <c r="FW23" s="179" t="n">
        <v>0.9508</v>
      </c>
      <c r="FX23" s="178" t="n">
        <v>7391298.36</v>
      </c>
      <c r="FY23" s="186" t="n">
        <v>0.0555398487394958</v>
      </c>
      <c r="FZ23" s="183" t="n">
        <v>0</v>
      </c>
      <c r="GA23" s="176" t="n">
        <v>0.04080569401749809</v>
      </c>
      <c r="GB23" s="176" t="n">
        <v>0.585185</v>
      </c>
      <c r="GC23" s="185" t="n"/>
      <c r="GD23" s="185" t="n"/>
      <c r="GE23" s="176" t="n"/>
      <c r="GF23" s="176" t="n"/>
      <c r="GG23" s="179" t="n"/>
      <c r="GH23" s="181" t="inlineStr">
        <is>
          <t>China International Capital Corporation Hong Kong Securities Limited</t>
        </is>
      </c>
      <c r="GI23" s="183" t="n">
        <v>1</v>
      </c>
      <c r="GJ23" s="183" t="n">
        <v>0</v>
      </c>
      <c r="GK23" s="176" t="n">
        <v>0.03</v>
      </c>
      <c r="GL23" s="176" t="n"/>
      <c r="GM23" s="176" t="n"/>
      <c r="GN23" s="183" t="n">
        <v>1</v>
      </c>
      <c r="GO23" s="183" t="n">
        <v>0</v>
      </c>
      <c r="GP23" s="183" t="n">
        <v>0</v>
      </c>
      <c r="GQ23" s="183" t="n">
        <v>20</v>
      </c>
      <c r="GR23" s="183" t="n">
        <v>1</v>
      </c>
      <c r="GS23" s="181" t="inlineStr">
        <is>
          <t>POST_FINI</t>
        </is>
      </c>
      <c r="GT23" s="181" t="inlineStr">
        <is>
          <t>POST_2025_REFORM</t>
        </is>
      </c>
    </row>
    <row r="24" ht="68" customFormat="1" customHeight="1" s="11">
      <c r="A24" s="43" t="n">
        <v>94</v>
      </c>
      <c r="B24" s="47" t="inlineStr">
        <is>
          <t>2539.HK</t>
        </is>
      </c>
      <c r="C24" s="44" t="inlineStr">
        <is>
          <t>Lemo Services Co., Ltd - H shares</t>
        </is>
      </c>
      <c r="D24" s="130" t="n">
        <v>45986</v>
      </c>
      <c r="E24" s="48" t="n">
        <v>45994</v>
      </c>
      <c r="F24" s="43" t="inlineStr">
        <is>
          <t>China Securities (International) 
Corporate Finance Company Limited/
Shenwan Hongyuan Capital (H.K.) Limited</t>
        </is>
      </c>
      <c r="G24" s="43" t="inlineStr">
        <is>
          <t>KPMG</t>
        </is>
      </c>
      <c r="H24" s="43" t="n"/>
      <c r="I24" s="131" t="n">
        <v>22224000</v>
      </c>
      <c r="J24" s="148" t="n">
        <v>200000000</v>
      </c>
      <c r="K24" s="133" t="n">
        <v>40</v>
      </c>
      <c r="L24" t="n">
        <v>55555600</v>
      </c>
      <c r="M24" s="67" t="n">
        <v>5555600</v>
      </c>
      <c r="N24" t="n">
        <v>50000000</v>
      </c>
      <c r="O24" t="n">
        <v>50000000</v>
      </c>
      <c r="P24" t="n">
        <v>0</v>
      </c>
      <c r="Q24" t="n">
        <v>5555600</v>
      </c>
      <c r="R24" s="67" t="n">
        <v>5000000</v>
      </c>
      <c r="S24" s="67" t="n">
        <v>555600</v>
      </c>
      <c r="T24" s="147" t="n">
        <v>40</v>
      </c>
      <c r="U24" s="147" t="n">
        <v>27</v>
      </c>
      <c r="V24" s="169" t="n">
        <v>0.19403</v>
      </c>
      <c r="W24" s="169" t="n">
        <v>0.38806</v>
      </c>
      <c r="X24" s="170" t="inlineStr">
        <is>
          <t>At high</t>
        </is>
      </c>
      <c r="Y24" s="26" t="inlineStr">
        <is>
          <t>RMB</t>
        </is>
      </c>
      <c r="Z24" s="137" t="n">
        <v>405814000</v>
      </c>
      <c r="AA24" s="137" t="n">
        <v>472690000</v>
      </c>
      <c r="AB24" s="137" t="n">
        <v>549928000</v>
      </c>
      <c r="AC24" s="137" t="n">
        <v>151885000</v>
      </c>
      <c r="AD24" s="137" t="n">
        <v>240023000</v>
      </c>
      <c r="AE24" s="137" t="n">
        <v>331395000</v>
      </c>
      <c r="AF24" s="137" t="n">
        <v>253929000</v>
      </c>
      <c r="AG24" s="137" t="n">
        <v>232667000</v>
      </c>
      <c r="AH24" s="137" t="n">
        <v>218533000</v>
      </c>
      <c r="AI24" s="137" t="n">
        <v>586836000</v>
      </c>
      <c r="AJ24" s="137" t="n">
        <v>797991000</v>
      </c>
      <c r="AK24" s="137" t="n">
        <v>946098000</v>
      </c>
      <c r="AL24" s="137" t="n">
        <v>103214000</v>
      </c>
      <c r="AM24" s="137" t="n">
        <v>102304000</v>
      </c>
      <c r="AN24" s="137" t="n">
        <v>158446500</v>
      </c>
      <c r="AO24" s="137" t="n">
        <v>87340000</v>
      </c>
      <c r="AP24" s="137" t="n">
        <v>85807000</v>
      </c>
      <c r="AQ24" s="137" t="n">
        <v>132825000</v>
      </c>
      <c r="AR24" s="142" t="n">
        <v>0.025</v>
      </c>
      <c r="AS24" s="142" t="n">
        <v>0.025</v>
      </c>
      <c r="AT24" s="84" t="inlineStr">
        <is>
          <t>NaN</t>
        </is>
      </c>
      <c r="AU24" s="51" t="inlineStr">
        <is>
          <t>Mechanical massage service (provision of massage services performed by mechanical massage equipment at points of service in public venues)</t>
        </is>
      </c>
      <c r="AV24" s="51" t="inlineStr">
        <is>
          <t>Main Board of the Stock Exchange (H-share listing by a PRC joint stock company; Listing Rules Chapter 19A applies, incl. Rule 19A.13A/19A.13C)</t>
        </is>
      </c>
      <c r="AW24" s="136" t="n">
        <v>45900</v>
      </c>
      <c r="AX24" s="137" t="n">
        <v>190454000</v>
      </c>
      <c r="AY24" s="117" t="n">
        <v>46694000</v>
      </c>
      <c r="AZ24" s="117" t="n">
        <v>14885000</v>
      </c>
      <c r="BA24" s="117" t="inlineStr">
        <is>
          <t>NaN</t>
        </is>
      </c>
      <c r="BB24" s="138" t="n">
        <v>0.067</v>
      </c>
      <c r="BC24" s="139" t="n">
        <v>0.666667</v>
      </c>
      <c r="BD24" s="80" t="n">
        <v>1</v>
      </c>
      <c r="BE24" s="161" t="inlineStr">
        <is>
          <t>NaN</t>
        </is>
      </c>
      <c r="BF24" s="161" t="n">
        <v>1</v>
      </c>
      <c r="BG24" s="161" t="inlineStr">
        <is>
          <t>NaN</t>
        </is>
      </c>
      <c r="BH24" s="161" t="inlineStr">
        <is>
          <t>NaN</t>
        </is>
      </c>
      <c r="BI24" s="161" t="inlineStr">
        <is>
          <t>NaN</t>
        </is>
      </c>
      <c r="BJ24" s="162" t="inlineStr">
        <is>
          <t>Pan Jianzhong; Li Bin; Cornerstone Yixiang; Shanghai Qimai; Wang Zhenghua; Dai Chusheng; Fang Xin; Chen Guohai</t>
        </is>
      </c>
      <c r="BK24" s="163" t="n">
        <v>0.047</v>
      </c>
      <c r="BL24" s="161" t="inlineStr">
        <is>
          <t>NaN</t>
        </is>
      </c>
      <c r="BM24" s="164" t="inlineStr">
        <is>
          <t>Pre-IPO Investment (first round, registration completed 8 May 2017)</t>
        </is>
      </c>
      <c r="BN24" s="165" t="n">
        <v>8.550000000000001</v>
      </c>
      <c r="BO24" s="51" t="inlineStr">
        <is>
          <t>Natural person (Mr. Xie Zhonghui, Controlling Shareholder; no single ultimate controller disclosed beyond the controlling shareholder group)</t>
        </is>
      </c>
      <c r="BP24" s="135" t="n">
        <v>0.189</v>
      </c>
      <c r="BQ24" s="135" t="n">
        <v>0.31</v>
      </c>
      <c r="BR24" s="137" t="n">
        <v>60217000</v>
      </c>
      <c r="BS24" s="51" t="inlineStr">
        <is>
          <t>规模商业化</t>
        </is>
      </c>
      <c r="BT24" s="142" t="n">
        <v>0</v>
      </c>
      <c r="BU24" s="60" t="inlineStr">
        <is>
          <t>Main Board</t>
        </is>
      </c>
      <c r="BV24" s="89" t="inlineStr">
        <is>
          <t>H Shares</t>
        </is>
      </c>
      <c r="BW24" s="61" t="n">
        <v>0</v>
      </c>
      <c r="BX24" s="77" t="n">
        <v>0</v>
      </c>
      <c r="BY24" s="77" t="n">
        <v>0</v>
      </c>
      <c r="BZ24" s="78" t="n">
        <v>0</v>
      </c>
      <c r="CA24" s="60" t="inlineStr">
        <is>
          <t>234070</t>
        </is>
      </c>
      <c r="CB24" s="76" t="inlineStr">
        <is>
          <t>HSICS (Hang Seng Industry Classification System) 2026</t>
        </is>
      </c>
      <c r="CC24" s="140" t="n">
        <v>41788</v>
      </c>
      <c r="CD24" s="171" t="n">
        <v>11.52</v>
      </c>
      <c r="CE24" s="76" t="inlineStr">
        <is>
          <t>PRC</t>
        </is>
      </c>
      <c r="CF24" s="89" t="inlineStr">
        <is>
          <t>Fuzhou, Fujian, PRC</t>
        </is>
      </c>
      <c r="CG24" s="91" t="n"/>
      <c r="CH24" s="60" t="inlineStr">
        <is>
          <t>IFRS Accounting Standards</t>
        </is>
      </c>
      <c r="CI24" s="141" t="n">
        <v>44927</v>
      </c>
      <c r="CJ24" s="141" t="n">
        <v>45291</v>
      </c>
      <c r="CK24" s="141" t="n">
        <v>45292</v>
      </c>
      <c r="CL24" s="141" t="n">
        <v>45657</v>
      </c>
      <c r="CM24" s="141" t="n">
        <v>45658</v>
      </c>
      <c r="CN24" s="64" t="n">
        <v>630732000</v>
      </c>
      <c r="CO24" s="64" t="n">
        <v>105631000</v>
      </c>
      <c r="CP24" s="64" t="n">
        <v>88550000</v>
      </c>
      <c r="CQ24" s="141" t="n">
        <v>45986</v>
      </c>
      <c r="CR24" s="141" t="n">
        <v>45989</v>
      </c>
      <c r="CS24" s="63" t="n">
        <v>23226020</v>
      </c>
      <c r="CT24" s="64" t="n">
        <v>230732000</v>
      </c>
      <c r="CU24" s="64" t="n">
        <v>105660000</v>
      </c>
      <c r="CV24" s="59" t="inlineStr">
        <is>
          <t>Unqualified opinion (true and fair view)</t>
        </is>
      </c>
      <c r="CW24" s="64" t="n">
        <v>38800000</v>
      </c>
      <c r="CX24" s="51" t="inlineStr">
        <is>
          <t>NA</t>
        </is>
      </c>
      <c r="CY24" s="142" t="n">
        <v>0</v>
      </c>
      <c r="CZ24" s="136" t="inlineStr">
        <is>
          <t>NA</t>
        </is>
      </c>
      <c r="DA24" s="143" t="n">
        <v>7324.29</v>
      </c>
      <c r="DB24" s="63" t="n">
        <v>173139</v>
      </c>
      <c r="DC24" s="63" t="n">
        <v>4069376000</v>
      </c>
      <c r="DD24" s="59" t="inlineStr">
        <is>
          <t>Subscription level 7,324.29 times</t>
        </is>
      </c>
      <c r="DE24" s="141" t="n">
        <v>45992</v>
      </c>
      <c r="DF24" s="141" t="n">
        <v>45993</v>
      </c>
      <c r="DG24" s="63" t="n">
        <v>5555600</v>
      </c>
      <c r="DH24" s="63" t="n">
        <v>555600</v>
      </c>
      <c r="DI24" s="63" t="n">
        <v>5000000</v>
      </c>
      <c r="DJ24" s="63" t="n">
        <v>0</v>
      </c>
      <c r="DK24" s="169" t="n">
        <v>0</v>
      </c>
      <c r="DL24" s="59" t="inlineStr">
        <is>
          <t>NA</t>
        </is>
      </c>
      <c r="DM24" s="144" t="n">
        <v>182160000</v>
      </c>
      <c r="DN24" s="142" t="n">
        <v>0.3045</v>
      </c>
      <c r="DO24" s="51" t="n">
        <v>55555600</v>
      </c>
      <c r="DP24" s="142" t="n">
        <v>0.1</v>
      </c>
      <c r="DQ24" s="59" t="inlineStr">
        <is>
          <t>Free float denominator = total issued Shares upon Listing (col_CZ = 55,555,600); numerator = H Shares issued under the Global Offering (5,555,600), all held by the public with no disposal restrictions; no cornerstone allocation to deduct</t>
        </is>
      </c>
      <c r="DR24" s="63" t="n">
        <v>55555600</v>
      </c>
      <c r="DS24" s="142" t="n">
        <v>-0.016959</v>
      </c>
      <c r="DT24" s="80" t="n">
        <v>31</v>
      </c>
      <c r="DU24" s="142" t="n">
        <v>0.026256</v>
      </c>
      <c r="DV24" s="144" t="n">
        <v>54212000000</v>
      </c>
      <c r="DW24" s="145" t="n">
        <v>54.5</v>
      </c>
      <c r="DX24" s="169" t="n">
        <v>0.3625</v>
      </c>
      <c r="DY24" s="172" t="n">
        <v>80556200</v>
      </c>
      <c r="DZ24" s="146" t="n">
        <v>64.8</v>
      </c>
      <c r="EA24" s="146" t="n">
        <v>78.65000000000001</v>
      </c>
      <c r="EB24" s="146" t="n">
        <v>49.3</v>
      </c>
      <c r="EC24" s="63" t="n">
        <v>2556200</v>
      </c>
      <c r="ED24" s="169" t="n">
        <v>0.460112</v>
      </c>
      <c r="EE24" s="64" t="n"/>
      <c r="EF24" s="60" t="inlineStr">
        <is>
          <t>Mechanism B</t>
        </is>
      </c>
      <c r="EG24" s="59" t="inlineStr">
        <is>
          <t>FINI (from 22/11/2023); 2025-08-04 pricing reform (Mechanism A/B; six-month cornerstone lock-up retained); this IPO: Mechanism B</t>
        </is>
      </c>
      <c r="EH24" t="inlineStr">
        <is>
          <t>乐摩科技服务股份有限公司</t>
        </is>
      </c>
      <c r="EI24" s="174" t="inlineStr">
        <is>
          <t>Active</t>
        </is>
      </c>
      <c r="EJ24" s="175" t="n">
        <v>36.421</v>
      </c>
      <c r="EK24" s="176" t="n">
        <v>-0.324549</v>
      </c>
      <c r="EL24" s="176" t="n">
        <v>-0.079698</v>
      </c>
      <c r="EM24" s="176" t="n">
        <v>0.022427</v>
      </c>
      <c r="EN24" s="176" t="n">
        <v>0.036409</v>
      </c>
      <c r="EO24" s="179" t="n">
        <v>0.6606</v>
      </c>
      <c r="EP24" s="179" t="n">
        <v>0.6516999999999999</v>
      </c>
      <c r="EQ24" s="178" t="n">
        <v>21752797.5</v>
      </c>
      <c r="ER24" s="175" t="n">
        <v>14.69</v>
      </c>
      <c r="ES24" s="176" t="n">
        <v>-0.727564</v>
      </c>
      <c r="ET24" s="176" t="n">
        <v>-0.628806</v>
      </c>
      <c r="EU24" s="176" t="n">
        <v>-0.00495</v>
      </c>
      <c r="EV24" s="176" t="n">
        <v>-0.086352</v>
      </c>
      <c r="EW24" s="179" t="n">
        <v>0.2738</v>
      </c>
      <c r="EX24" s="179" t="n">
        <v>0.2982</v>
      </c>
      <c r="EY24" s="178" t="n">
        <v>392498.5</v>
      </c>
      <c r="EZ24" s="176" t="n">
        <v>0.002522</v>
      </c>
      <c r="FA24" s="176" t="n"/>
      <c r="FB24" s="179" t="n"/>
      <c r="FC24" s="176" t="n"/>
      <c r="FD24" s="179" t="n"/>
      <c r="FE24" s="174" t="inlineStr">
        <is>
          <t>Standard</t>
        </is>
      </c>
      <c r="FF24" s="181" t="n"/>
      <c r="FG24" s="185" t="n"/>
      <c r="FH24" s="183" t="n"/>
      <c r="FI24" s="178" t="n"/>
      <c r="FJ24" s="176" t="n"/>
      <c r="FK24" s="185" t="n"/>
      <c r="FL24" s="178" t="n"/>
      <c r="FM24" s="176" t="n"/>
      <c r="FN24" s="176" t="n"/>
      <c r="FO24" s="176" t="n"/>
      <c r="FP24" s="176" t="n"/>
      <c r="FQ24" s="176" t="n">
        <v>0.250366</v>
      </c>
      <c r="FR24" s="179" t="n">
        <v>1.2664</v>
      </c>
      <c r="FS24" s="176" t="n">
        <v>-0.324549</v>
      </c>
      <c r="FT24" s="179" t="n">
        <v>0.6606</v>
      </c>
      <c r="FU24" s="176" t="n">
        <v>-0.688044</v>
      </c>
      <c r="FV24" s="179" t="n">
        <v>0.3119</v>
      </c>
      <c r="FW24" s="179" t="n">
        <v>0.3541</v>
      </c>
      <c r="FX24" s="178" t="n">
        <v>14709691.02</v>
      </c>
      <c r="FY24" s="186" t="n">
        <v>0.04586383333333333</v>
      </c>
      <c r="FZ24" s="183" t="n">
        <v>0</v>
      </c>
      <c r="GA24" s="176" t="n">
        <v>0.08611244942087982</v>
      </c>
      <c r="GB24" s="176" t="n">
        <v>0.82765</v>
      </c>
      <c r="GC24" s="185" t="n"/>
      <c r="GD24" s="185" t="n"/>
      <c r="GE24" s="176" t="n"/>
      <c r="GF24" s="176" t="n"/>
      <c r="GG24" s="179" t="n"/>
      <c r="GH24" s="181" t="inlineStr">
        <is>
          <t>China Securities (International) Corporate Finance Company Limited</t>
        </is>
      </c>
      <c r="GI24" s="183" t="n">
        <v>2</v>
      </c>
      <c r="GJ24" s="183" t="n">
        <v>0</v>
      </c>
      <c r="GK24" s="176" t="n">
        <v>0.025</v>
      </c>
      <c r="GL24" s="176" t="n"/>
      <c r="GM24" s="176" t="n"/>
      <c r="GN24" s="183" t="n">
        <v>0</v>
      </c>
      <c r="GO24" s="183" t="n">
        <v>0</v>
      </c>
      <c r="GP24" s="183" t="n">
        <v>0</v>
      </c>
      <c r="GQ24" s="183" t="n">
        <v>8</v>
      </c>
      <c r="GR24" s="183" t="n">
        <v>0</v>
      </c>
      <c r="GS24" s="181" t="inlineStr">
        <is>
          <t>POST_FINI</t>
        </is>
      </c>
      <c r="GT24" s="181" t="inlineStr">
        <is>
          <t>POST_2025_REFORM</t>
        </is>
      </c>
    </row>
    <row r="25" ht="51" customFormat="1" customHeight="1" s="11">
      <c r="A25" s="43" t="n">
        <v>93</v>
      </c>
      <c r="B25" s="47" t="inlineStr">
        <is>
          <t>2693.HK</t>
        </is>
      </c>
      <c r="C25" s="44" t="inlineStr">
        <is>
          <t>ANHUI JINYAN KAOLIN NEW MATERIALS CO., LTD. 
- H shares</t>
        </is>
      </c>
      <c r="D25" s="130" t="n">
        <v>45986</v>
      </c>
      <c r="E25" s="48" t="n">
        <v>45994</v>
      </c>
      <c r="F25" s="43" t="inlineStr">
        <is>
          <t>Guoyuan Capital (Hong Kong) Limited /
CMBC International Capital Limited</t>
        </is>
      </c>
      <c r="G25" s="43" t="inlineStr">
        <is>
          <t>Ernst &amp; Young</t>
        </is>
      </c>
      <c r="H25" s="43" t="inlineStr">
        <is>
          <t>Asia-Pacific Consulting and Appraisal Limited</t>
        </is>
      </c>
      <c r="I25" s="131" t="n">
        <v>17739000</v>
      </c>
      <c r="J25" s="148" t="n">
        <v>159651000</v>
      </c>
      <c r="K25" s="133" t="n">
        <v>7.3</v>
      </c>
      <c r="L25" t="n">
        <v>97194316</v>
      </c>
      <c r="M25" s="67" t="n">
        <v>24300000</v>
      </c>
      <c r="N25" t="n">
        <v>72894316</v>
      </c>
      <c r="O25" t="n">
        <v>72894316</v>
      </c>
      <c r="P25" t="n">
        <v>0</v>
      </c>
      <c r="Q25" t="n">
        <v>24300000</v>
      </c>
      <c r="R25" s="67" t="n">
        <v>21870000</v>
      </c>
      <c r="S25" s="67" t="n">
        <v>2430000</v>
      </c>
      <c r="T25" s="147" t="n">
        <v>7.3</v>
      </c>
      <c r="U25" s="147" t="n">
        <v>7.3</v>
      </c>
      <c r="V25" s="169" t="n">
        <v>0</v>
      </c>
      <c r="W25" s="169" t="n">
        <v>0</v>
      </c>
      <c r="X25" s="170" t="inlineStr">
        <is>
          <t>Fixed price</t>
        </is>
      </c>
      <c r="Y25" s="26" t="inlineStr">
        <is>
          <t>RMB</t>
        </is>
      </c>
      <c r="Z25" s="137" t="n">
        <v>739003000</v>
      </c>
      <c r="AA25" s="137" t="n">
        <v>926715000</v>
      </c>
      <c r="AB25" s="137" t="n">
        <v>914417000</v>
      </c>
      <c r="AC25" s="137" t="n">
        <v>407690000</v>
      </c>
      <c r="AD25" s="137" t="n">
        <v>460292000</v>
      </c>
      <c r="AE25" s="137" t="n">
        <v>478324000</v>
      </c>
      <c r="AF25" s="137" t="n">
        <v>331313000</v>
      </c>
      <c r="AG25" s="137" t="n">
        <v>466423000</v>
      </c>
      <c r="AH25" s="137" t="n">
        <v>436093000</v>
      </c>
      <c r="AI25" s="137" t="n">
        <v>204687000</v>
      </c>
      <c r="AJ25" s="137" t="n">
        <v>267142000</v>
      </c>
      <c r="AK25" s="137" t="n">
        <v>251757600</v>
      </c>
      <c r="AL25" s="137" t="n">
        <v>50001000</v>
      </c>
      <c r="AM25" s="137" t="n">
        <v>59490000</v>
      </c>
      <c r="AN25" s="137" t="n">
        <v>49269600</v>
      </c>
      <c r="AO25" s="137" t="n">
        <v>43617000</v>
      </c>
      <c r="AP25" s="137" t="n">
        <v>52602000</v>
      </c>
      <c r="AQ25" s="137" t="n">
        <v>43276800</v>
      </c>
      <c r="AR25" s="142" t="n">
        <v>0.026</v>
      </c>
      <c r="AS25" s="142" t="n">
        <v>0.026</v>
      </c>
      <c r="AT25" s="84" t="n">
        <v>0.15</v>
      </c>
      <c r="AU25" s="51" t="inlineStr">
        <is>
          <t>Coal-series kaolin mining, R&amp;D, processing, production and sales; precision casting mullite products, refractory mullite products, raw coke and raw powder and ceramic fiber</t>
        </is>
      </c>
      <c r="AV25" s="51" t="inlineStr">
        <is>
          <t>Main Board - profit test under Rule 8.05(1) of the Listing Rules</t>
        </is>
      </c>
      <c r="AW25" s="136" t="n">
        <v>45808</v>
      </c>
      <c r="AX25" s="137" t="n">
        <v>27519000</v>
      </c>
      <c r="AY25" s="117" t="n">
        <v>62478000</v>
      </c>
      <c r="AZ25" s="117" t="n">
        <v>4131000</v>
      </c>
      <c r="BA25" s="117" t="n">
        <v>0</v>
      </c>
      <c r="BB25" s="138" t="n">
        <v>0.245</v>
      </c>
      <c r="BC25" s="139" t="n">
        <v>0.416667</v>
      </c>
      <c r="BD25" s="80" t="inlineStr">
        <is>
          <t>NaN</t>
        </is>
      </c>
      <c r="BE25" s="161" t="inlineStr">
        <is>
          <t>NaN</t>
        </is>
      </c>
      <c r="BF25" s="161" t="inlineStr">
        <is>
          <t>NaN</t>
        </is>
      </c>
      <c r="BG25" s="161" t="inlineStr">
        <is>
          <t>NaN</t>
        </is>
      </c>
      <c r="BH25" s="161" t="inlineStr">
        <is>
          <t>NaN</t>
        </is>
      </c>
      <c r="BI25" s="161" t="inlineStr">
        <is>
          <t>NaN</t>
        </is>
      </c>
      <c r="BJ25" s="162" t="inlineStr">
        <is>
          <t>NA</t>
        </is>
      </c>
      <c r="BK25" s="163" t="inlineStr">
        <is>
          <t>NaN</t>
        </is>
      </c>
      <c r="BL25" s="161" t="inlineStr">
        <is>
          <t>NaN</t>
        </is>
      </c>
      <c r="BM25" s="164" t="inlineStr">
        <is>
          <t>NA</t>
        </is>
      </c>
      <c r="BN25" s="165" t="inlineStr">
        <is>
          <t>NaN</t>
        </is>
      </c>
      <c r="BO25" s="51" t="inlineStr">
        <is>
          <t>国资委</t>
        </is>
      </c>
      <c r="BP25" s="135" t="n">
        <v>0.75</v>
      </c>
      <c r="BQ25" s="135" t="n">
        <v>0.75</v>
      </c>
      <c r="BR25" s="137" t="n">
        <v>265466000</v>
      </c>
      <c r="BS25" s="51" t="inlineStr">
        <is>
          <t>Mass commercial production (established production and commercial sales of precision casting mullite and refractory mullite products)</t>
        </is>
      </c>
      <c r="BT25" s="142" t="n">
        <v>0.006</v>
      </c>
      <c r="BU25" s="60" t="inlineStr">
        <is>
          <t>Main Board</t>
        </is>
      </c>
      <c r="BV25" s="89" t="inlineStr">
        <is>
          <t>H Shares</t>
        </is>
      </c>
      <c r="BW25" s="61" t="n">
        <v>0</v>
      </c>
      <c r="BX25" s="77" t="n">
        <v>0</v>
      </c>
      <c r="BY25" s="77" t="n">
        <v>0</v>
      </c>
      <c r="BZ25" s="78" t="n">
        <v>0</v>
      </c>
      <c r="CA25" s="60" t="inlineStr">
        <is>
          <t>052040</t>
        </is>
      </c>
      <c r="CB25" s="76" t="inlineStr">
        <is>
          <t>HSICS (Hang Seng Industry Classification System) 2026</t>
        </is>
      </c>
      <c r="CC25" s="140" t="n">
        <v>41207</v>
      </c>
      <c r="CD25" s="171" t="n">
        <v>13.11</v>
      </c>
      <c r="CE25" s="76" t="inlineStr">
        <is>
          <t>PRC</t>
        </is>
      </c>
      <c r="CF25" s="89" t="inlineStr">
        <is>
          <t>Huaibei, Anhui Province, PRC</t>
        </is>
      </c>
      <c r="CG25" s="91" t="n">
        <v>1000</v>
      </c>
      <c r="CH25" s="60" t="inlineStr">
        <is>
          <t>IFRS Accounting Standards</t>
        </is>
      </c>
      <c r="CI25" s="141" t="n">
        <v>44927</v>
      </c>
      <c r="CJ25" s="141" t="n">
        <v>45291</v>
      </c>
      <c r="CK25" s="141" t="n">
        <v>45292</v>
      </c>
      <c r="CL25" s="141" t="n">
        <v>45657</v>
      </c>
      <c r="CM25" s="141" t="n">
        <v>45658</v>
      </c>
      <c r="CN25" s="64" t="n">
        <v>104899000</v>
      </c>
      <c r="CO25" s="64" t="n">
        <v>20529000</v>
      </c>
      <c r="CP25" s="64" t="n">
        <v>18032000</v>
      </c>
      <c r="CQ25" s="141" t="n">
        <v>45986</v>
      </c>
      <c r="CR25" s="141" t="n">
        <v>45989</v>
      </c>
      <c r="CS25" s="63" t="n">
        <v>24300000</v>
      </c>
      <c r="CT25" s="64" t="n">
        <v>37274000</v>
      </c>
      <c r="CU25" s="64" t="n">
        <v>25449000</v>
      </c>
      <c r="CV25" s="59" t="inlineStr">
        <is>
          <t>Unqualified opinion</t>
        </is>
      </c>
      <c r="CW25" s="64" t="n">
        <v>53100000</v>
      </c>
      <c r="CX25" s="51" t="inlineStr">
        <is>
          <t>Pingmei Shenma (Hong Kong) International Investment Limited; Hong Kong Chuangli Yingtai Investment Limited; Hong Kong Jinyuan Industry and Trade Limited; Degao Mining Technology Limited</t>
        </is>
      </c>
      <c r="CY25" s="142" t="n">
        <v>0.4297</v>
      </c>
      <c r="CZ25" s="136" t="n">
        <v>46176</v>
      </c>
      <c r="DA25" s="143" t="n">
        <v>6876.17</v>
      </c>
      <c r="DB25" s="63" t="n">
        <v>167039</v>
      </c>
      <c r="DC25" s="63" t="n">
        <v>16709093000</v>
      </c>
      <c r="DD25" s="59" t="inlineStr">
        <is>
          <t>Subscription level 6,876.17 times</t>
        </is>
      </c>
      <c r="DE25" s="141" t="inlineStr">
        <is>
          <t>NA</t>
        </is>
      </c>
      <c r="DF25" s="141" t="n">
        <v>45993</v>
      </c>
      <c r="DG25" s="63" t="n">
        <v>24300000</v>
      </c>
      <c r="DH25" s="63" t="n">
        <v>2430000</v>
      </c>
      <c r="DI25" s="63" t="n">
        <v>21870000</v>
      </c>
      <c r="DJ25" s="63" t="n">
        <v>0</v>
      </c>
      <c r="DK25" s="169" t="n">
        <v>0</v>
      </c>
      <c r="DL25" s="59" t="inlineStr">
        <is>
          <t>Claw-back triggered: No; the final number of Offer Shares under the Hong Kong Public Offering remained 2,430,000, being 10.00% of the Global Offering.</t>
        </is>
      </c>
      <c r="DM25" s="144" t="n">
        <v>124300000</v>
      </c>
      <c r="DN25" s="142" t="n">
        <v>0.25</v>
      </c>
      <c r="DO25" s="51" t="n">
        <v>97194316</v>
      </c>
      <c r="DP25" s="142" t="n">
        <v>0.1426</v>
      </c>
      <c r="DQ25" s="59" t="inlineStr">
        <is>
          <t>Free float denominator = total issued shares upon listing (col_CZ); numerator = offer shares minus cornerstone allocation</t>
        </is>
      </c>
      <c r="DR25" s="63" t="n">
        <v>97194316</v>
      </c>
      <c r="DS25" s="142" t="n">
        <v>-0.016959</v>
      </c>
      <c r="DT25" s="80" t="n">
        <v>31</v>
      </c>
      <c r="DU25" s="142" t="n">
        <v>0.026256</v>
      </c>
      <c r="DV25" s="144" t="n">
        <v>54212000000</v>
      </c>
      <c r="DW25" s="145" t="n">
        <v>7.46</v>
      </c>
      <c r="DX25" s="169" t="n">
        <v>0.021918</v>
      </c>
      <c r="DY25" s="172" t="n">
        <v>3888000</v>
      </c>
      <c r="DZ25" s="146" t="n">
        <v>9.300000000000001</v>
      </c>
      <c r="EA25" s="146" t="n">
        <v>9.800000000000001</v>
      </c>
      <c r="EB25" s="146" t="n">
        <v>7.25</v>
      </c>
      <c r="EC25" s="63" t="n">
        <v>11290500</v>
      </c>
      <c r="ED25" s="169" t="n">
        <v>0.46463</v>
      </c>
      <c r="EE25" s="64" t="n"/>
      <c r="EF25" s="60" t="inlineStr">
        <is>
          <t>Mechanism B</t>
        </is>
      </c>
      <c r="EG25" s="59" t="inlineStr">
        <is>
          <t>FINI (from 22/11/2023); 2025-08-04 pricing reform (Mechanism A/B; six-month cornerstone lock-up retained); this IPO: Mechanism B</t>
        </is>
      </c>
      <c r="EH25" t="inlineStr">
        <is>
          <t>安徽金岩高岭土新材料股份有限公司</t>
        </is>
      </c>
      <c r="EI25" s="174" t="inlineStr">
        <is>
          <t>Active</t>
        </is>
      </c>
      <c r="EJ25" s="175" t="n">
        <v>4.271</v>
      </c>
      <c r="EK25" s="176" t="n">
        <v>-0.406888</v>
      </c>
      <c r="EL25" s="176" t="n">
        <v>-0.393888</v>
      </c>
      <c r="EM25" s="176" t="n">
        <v>0.022427</v>
      </c>
      <c r="EN25" s="176" t="n">
        <v>0.036409</v>
      </c>
      <c r="EO25" s="179" t="n">
        <v>0.5800999999999999</v>
      </c>
      <c r="EP25" s="179" t="n">
        <v>0.5723</v>
      </c>
      <c r="EQ25" s="178" t="n">
        <v>10640382</v>
      </c>
      <c r="ER25" s="175" t="n">
        <v>3.7</v>
      </c>
      <c r="ES25" s="176" t="n">
        <v>-0.486182</v>
      </c>
      <c r="ET25" s="176" t="n">
        <v>-0.474921</v>
      </c>
      <c r="EU25" s="176" t="n">
        <v>-0.00495</v>
      </c>
      <c r="EV25" s="176" t="n">
        <v>-0.086352</v>
      </c>
      <c r="EW25" s="179" t="n">
        <v>0.5164</v>
      </c>
      <c r="EX25" s="179" t="n">
        <v>0.5624</v>
      </c>
      <c r="EY25" s="178" t="n">
        <v>59220.5</v>
      </c>
      <c r="EZ25" s="176" t="n">
        <v>0.000595</v>
      </c>
      <c r="FA25" s="176" t="n"/>
      <c r="FB25" s="179" t="n"/>
      <c r="FC25" s="176" t="n"/>
      <c r="FD25" s="179" t="n"/>
      <c r="FE25" s="174" t="inlineStr">
        <is>
          <t>Standard</t>
        </is>
      </c>
      <c r="FF25" s="181" t="n"/>
      <c r="FG25" s="185" t="n"/>
      <c r="FH25" s="183" t="n"/>
      <c r="FI25" s="178" t="n"/>
      <c r="FJ25" s="176" t="n"/>
      <c r="FK25" s="185" t="n"/>
      <c r="FL25" s="178" t="n"/>
      <c r="FM25" s="176" t="n"/>
      <c r="FN25" s="176" t="n"/>
      <c r="FO25" s="176" t="n"/>
      <c r="FP25" s="176" t="n"/>
      <c r="FQ25" s="176" t="n">
        <v>-0.077767</v>
      </c>
      <c r="FR25" s="179" t="n">
        <v>0.9341</v>
      </c>
      <c r="FS25" s="176" t="n">
        <v>-0.406888</v>
      </c>
      <c r="FT25" s="179" t="n">
        <v>0.5800999999999999</v>
      </c>
      <c r="FU25" s="176" t="n">
        <v>-0.374948</v>
      </c>
      <c r="FV25" s="179" t="n">
        <v>0.6249</v>
      </c>
      <c r="FW25" s="179" t="n">
        <v>0.7094</v>
      </c>
      <c r="FX25" s="178" t="n">
        <v>4160245.25</v>
      </c>
      <c r="FY25" s="186" t="n">
        <v>0.2146037916666667</v>
      </c>
      <c r="FZ25" s="183" t="n">
        <v>0</v>
      </c>
      <c r="GA25" s="176" t="n">
        <v>0.03597314479850278</v>
      </c>
      <c r="GB25" s="176" t="n">
        <v>0.618384</v>
      </c>
      <c r="GC25" s="185" t="n"/>
      <c r="GD25" s="185" t="n"/>
      <c r="GE25" s="176" t="n"/>
      <c r="GF25" s="176" t="n"/>
      <c r="GG25" s="179" t="n"/>
      <c r="GH25" s="181" t="inlineStr">
        <is>
          <t>Guoyuan Capital (Hong Kong) Limited</t>
        </is>
      </c>
      <c r="GI25" s="183" t="n">
        <v>2</v>
      </c>
      <c r="GJ25" s="183" t="n">
        <v>1</v>
      </c>
      <c r="GK25" s="176" t="n">
        <v>0.026</v>
      </c>
      <c r="GL25" s="176" t="n"/>
      <c r="GM25" s="176" t="n"/>
      <c r="GN25" s="183" t="n">
        <v>4</v>
      </c>
      <c r="GO25" s="183" t="n">
        <v>1</v>
      </c>
      <c r="GP25" s="183" t="n">
        <v>0</v>
      </c>
      <c r="GQ25" s="183" t="n">
        <v>0</v>
      </c>
      <c r="GR25" s="183" t="n">
        <v>0</v>
      </c>
      <c r="GS25" s="181" t="inlineStr">
        <is>
          <t>POST_FINI</t>
        </is>
      </c>
      <c r="GT25" s="181" t="inlineStr">
        <is>
          <t>POST_2025_REFORM</t>
        </is>
      </c>
    </row>
    <row r="26" ht="34" customFormat="1" customHeight="1" s="11">
      <c r="A26" s="43" t="n">
        <v>96</v>
      </c>
      <c r="B26" s="47" t="inlineStr">
        <is>
          <t>2408.HK</t>
        </is>
      </c>
      <c r="C26" s="44" t="inlineStr">
        <is>
          <t>Guangzhou Xiao Noodles Catering Management Co., Ltd.- H shares</t>
        </is>
      </c>
      <c r="D26" s="130" t="n">
        <v>45988</v>
      </c>
      <c r="E26" s="48" t="n">
        <v>45996</v>
      </c>
      <c r="F26" s="43" t="inlineStr">
        <is>
          <t>CMB International Capital Limited</t>
        </is>
      </c>
      <c r="G26" s="43" t="inlineStr">
        <is>
          <t>KPMG</t>
        </is>
      </c>
      <c r="H26" s="43" t="n"/>
      <c r="I26" s="131" t="n">
        <v>68544960</v>
      </c>
      <c r="J26" s="148" t="n">
        <v>616901120</v>
      </c>
      <c r="K26" s="133" t="n">
        <v>7.04</v>
      </c>
      <c r="L26" t="n">
        <v>710689300</v>
      </c>
      <c r="M26" s="67" t="n">
        <v>97364500</v>
      </c>
      <c r="N26" t="n">
        <v>613324800</v>
      </c>
      <c r="O26" t="n">
        <v>613324800</v>
      </c>
      <c r="P26" t="n">
        <v>0</v>
      </c>
      <c r="Q26" t="n">
        <v>97364500</v>
      </c>
      <c r="R26" s="67" t="n">
        <v>87628000</v>
      </c>
      <c r="S26" s="67" t="n">
        <v>9736500</v>
      </c>
      <c r="T26" s="147" t="n">
        <v>7.04</v>
      </c>
      <c r="U26" s="147" t="n">
        <v>5.64</v>
      </c>
      <c r="V26" s="169" t="n">
        <v>0.11041</v>
      </c>
      <c r="W26" s="169" t="n">
        <v>0.22082</v>
      </c>
      <c r="X26" s="170" t="inlineStr">
        <is>
          <t>At high</t>
        </is>
      </c>
      <c r="Y26" s="26" t="inlineStr">
        <is>
          <t>RMB</t>
        </is>
      </c>
      <c r="Z26" s="137" t="n">
        <v>842497000</v>
      </c>
      <c r="AA26" s="137" t="n">
        <v>1161133000</v>
      </c>
      <c r="AB26" s="137" t="n">
        <v>1208906000</v>
      </c>
      <c r="AC26" s="137" t="n">
        <v>53793000</v>
      </c>
      <c r="AD26" s="137" t="n">
        <v>117777000</v>
      </c>
      <c r="AE26" s="137" t="n">
        <v>147090000</v>
      </c>
      <c r="AF26" s="137" t="n">
        <v>788704000</v>
      </c>
      <c r="AG26" s="137" t="n">
        <v>1043356000</v>
      </c>
      <c r="AH26" s="137" t="n">
        <v>1061816000</v>
      </c>
      <c r="AI26" s="137" t="n">
        <v>800514000</v>
      </c>
      <c r="AJ26" s="137" t="n">
        <v>1154434000</v>
      </c>
      <c r="AK26" s="137" t="n">
        <v>1406370000</v>
      </c>
      <c r="AL26" s="137" t="n">
        <v>57138000</v>
      </c>
      <c r="AM26" s="137" t="n">
        <v>74881000</v>
      </c>
      <c r="AN26" s="137" t="n">
        <v>104592000</v>
      </c>
      <c r="AO26" s="137" t="n">
        <v>45914000</v>
      </c>
      <c r="AP26" s="137" t="n">
        <v>60700000</v>
      </c>
      <c r="AQ26" s="137" t="n">
        <v>83668000</v>
      </c>
      <c r="AR26" s="142" t="n">
        <v>0.03</v>
      </c>
      <c r="AS26" s="142" t="n">
        <v>0.03</v>
      </c>
      <c r="AT26" s="84" t="n">
        <v>0.05</v>
      </c>
      <c r="AU26" s="51" t="inlineStr">
        <is>
          <t>Chinese noodle restaurant operator</t>
        </is>
      </c>
      <c r="AV26" s="51" t="inlineStr">
        <is>
          <t>Main Board - Rule 8.05(2) market capitalisation/revenue/cash flow test</t>
        </is>
      </c>
      <c r="AW26" s="136" t="n">
        <v>45838</v>
      </c>
      <c r="AX26" s="137" t="n">
        <v>202051000</v>
      </c>
      <c r="AY26" s="117" t="n">
        <v>50032000</v>
      </c>
      <c r="AZ26" s="117" t="inlineStr">
        <is>
          <t>NaN</t>
        </is>
      </c>
      <c r="BA26" s="117" t="inlineStr">
        <is>
          <t>NaN</t>
        </is>
      </c>
      <c r="BB26" s="138" t="n">
        <v>0.042</v>
      </c>
      <c r="BC26" s="139" t="n">
        <v>0.5</v>
      </c>
      <c r="BD26" s="80" t="n">
        <v>1</v>
      </c>
      <c r="BE26" s="161" t="n">
        <v>1</v>
      </c>
      <c r="BF26" s="161" t="n">
        <v>1</v>
      </c>
      <c r="BG26" s="161" t="n">
        <v>1</v>
      </c>
      <c r="BH26" s="161" t="inlineStr">
        <is>
          <t>NaN</t>
        </is>
      </c>
      <c r="BI26" s="161" t="n">
        <v>1</v>
      </c>
      <c r="BJ26" s="162" t="inlineStr">
        <is>
          <t>Wonderful Dawn Holdings Limited; Pinxin Yuegu; Huibi No. 1; Huibi No. 2; Qingcong Capital; Mr. Gu Dongsheng; Mr. Gao Defu; Mr. Wei Chuanfa; Mr. Du Ming</t>
        </is>
      </c>
      <c r="BK26" s="163" t="n">
        <v>0.3425</v>
      </c>
      <c r="BL26" s="161" t="n">
        <v>1</v>
      </c>
      <c r="BM26" s="164" t="inlineStr">
        <is>
          <t>Angel Investment</t>
        </is>
      </c>
      <c r="BN26" s="165" t="n">
        <v>11.16</v>
      </c>
      <c r="BO26" s="51" t="inlineStr">
        <is>
          <t>自然人</t>
        </is>
      </c>
      <c r="BP26" s="135" t="n">
        <v>0.4598</v>
      </c>
      <c r="BQ26" s="135" t="n">
        <v>0.4598</v>
      </c>
      <c r="BR26" s="137" t="n">
        <v>762224000</v>
      </c>
      <c r="BS26" s="51" t="inlineStr">
        <is>
          <t>NA</t>
        </is>
      </c>
      <c r="BT26" s="142" t="n">
        <v>0</v>
      </c>
      <c r="BU26" s="60" t="inlineStr">
        <is>
          <t>Main Board</t>
        </is>
      </c>
      <c r="BV26" s="89" t="inlineStr">
        <is>
          <t>H Shares</t>
        </is>
      </c>
      <c r="BW26" s="61" t="n">
        <v>0</v>
      </c>
      <c r="BX26" s="77" t="n">
        <v>0</v>
      </c>
      <c r="BY26" s="77" t="n">
        <v>0</v>
      </c>
      <c r="BZ26" s="78" t="n">
        <v>0</v>
      </c>
      <c r="CA26" s="60" t="inlineStr">
        <is>
          <t>234060</t>
        </is>
      </c>
      <c r="CB26" s="76" t="inlineStr">
        <is>
          <t>HSICS (Hang Seng Industry Classification System) 2026</t>
        </is>
      </c>
      <c r="CC26" s="140" t="n">
        <v>41684</v>
      </c>
      <c r="CD26" s="171" t="n">
        <v>11.81</v>
      </c>
      <c r="CE26" s="76" t="inlineStr">
        <is>
          <t>PRC</t>
        </is>
      </c>
      <c r="CF26" s="89" t="inlineStr">
        <is>
          <t>Guangzhou, Guangdong province, China</t>
        </is>
      </c>
      <c r="CG26" s="91" t="n"/>
      <c r="CH26" s="60" t="inlineStr">
        <is>
          <t>IFRS Accounting Standards</t>
        </is>
      </c>
      <c r="CI26" s="141" t="n">
        <v>44927</v>
      </c>
      <c r="CJ26" s="141" t="n">
        <v>45291</v>
      </c>
      <c r="CK26" s="141" t="n">
        <v>45292</v>
      </c>
      <c r="CL26" s="141" t="n">
        <v>45657</v>
      </c>
      <c r="CM26" s="141" t="n">
        <v>45658</v>
      </c>
      <c r="CN26" s="64" t="n">
        <v>703185000</v>
      </c>
      <c r="CO26" s="64" t="n">
        <v>52296000</v>
      </c>
      <c r="CP26" s="64" t="n">
        <v>41834000</v>
      </c>
      <c r="CQ26" s="141" t="n">
        <v>45988</v>
      </c>
      <c r="CR26" s="141" t="n">
        <v>45993</v>
      </c>
      <c r="CS26" s="63" t="n">
        <v>710689300</v>
      </c>
      <c r="CT26" s="64" t="inlineStr">
        <is>
          <t>NaN</t>
        </is>
      </c>
      <c r="CU26" s="64" t="n">
        <v>53662000</v>
      </c>
      <c r="CV26" s="59" t="inlineStr">
        <is>
          <t>Unqualified opinion</t>
        </is>
      </c>
      <c r="CW26" s="64" t="n">
        <v>65700000</v>
      </c>
      <c r="CX26" s="51" t="inlineStr">
        <is>
          <t>HHLR Advisors, Ltd.; Guotai Junan Investments (Hong Kong) Limited; Dream'ee (Hong Kong) Open-ended Fund Company; Hong Kong Shengying Investment Limited; Zeta Wisdom OFC; Hai Di Lao Holdings Pte. Ltd.</t>
        </is>
      </c>
      <c r="CY26" s="142" t="n">
        <v>0.2495</v>
      </c>
      <c r="CZ26" s="136" t="n">
        <v>46178</v>
      </c>
      <c r="DA26" s="143" t="n">
        <v>425.97</v>
      </c>
      <c r="DB26" s="63" t="n">
        <v>61057</v>
      </c>
      <c r="DC26" s="63" t="n">
        <v>4147499500</v>
      </c>
      <c r="DD26" s="59" t="inlineStr">
        <is>
          <t>Subscription level 425.97 times</t>
        </is>
      </c>
      <c r="DE26" s="141" t="n">
        <v>45994</v>
      </c>
      <c r="DF26" s="141" t="n">
        <v>45995</v>
      </c>
      <c r="DG26" s="63" t="n">
        <v>97364500</v>
      </c>
      <c r="DH26" s="63" t="n">
        <v>9736500</v>
      </c>
      <c r="DI26" s="63" t="n">
        <v>87628000</v>
      </c>
      <c r="DJ26" s="63" t="n">
        <v>0</v>
      </c>
      <c r="DK26" s="169" t="n">
        <v>0</v>
      </c>
      <c r="DL26" s="59" t="inlineStr">
        <is>
          <t>Reallocation: No. No. of Offer Shares reallocated from the International Offering: 0</t>
        </is>
      </c>
      <c r="DM26" s="144" t="n">
        <v>617000000</v>
      </c>
      <c r="DN26" s="142" t="n">
        <v>0.4069</v>
      </c>
      <c r="DO26" s="51" t="n">
        <v>710689300</v>
      </c>
      <c r="DP26" s="142" t="n">
        <v>0.1028</v>
      </c>
      <c r="DQ26" s="59" t="inlineStr">
        <is>
          <t>Free float numerator = Offer Shares allotted to investors who are not core connected persons and not subject to disposal restrictions; H Shares held by all existing Shareholders and the Cornerstone Investors are excluded from the free float; denominator = total issued Shares upon Listing.</t>
        </is>
      </c>
      <c r="DR26" s="63" t="n">
        <v>710689300</v>
      </c>
      <c r="DS26" s="142" t="n">
        <v>-0.01586802</v>
      </c>
      <c r="DT26" s="80" t="n">
        <v>30</v>
      </c>
      <c r="DU26" s="142" t="n">
        <v>0.0297768</v>
      </c>
      <c r="DV26" s="144" t="n">
        <v>54229000000</v>
      </c>
      <c r="DW26" s="145" t="n">
        <v>5.08</v>
      </c>
      <c r="DX26" s="169" t="n">
        <v>-0.278409</v>
      </c>
      <c r="DY26" s="172" t="n">
        <v>-190834420</v>
      </c>
      <c r="DZ26" s="146" t="n">
        <v>5</v>
      </c>
      <c r="EA26" s="146" t="n">
        <v>5.5</v>
      </c>
      <c r="EB26" s="146" t="n">
        <v>4.98</v>
      </c>
      <c r="EC26" s="63" t="n">
        <v>36041420</v>
      </c>
      <c r="ED26" s="169" t="n">
        <v>0.37017</v>
      </c>
      <c r="EE26" s="64" t="n"/>
      <c r="EF26" s="60" t="inlineStr">
        <is>
          <t>Mechanism B</t>
        </is>
      </c>
      <c r="EG26" s="59" t="inlineStr">
        <is>
          <t>FINI (from 22/11/2023); 2025-08-04 pricing reform (Mechanism A/B; six-month cornerstone lock-up retained); this IPO: Mechanism B</t>
        </is>
      </c>
      <c r="EH26" t="inlineStr">
        <is>
          <t>广州遇见小面餐饮股份有限公司</t>
        </is>
      </c>
      <c r="EI26" s="174" t="inlineStr">
        <is>
          <t>Active</t>
        </is>
      </c>
      <c r="EJ26" s="175" t="n">
        <v>4.296</v>
      </c>
      <c r="EK26" s="176" t="n">
        <v>-0.148633</v>
      </c>
      <c r="EL26" s="176" t="n">
        <v>-0.385661</v>
      </c>
      <c r="EM26" s="176" t="n">
        <v>0.023974</v>
      </c>
      <c r="EN26" s="176" t="n">
        <v>0.028751</v>
      </c>
      <c r="EO26" s="179" t="n">
        <v>0.8314</v>
      </c>
      <c r="EP26" s="179" t="n">
        <v>0.8276</v>
      </c>
      <c r="EQ26" s="178" t="n">
        <v>15383958</v>
      </c>
      <c r="ER26" s="175" t="n">
        <v>4.316</v>
      </c>
      <c r="ES26" s="176" t="n">
        <v>-0.144669</v>
      </c>
      <c r="ET26" s="176" t="n">
        <v>-0.382801</v>
      </c>
      <c r="EU26" s="176" t="n">
        <v>-0.043056</v>
      </c>
      <c r="EV26" s="176" t="n">
        <v>-0.136702</v>
      </c>
      <c r="EW26" s="179" t="n">
        <v>0.8938</v>
      </c>
      <c r="EX26" s="179" t="n">
        <v>0.9908</v>
      </c>
      <c r="EY26" s="178" t="n">
        <v>4648987.5</v>
      </c>
      <c r="EZ26" s="176" t="n">
        <v>0.024225</v>
      </c>
      <c r="FA26" s="176" t="n"/>
      <c r="FB26" s="179" t="n"/>
      <c r="FC26" s="176" t="n"/>
      <c r="FD26" s="179" t="n"/>
      <c r="FE26" s="174" t="inlineStr">
        <is>
          <t>Standard</t>
        </is>
      </c>
      <c r="FF26" s="181" t="n"/>
      <c r="FG26" s="185" t="n"/>
      <c r="FH26" s="183" t="n"/>
      <c r="FI26" s="178" t="n"/>
      <c r="FJ26" s="176" t="n"/>
      <c r="FK26" s="185" t="n"/>
      <c r="FL26" s="178" t="n"/>
      <c r="FM26" s="176" t="n"/>
      <c r="FN26" s="176" t="n"/>
      <c r="FO26" s="176" t="n"/>
      <c r="FP26" s="176" t="n"/>
      <c r="FQ26" s="176" t="n">
        <v>-0.015854</v>
      </c>
      <c r="FR26" s="179" t="n">
        <v>1.0055</v>
      </c>
      <c r="FS26" s="176" t="n">
        <v>-0.148633</v>
      </c>
      <c r="FT26" s="179" t="n">
        <v>0.8314</v>
      </c>
      <c r="FU26" s="176" t="n">
        <v>-0.057471</v>
      </c>
      <c r="FV26" s="179" t="n">
        <v>0.971</v>
      </c>
      <c r="FW26" s="179" t="n">
        <v>1.1127</v>
      </c>
      <c r="FX26" s="178" t="n">
        <v>7748507.12</v>
      </c>
      <c r="FY26" s="186" t="n">
        <v>0.009204733333333333</v>
      </c>
      <c r="FZ26" s="183" t="n">
        <v>0</v>
      </c>
      <c r="GA26" s="176" t="n">
        <v>0.0366825760044092</v>
      </c>
      <c r="GB26" s="176" t="n">
        <v>0.337972</v>
      </c>
      <c r="GC26" s="185" t="n"/>
      <c r="GD26" s="185" t="n"/>
      <c r="GE26" s="176" t="n"/>
      <c r="GF26" s="176" t="n"/>
      <c r="GG26" s="179" t="n"/>
      <c r="GH26" s="181" t="inlineStr">
        <is>
          <t>CMB International Capital Limited</t>
        </is>
      </c>
      <c r="GI26" s="183" t="n">
        <v>1</v>
      </c>
      <c r="GJ26" s="183" t="n">
        <v>1</v>
      </c>
      <c r="GK26" s="176" t="n">
        <v>0.03</v>
      </c>
      <c r="GL26" s="176" t="n"/>
      <c r="GM26" s="176" t="n"/>
      <c r="GN26" s="183" t="n">
        <v>7</v>
      </c>
      <c r="GO26" s="183" t="n">
        <v>1</v>
      </c>
      <c r="GP26" s="183" t="n">
        <v>0</v>
      </c>
      <c r="GQ26" s="183" t="n">
        <v>9</v>
      </c>
      <c r="GR26" s="183" t="n">
        <v>1</v>
      </c>
      <c r="GS26" s="181" t="inlineStr">
        <is>
          <t>POST_FINI</t>
        </is>
      </c>
      <c r="GT26" s="181" t="inlineStr">
        <is>
          <t>POST_2025_REFORM</t>
        </is>
      </c>
    </row>
    <row r="27" ht="51" customFormat="1" customHeight="1" s="11">
      <c r="A27" s="43" t="n">
        <v>95</v>
      </c>
      <c r="B27" s="47" t="inlineStr">
        <is>
          <t>2658.HK</t>
        </is>
      </c>
      <c r="C27" s="44" t="inlineStr">
        <is>
          <t>Guangdong Tianyu Semiconductor Co., Ltd. 
- H shares</t>
        </is>
      </c>
      <c r="D27" s="130" t="n">
        <v>45988</v>
      </c>
      <c r="E27" s="48" t="n">
        <v>45996</v>
      </c>
      <c r="F27" s="43" t="inlineStr">
        <is>
          <t>CITIC Securities (Hong Kong) Limited</t>
        </is>
      </c>
      <c r="G27" s="43" t="inlineStr">
        <is>
          <t>KPMG</t>
        </is>
      </c>
      <c r="H27" s="43" t="inlineStr">
        <is>
          <t>Jones Lang LaSalle Corporate Appraisal and Advisory Limited</t>
        </is>
      </c>
      <c r="I27" s="131" t="n">
        <v>174408900</v>
      </c>
      <c r="J27" s="148" t="n">
        <v>1569680100</v>
      </c>
      <c r="K27" s="133" t="n">
        <v>58</v>
      </c>
      <c r="L27" t="n">
        <v>393268511</v>
      </c>
      <c r="M27" s="67" t="n">
        <v>30070500</v>
      </c>
      <c r="N27" t="n">
        <v>363198011</v>
      </c>
      <c r="O27" t="n">
        <v>363198011</v>
      </c>
      <c r="P27" t="n">
        <v>0</v>
      </c>
      <c r="Q27" t="n">
        <v>30070500</v>
      </c>
      <c r="R27" s="67" t="n">
        <v>27063450</v>
      </c>
      <c r="S27" s="67" t="n">
        <v>3007050</v>
      </c>
      <c r="T27" s="147" t="n">
        <v>58</v>
      </c>
      <c r="U27" s="147" t="n">
        <v>58</v>
      </c>
      <c r="V27" s="169" t="n">
        <v>0</v>
      </c>
      <c r="W27" s="169" t="n">
        <v>0</v>
      </c>
      <c r="X27" s="170" t="inlineStr">
        <is>
          <t>Fixed price</t>
        </is>
      </c>
      <c r="Y27" s="26" t="inlineStr">
        <is>
          <t>RMB</t>
        </is>
      </c>
      <c r="Z27" s="137" t="n">
        <v>3043023000</v>
      </c>
      <c r="AA27" s="137" t="n">
        <v>3479553000</v>
      </c>
      <c r="AB27" s="137" t="n">
        <v>3556606000</v>
      </c>
      <c r="AC27" s="137" t="n">
        <v>1696695000</v>
      </c>
      <c r="AD27" s="137" t="n">
        <v>1219609000</v>
      </c>
      <c r="AE27" s="137" t="n">
        <v>1239998000</v>
      </c>
      <c r="AF27" s="137" t="n">
        <v>1346328000</v>
      </c>
      <c r="AG27" s="137" t="n">
        <v>2259944000</v>
      </c>
      <c r="AH27" s="137" t="n">
        <v>2316608000</v>
      </c>
      <c r="AI27" s="137" t="n">
        <v>1171214000</v>
      </c>
      <c r="AJ27" s="137" t="n">
        <v>519622000</v>
      </c>
      <c r="AK27" s="137" t="n">
        <v>616406400</v>
      </c>
      <c r="AL27" s="137" t="n">
        <v>111009000</v>
      </c>
      <c r="AM27" s="137" t="n">
        <v>-589188000</v>
      </c>
      <c r="AN27" s="137" t="n">
        <v>27816000</v>
      </c>
      <c r="AO27" s="137" t="n">
        <v>95882000</v>
      </c>
      <c r="AP27" s="137" t="n">
        <v>-500252000</v>
      </c>
      <c r="AQ27" s="137" t="n">
        <v>22836000</v>
      </c>
      <c r="AR27" s="142" t="n">
        <v>0.0198</v>
      </c>
      <c r="AS27" s="142" t="n">
        <v>0.0198</v>
      </c>
      <c r="AT27" s="84" t="n">
        <v>0.15</v>
      </c>
      <c r="AU27" s="51" t="inlineStr">
        <is>
          <t>Manufacturing of silicon carbide (SiC) epitaxial wafers; provision of SiC epitaxial foundry services</t>
        </is>
      </c>
      <c r="AV27" s="51" t="inlineStr">
        <is>
          <t>Main Board, Rule 8.05(3) market capitalization/revenue test (PRC issuer under Chapter 19A)</t>
        </is>
      </c>
      <c r="AW27" s="136" t="n">
        <v>45808</v>
      </c>
      <c r="AX27" s="137" t="n">
        <v>61092000</v>
      </c>
      <c r="AY27" s="117" t="n">
        <v>95349000</v>
      </c>
      <c r="AZ27" s="117" t="n">
        <v>19874000</v>
      </c>
      <c r="BA27" s="117" t="n">
        <v>84000</v>
      </c>
      <c r="BB27" s="138" t="n">
        <v>0.618</v>
      </c>
      <c r="BC27" s="139" t="n">
        <v>0.416667</v>
      </c>
      <c r="BD27" s="80" t="n">
        <v>1</v>
      </c>
      <c r="BE27" s="161" t="n">
        <v>1</v>
      </c>
      <c r="BF27" s="161" t="n">
        <v>1</v>
      </c>
      <c r="BG27" s="161" t="n">
        <v>1</v>
      </c>
      <c r="BH27" s="161" t="n">
        <v>1</v>
      </c>
      <c r="BI27" s="161" t="inlineStr">
        <is>
          <t>NaN</t>
        </is>
      </c>
      <c r="BJ27" s="162" t="inlineStr">
        <is>
          <t>Habo Technology; Shangqi Huizhu; BYD; Jiaxing Qiying; Chuangqi Kaiying; Dazhong Industrial; Jiaxing Haiyu; Yibin Chendao; Chengyi Xinrui; Chaoxing Capital; Fupu Investment; Jinyun Tianyu; China-Belgium Fund; Yueke Xintai; Yongyue Chengzhang; Chunyang Jiutai; Liwan Investment; Qingyi Xinyang; Zhongguangyuan; Liwan Youxuan; Guanshun Investment; Guanling Investment; Zhongshan Lianxin; Huanyu Investment; Liwan Beizeng; Liderang; Huatuo Hefu; Bozhong Innovation; Runfu Investment</t>
        </is>
      </c>
      <c r="BK27" s="163" t="n">
        <v>0.211174</v>
      </c>
      <c r="BL27" s="161" t="n">
        <v>1</v>
      </c>
      <c r="BM27" s="164" t="inlineStr">
        <is>
          <t>July 2021 Capital Increase</t>
        </is>
      </c>
      <c r="BN27" s="165" t="n">
        <v>4.5</v>
      </c>
      <c r="BO27" s="51" t="inlineStr">
        <is>
          <t>Natural person (Mr. Li Xiguang and Mr. Au Yeung Chung, acting in concert)</t>
        </is>
      </c>
      <c r="BP27" s="135" t="n">
        <v>0.538954</v>
      </c>
      <c r="BQ27" s="135" t="n">
        <v>0.538954</v>
      </c>
      <c r="BR27" s="137" t="n">
        <v>1905383000</v>
      </c>
      <c r="BS27" s="51" t="inlineStr">
        <is>
          <t>Mass commercialisation (mass production of 4-inch and 6-inch SiC epitaxial wafers since 2014 and 2018; capability to mass produce 8-inch since 2023)</t>
        </is>
      </c>
      <c r="BT27" s="142" t="n">
        <v>0</v>
      </c>
      <c r="BU27" s="60" t="inlineStr">
        <is>
          <t>Main Board</t>
        </is>
      </c>
      <c r="BV27" s="89" t="inlineStr">
        <is>
          <t>H Shares</t>
        </is>
      </c>
      <c r="BW27" s="61" t="n">
        <v>0</v>
      </c>
      <c r="BX27" s="77" t="n">
        <v>0</v>
      </c>
      <c r="BY27" s="77" t="n">
        <v>0</v>
      </c>
      <c r="BZ27" s="78" t="n">
        <v>0</v>
      </c>
      <c r="CA27" s="60" t="inlineStr">
        <is>
          <t>703020</t>
        </is>
      </c>
      <c r="CB27" s="76" t="inlineStr">
        <is>
          <t>HSICS (Hang Seng Industry Classification System) 2026</t>
        </is>
      </c>
      <c r="CC27" s="140" t="n">
        <v>39820</v>
      </c>
      <c r="CD27" s="171" t="n">
        <v>16.91</v>
      </c>
      <c r="CE27" s="76" t="inlineStr">
        <is>
          <t>PRC</t>
        </is>
      </c>
      <c r="CF27" s="89" t="inlineStr">
        <is>
          <t>Dongguan, Guangdong Province, the PRC</t>
        </is>
      </c>
      <c r="CG27" s="91" t="n"/>
      <c r="CH27" s="60" t="inlineStr">
        <is>
          <t>IFRS Accounting Standards</t>
        </is>
      </c>
      <c r="CI27" s="141" t="n">
        <v>44927</v>
      </c>
      <c r="CJ27" s="141" t="n">
        <v>45291</v>
      </c>
      <c r="CK27" s="141" t="n">
        <v>45292</v>
      </c>
      <c r="CL27" s="141" t="n">
        <v>45657</v>
      </c>
      <c r="CM27" s="141" t="n">
        <v>45658</v>
      </c>
      <c r="CN27" s="64" t="n">
        <v>256836000</v>
      </c>
      <c r="CO27" s="64" t="n">
        <v>11590000</v>
      </c>
      <c r="CP27" s="64" t="n">
        <v>9515000</v>
      </c>
      <c r="CQ27" s="141" t="n">
        <v>45988</v>
      </c>
      <c r="CR27" s="141" t="n">
        <v>45993</v>
      </c>
      <c r="CS27" s="63" t="n">
        <v>58990426</v>
      </c>
      <c r="CT27" s="64" t="n">
        <v>57765000</v>
      </c>
      <c r="CU27" s="64" t="n">
        <v>215499000</v>
      </c>
      <c r="CV27" s="59" t="inlineStr">
        <is>
          <t>Unqualified opinion</t>
        </is>
      </c>
      <c r="CW27" s="64" t="n">
        <v>73000000</v>
      </c>
      <c r="CX27" s="51" t="inlineStr">
        <is>
          <t>Guangdong Primitive Forest Fund Management Co., Ltd and GF Global Capital Limited (in connection with the OTC Swaps); Glory Ocean Innovation Limited</t>
        </is>
      </c>
      <c r="CY27" s="142" t="n">
        <v>0.0926</v>
      </c>
      <c r="CZ27" s="136" t="n">
        <v>46178</v>
      </c>
      <c r="DA27" s="143" t="n">
        <v>60.63</v>
      </c>
      <c r="DB27" s="63" t="n">
        <v>45511</v>
      </c>
      <c r="DC27" s="63" t="n">
        <v>182302700</v>
      </c>
      <c r="DD27" s="59" t="inlineStr">
        <is>
          <t>Subscription level 60.63 times</t>
        </is>
      </c>
      <c r="DE27" s="141" t="inlineStr">
        <is>
          <t>NA</t>
        </is>
      </c>
      <c r="DF27" s="141" t="n">
        <v>45996</v>
      </c>
      <c r="DG27" s="63" t="n">
        <v>30070500</v>
      </c>
      <c r="DH27" s="63" t="n">
        <v>3007050</v>
      </c>
      <c r="DI27" s="63" t="n">
        <v>27063450</v>
      </c>
      <c r="DJ27" s="63" t="n">
        <v>0</v>
      </c>
      <c r="DK27" s="169" t="n">
        <v>0</v>
      </c>
      <c r="DL27" s="59" t="inlineStr">
        <is>
          <t>Claw-back triggered No; final no. of Offer Shares under the Public Offer 3,007,050; % of Offer Shares under the Public Offer to the Global Offering 10%</t>
        </is>
      </c>
      <c r="DM27" s="144" t="n">
        <v>1673100000</v>
      </c>
      <c r="DN27" s="142" t="n">
        <v>0.15</v>
      </c>
      <c r="DO27" s="51" t="n">
        <v>393268511</v>
      </c>
      <c r="DP27" s="142" t="n">
        <v>0.0694</v>
      </c>
      <c r="DQ27" s="59" t="inlineStr">
        <is>
          <t>Free float denominator = total issued shares upon listing (col_CZ); numerator = offer shares minus cornerstone allocation</t>
        </is>
      </c>
      <c r="DR27" s="63" t="n">
        <v>393268511</v>
      </c>
      <c r="DS27" s="142" t="n">
        <v>-0.01586802</v>
      </c>
      <c r="DT27" s="80" t="n">
        <v>30</v>
      </c>
      <c r="DU27" s="142" t="n">
        <v>0.0297768</v>
      </c>
      <c r="DV27" s="144" t="n">
        <v>54229000000</v>
      </c>
      <c r="DW27" s="145" t="n">
        <v>40.5</v>
      </c>
      <c r="DX27" s="169" t="n">
        <v>-0.301724</v>
      </c>
      <c r="DY27" s="172" t="n">
        <v>-526233750</v>
      </c>
      <c r="DZ27" s="146" t="n">
        <v>38</v>
      </c>
      <c r="EA27" s="146" t="n">
        <v>47.84</v>
      </c>
      <c r="EB27" s="146" t="n">
        <v>38</v>
      </c>
      <c r="EC27" s="63" t="n">
        <v>3726088</v>
      </c>
      <c r="ED27" s="169" t="n">
        <v>0.123912</v>
      </c>
      <c r="EE27" s="64" t="n"/>
      <c r="EF27" s="60" t="inlineStr">
        <is>
          <t>Mechanism B</t>
        </is>
      </c>
      <c r="EG27" s="59" t="inlineStr">
        <is>
          <t>FINI (from 22/11/2023); 2025-08-04 pricing reform (Mechanism A/B; six-month cornerstone lock-up retained); this IPO: Mechanism B</t>
        </is>
      </c>
      <c r="EH27" t="inlineStr">
        <is>
          <t>广东天域半导体股份有限公司</t>
        </is>
      </c>
      <c r="EI27" s="174" t="inlineStr">
        <is>
          <t>Active</t>
        </is>
      </c>
      <c r="EJ27" s="175" t="n">
        <v>47</v>
      </c>
      <c r="EK27" s="176" t="n">
        <v>0.160494</v>
      </c>
      <c r="EL27" s="176" t="n">
        <v>-0.189655</v>
      </c>
      <c r="EM27" s="176" t="n">
        <v>0.023974</v>
      </c>
      <c r="EN27" s="176" t="n">
        <v>0.028751</v>
      </c>
      <c r="EO27" s="179" t="n">
        <v>1.1333</v>
      </c>
      <c r="EP27" s="179" t="n">
        <v>1.1281</v>
      </c>
      <c r="EQ27" s="178" t="n">
        <v>28888370</v>
      </c>
      <c r="ER27" s="175" t="n">
        <v>47.18</v>
      </c>
      <c r="ES27" s="176" t="n">
        <v>0.164938</v>
      </c>
      <c r="ET27" s="176" t="n">
        <v>-0.186552</v>
      </c>
      <c r="EU27" s="176" t="n">
        <v>-0.043056</v>
      </c>
      <c r="EV27" s="176" t="n">
        <v>-0.136702</v>
      </c>
      <c r="EW27" s="179" t="n">
        <v>1.2174</v>
      </c>
      <c r="EX27" s="179" t="n">
        <v>1.3494</v>
      </c>
      <c r="EY27" s="178" t="n">
        <v>30454440</v>
      </c>
      <c r="EZ27" s="176" t="n">
        <v>0.182555</v>
      </c>
      <c r="FA27" s="176" t="n"/>
      <c r="FB27" s="179" t="n"/>
      <c r="FC27" s="176" t="n"/>
      <c r="FD27" s="179" t="n"/>
      <c r="FE27" s="174" t="inlineStr">
        <is>
          <t>Standard</t>
        </is>
      </c>
      <c r="FF27" s="181" t="n"/>
      <c r="FG27" s="185" t="n"/>
      <c r="FH27" s="183" t="n"/>
      <c r="FI27" s="178" t="n"/>
      <c r="FJ27" s="176" t="n"/>
      <c r="FK27" s="185" t="n"/>
      <c r="FL27" s="178" t="n"/>
      <c r="FM27" s="176" t="n"/>
      <c r="FN27" s="176" t="n"/>
      <c r="FO27" s="176" t="n"/>
      <c r="FP27" s="176" t="n"/>
      <c r="FQ27" s="176" t="n">
        <v>0.129877</v>
      </c>
      <c r="FR27" s="179" t="n">
        <v>1.1544</v>
      </c>
      <c r="FS27" s="176" t="n">
        <v>0.160494</v>
      </c>
      <c r="FT27" s="179" t="n">
        <v>1.1333</v>
      </c>
      <c r="FU27" s="176" t="n">
        <v>0.165432</v>
      </c>
      <c r="FV27" s="179" t="n">
        <v>1.2006</v>
      </c>
      <c r="FW27" s="179" t="n">
        <v>1.3759</v>
      </c>
      <c r="FX27" s="178" t="n">
        <v>17331628.81</v>
      </c>
      <c r="FY27" s="186" t="n">
        <v>0.004179391666666666</v>
      </c>
      <c r="FZ27" s="183" t="n">
        <v>0</v>
      </c>
      <c r="GA27" s="176" t="n">
        <v>0.06005105745467011</v>
      </c>
      <c r="GB27" s="176" t="n">
        <v>0.297388</v>
      </c>
      <c r="GC27" s="185" t="n"/>
      <c r="GD27" s="185" t="n"/>
      <c r="GE27" s="176" t="n"/>
      <c r="GF27" s="176" t="n"/>
      <c r="GG27" s="179" t="n"/>
      <c r="GH27" s="181" t="inlineStr">
        <is>
          <t>CITIC Securities (Hong Kong) Limited</t>
        </is>
      </c>
      <c r="GI27" s="183" t="n">
        <v>1</v>
      </c>
      <c r="GJ27" s="183" t="n">
        <v>0</v>
      </c>
      <c r="GK27" s="176" t="n">
        <v>0.0198</v>
      </c>
      <c r="GL27" s="176" t="n"/>
      <c r="GM27" s="176" t="n"/>
      <c r="GN27" s="183" t="n">
        <v>3</v>
      </c>
      <c r="GO27" s="183" t="n">
        <v>1</v>
      </c>
      <c r="GP27" s="183" t="n">
        <v>0</v>
      </c>
      <c r="GQ27" s="183" t="n">
        <v>29</v>
      </c>
      <c r="GR27" s="183" t="n">
        <v>1</v>
      </c>
      <c r="GS27" s="181" t="inlineStr">
        <is>
          <t>POST_FINI</t>
        </is>
      </c>
      <c r="GT27" s="181" t="inlineStr">
        <is>
          <t>POST_2025_REFORM</t>
        </is>
      </c>
    </row>
    <row r="28" ht="51" customFormat="1" customHeight="1" s="11">
      <c r="A28" s="43" t="n">
        <v>98</v>
      </c>
      <c r="B28" s="47" t="inlineStr">
        <is>
          <t>2676.HK</t>
        </is>
      </c>
      <c r="C28" s="44" t="inlineStr">
        <is>
          <t>Suzhou Novosense Microelectronics Co., Ltd. 
- H shares</t>
        </is>
      </c>
      <c r="D28" s="130" t="n">
        <v>45989</v>
      </c>
      <c r="E28" s="48" t="n">
        <v>45999</v>
      </c>
      <c r="F28" s="43" t="inlineStr">
        <is>
          <t>China International Capital Corporation
Hong Kong Securities Limited /
CITIC Securities (Hong Kong) Limited /
CCB International Capital Limited</t>
        </is>
      </c>
      <c r="G28" s="43" t="inlineStr">
        <is>
          <t>KPMG</t>
        </is>
      </c>
      <c r="H28" s="43" t="n"/>
      <c r="I28" s="131" t="n">
        <v>221200400</v>
      </c>
      <c r="J28" s="148" t="n">
        <v>2109819600</v>
      </c>
      <c r="K28" s="133" t="n">
        <v>116</v>
      </c>
      <c r="L28" t="n">
        <v>161596833</v>
      </c>
      <c r="M28" s="67" t="n">
        <v>19068400</v>
      </c>
      <c r="N28" t="n">
        <v>142528433</v>
      </c>
      <c r="O28" t="n">
        <v>142528433</v>
      </c>
      <c r="P28" t="n">
        <v>0</v>
      </c>
      <c r="Q28" t="n">
        <v>19068400</v>
      </c>
      <c r="R28" s="67" t="n">
        <v>17161500</v>
      </c>
      <c r="S28" s="67" t="n">
        <v>1906900</v>
      </c>
      <c r="T28" s="147" t="n">
        <v>116</v>
      </c>
      <c r="U28" s="147" t="inlineStr">
        <is>
          <t>NaN</t>
        </is>
      </c>
      <c r="V28" s="169" t="n">
        <v>0</v>
      </c>
      <c r="W28" s="169" t="n">
        <v>0</v>
      </c>
      <c r="X28" s="170" t="inlineStr">
        <is>
          <t>Fixed price</t>
        </is>
      </c>
      <c r="Y28" s="26" t="inlineStr">
        <is>
          <t>RMB</t>
        </is>
      </c>
      <c r="Z28" s="137" t="n">
        <v>7156314000</v>
      </c>
      <c r="AA28" s="137" t="n">
        <v>7673576000</v>
      </c>
      <c r="AB28" s="137" t="n">
        <v>7609850000</v>
      </c>
      <c r="AC28" s="137" t="n">
        <v>6207522000</v>
      </c>
      <c r="AD28" s="137" t="n">
        <v>5947114000</v>
      </c>
      <c r="AE28" s="137" t="n">
        <v>5917816000</v>
      </c>
      <c r="AF28" s="137" t="n">
        <v>948792000</v>
      </c>
      <c r="AG28" s="137" t="n">
        <v>1726462000</v>
      </c>
      <c r="AH28" s="137" t="n">
        <v>1692034000</v>
      </c>
      <c r="AI28" s="137" t="n">
        <v>1310927000</v>
      </c>
      <c r="AJ28" s="137" t="n">
        <v>1960274000</v>
      </c>
      <c r="AK28" s="137" t="n">
        <v>3047330000</v>
      </c>
      <c r="AL28" s="137" t="n">
        <v>-297060000</v>
      </c>
      <c r="AM28" s="137" t="n">
        <v>-404155000</v>
      </c>
      <c r="AN28" s="137" t="n">
        <v>-179204000</v>
      </c>
      <c r="AO28" s="137" t="n">
        <v>-305335000</v>
      </c>
      <c r="AP28" s="137" t="n">
        <v>-402878000</v>
      </c>
      <c r="AQ28" s="137" t="n">
        <v>-156020000</v>
      </c>
      <c r="AR28" s="142" t="n">
        <v>0.025</v>
      </c>
      <c r="AS28" s="142" t="n">
        <v>0.025</v>
      </c>
      <c r="AT28" s="84" t="n">
        <v>0.15</v>
      </c>
      <c r="AU28" s="51" t="inlineStr">
        <is>
          <t>Fabless analog IC design company: R&amp;D and design of sensor products, signal chain chips and power management chips for automotive electronics, energy and industrial automation and consumer electronics</t>
        </is>
      </c>
      <c r="AV28" s="51" t="inlineStr">
        <is>
          <t>Main Board listing of H Shares by a PRC joint stock company (A+H issuer)</t>
        </is>
      </c>
      <c r="AW28" s="136" t="n">
        <v>45838</v>
      </c>
      <c r="AX28" s="137" t="n">
        <v>-307665000</v>
      </c>
      <c r="AY28" s="117" t="n">
        <v>713114000</v>
      </c>
      <c r="AZ28" s="117" t="n">
        <v>361282000</v>
      </c>
      <c r="BA28" s="117" t="inlineStr">
        <is>
          <t>NaN</t>
        </is>
      </c>
      <c r="BB28" s="138" t="n">
        <v>0.288</v>
      </c>
      <c r="BC28" s="139" t="n">
        <v>0.5</v>
      </c>
      <c r="BD28" s="80" t="n">
        <v>1</v>
      </c>
      <c r="BE28" s="161" t="n">
        <v>1</v>
      </c>
      <c r="BF28" s="161" t="inlineStr">
        <is>
          <t>NaN</t>
        </is>
      </c>
      <c r="BG28" s="161" t="inlineStr">
        <is>
          <t>NaN</t>
        </is>
      </c>
      <c r="BH28" s="161" t="inlineStr">
        <is>
          <t>NaN</t>
        </is>
      </c>
      <c r="BI28" s="161" t="inlineStr">
        <is>
          <t>NaN</t>
        </is>
      </c>
      <c r="BJ28" s="162" t="inlineStr">
        <is>
          <t>Suzhou Guorun Ruiqi Venture Capital Enterprise (Limited Partnership); Shanghai Wulianwang Venture Capital Fund Partnership (Limited Partnership); Shenzhen Shangyun Sensing Investment Partnership Enterprise (Limited Partnership)</t>
        </is>
      </c>
      <c r="BK28" s="163" t="inlineStr">
        <is>
          <t>NaN</t>
        </is>
      </c>
      <c r="BL28" s="161" t="inlineStr">
        <is>
          <t>NaN</t>
        </is>
      </c>
      <c r="BM28" s="164" t="inlineStr">
        <is>
          <t>NA</t>
        </is>
      </c>
      <c r="BN28" s="165" t="inlineStr">
        <is>
          <t>NaN</t>
        </is>
      </c>
      <c r="BO28" s="51" t="inlineStr">
        <is>
          <t>No controlling shareholder; Single Largest Shareholder Group of Mr. Wang Shengyang, Mr. Sheng Yun, Mr. Wang Yifeng and their vehicles (natural persons acting in concert)</t>
        </is>
      </c>
      <c r="BP28" s="135" t="n">
        <v>0.2744</v>
      </c>
      <c r="BQ28" s="135" t="n">
        <v>0.2746</v>
      </c>
      <c r="BR28" s="137" t="n">
        <v>892378000</v>
      </c>
      <c r="BS28" s="51" t="inlineStr">
        <is>
          <t>Mass production / commercialised (fabless analog IC design house; automotive-qualified products in volume production)</t>
        </is>
      </c>
      <c r="BT28" s="142" t="n">
        <v>0</v>
      </c>
      <c r="BU28" s="60" t="inlineStr">
        <is>
          <t>Main Board</t>
        </is>
      </c>
      <c r="BV28" s="89" t="inlineStr">
        <is>
          <t>H Shares</t>
        </is>
      </c>
      <c r="BW28" s="61" t="n">
        <v>1</v>
      </c>
      <c r="BX28" s="77" t="n">
        <v>0</v>
      </c>
      <c r="BY28" s="77" t="n">
        <v>0</v>
      </c>
      <c r="BZ28" s="78" t="n">
        <v>0</v>
      </c>
      <c r="CA28" s="60" t="inlineStr">
        <is>
          <t>703010</t>
        </is>
      </c>
      <c r="CB28" s="76" t="inlineStr">
        <is>
          <t>HSICS (Hang Seng Industry Classification System) 2026</t>
        </is>
      </c>
      <c r="CC28" s="140" t="n">
        <v>41411</v>
      </c>
      <c r="CD28" s="171" t="n">
        <v>12.56</v>
      </c>
      <c r="CE28" s="76" t="inlineStr">
        <is>
          <t>PRC</t>
        </is>
      </c>
      <c r="CF28" s="89" t="inlineStr">
        <is>
          <t>Suzhou Industrial Park, Jiangsu Province, PRC</t>
        </is>
      </c>
      <c r="CG28" s="91" t="n"/>
      <c r="CH28" s="60" t="inlineStr">
        <is>
          <t>IFRS Accounting Standards</t>
        </is>
      </c>
      <c r="CI28" s="141" t="n">
        <v>44927</v>
      </c>
      <c r="CJ28" s="141" t="n">
        <v>45291</v>
      </c>
      <c r="CK28" s="141" t="n">
        <v>45292</v>
      </c>
      <c r="CL28" s="141" t="n">
        <v>45657</v>
      </c>
      <c r="CM28" s="141" t="n">
        <v>45658</v>
      </c>
      <c r="CN28" s="64" t="n">
        <v>1523665000</v>
      </c>
      <c r="CO28" s="64" t="n">
        <v>-89602000</v>
      </c>
      <c r="CP28" s="64" t="n">
        <v>-78010000</v>
      </c>
      <c r="CQ28" s="141" t="n">
        <v>45989</v>
      </c>
      <c r="CR28" s="141" t="n">
        <v>45994</v>
      </c>
      <c r="CS28" s="63" t="n">
        <v>19068400</v>
      </c>
      <c r="CT28" s="64" t="n">
        <v>500672000</v>
      </c>
      <c r="CU28" s="64" t="n">
        <v>144376000</v>
      </c>
      <c r="CV28" s="59" t="inlineStr">
        <is>
          <t>Unqualified opinion (true and fair view)</t>
        </is>
      </c>
      <c r="CW28" s="64" t="n">
        <v>115600000</v>
      </c>
      <c r="CX28" s="51" t="inlineStr">
        <is>
          <t>Oriza Naxin; Golden Link; Hield International; Perseverance Asset Management; 3W Fund; Green Better; Dream’ee HK Fund</t>
        </is>
      </c>
      <c r="CY28" s="142" t="n">
        <v>0.4923</v>
      </c>
      <c r="CZ28" s="136" t="n">
        <v>46181</v>
      </c>
      <c r="DA28" s="143" t="n">
        <v>25.33</v>
      </c>
      <c r="DB28" s="63" t="n">
        <v>21942</v>
      </c>
      <c r="DC28" s="63" t="n">
        <v>48301200</v>
      </c>
      <c r="DD28" s="59" t="inlineStr">
        <is>
          <t>Subscription level 25.33 times</t>
        </is>
      </c>
      <c r="DE28" s="141" t="n">
        <v>45995</v>
      </c>
      <c r="DF28" s="141" t="n">
        <v>45996</v>
      </c>
      <c r="DG28" s="63" t="n">
        <v>19068400</v>
      </c>
      <c r="DH28" s="63" t="n">
        <v>1906900</v>
      </c>
      <c r="DI28" s="63" t="n">
        <v>17161500</v>
      </c>
      <c r="DJ28" s="63" t="n">
        <v>1026600</v>
      </c>
      <c r="DK28" s="169" t="n">
        <v>0.358918</v>
      </c>
      <c r="DL28" s="59" t="inlineStr">
        <is>
          <t>Claw-back triggered: No</t>
        </is>
      </c>
      <c r="DM28" s="144" t="n">
        <v>2096400000</v>
      </c>
      <c r="DN28" s="142" t="n">
        <v>0.1181</v>
      </c>
      <c r="DO28" s="51" t="n">
        <v>161596833</v>
      </c>
      <c r="DP28" s="142" t="n">
        <v>0.0599</v>
      </c>
      <c r="DQ28" s="59" t="inlineStr">
        <is>
          <t>Free float denominator = total issued shares upon listing (col_CZ); numerator = offer shares minus cornerstone allocation</t>
        </is>
      </c>
      <c r="DR28" s="63" t="n">
        <v>161596833</v>
      </c>
      <c r="DS28" s="142" t="n">
        <v>-0.012813</v>
      </c>
      <c r="DT28" s="80" t="n">
        <v>31</v>
      </c>
      <c r="DU28" s="142" t="n">
        <v>0.032428</v>
      </c>
      <c r="DV28" s="144" t="n">
        <v>53995000000</v>
      </c>
      <c r="DW28" s="145" t="n">
        <v>111</v>
      </c>
      <c r="DX28" s="169" t="n">
        <v>-0.043103</v>
      </c>
      <c r="DY28" s="172" t="n">
        <v>-95342000</v>
      </c>
      <c r="DZ28" s="146" t="n">
        <v>116</v>
      </c>
      <c r="EA28" s="146" t="n">
        <v>116</v>
      </c>
      <c r="EB28" s="146" t="n">
        <v>105.2</v>
      </c>
      <c r="EC28" s="63" t="n">
        <v>2014583</v>
      </c>
      <c r="ED28" s="169" t="n">
        <v>0.10565</v>
      </c>
      <c r="EE28" s="64" t="n"/>
      <c r="EF28" s="60" t="inlineStr">
        <is>
          <t>Mechanism B</t>
        </is>
      </c>
      <c r="EG28" s="59" t="inlineStr">
        <is>
          <t>FINI (from 22/11/2023); 2025-08-04 pricing reform (Mechanism A/B; six-month cornerstone lock-up retained); this IPO: Mechanism B</t>
        </is>
      </c>
      <c r="EH28" t="inlineStr">
        <is>
          <t>苏州纳芯微电子股份有限公司</t>
        </is>
      </c>
      <c r="EI28" s="174" t="inlineStr">
        <is>
          <t>Active</t>
        </is>
      </c>
      <c r="EJ28" s="175" t="n">
        <v>142.9</v>
      </c>
      <c r="EK28" s="176" t="n">
        <v>0.287387</v>
      </c>
      <c r="EL28" s="176" t="n">
        <v>0.231897</v>
      </c>
      <c r="EM28" s="176" t="n">
        <v>0.026919</v>
      </c>
      <c r="EN28" s="176" t="n">
        <v>0.013416</v>
      </c>
      <c r="EO28" s="179" t="n">
        <v>1.2536</v>
      </c>
      <c r="EP28" s="179" t="n">
        <v>1.2703</v>
      </c>
      <c r="EQ28" s="178" t="n">
        <v>47957715</v>
      </c>
      <c r="ER28" s="175" t="n">
        <v>172.6</v>
      </c>
      <c r="ES28" s="176" t="n">
        <v>0.554955</v>
      </c>
      <c r="ET28" s="176" t="n">
        <v>0.487931</v>
      </c>
      <c r="EU28" s="176" t="n">
        <v>-0.043015</v>
      </c>
      <c r="EV28" s="176" t="n">
        <v>-0.160112</v>
      </c>
      <c r="EW28" s="179" t="n">
        <v>1.6248</v>
      </c>
      <c r="EX28" s="179" t="n">
        <v>1.8514</v>
      </c>
      <c r="EY28" s="178" t="n">
        <v>162186535</v>
      </c>
      <c r="EZ28" s="176" t="n">
        <v>0.732117</v>
      </c>
      <c r="FA28" s="176" t="n"/>
      <c r="FB28" s="179" t="n"/>
      <c r="FC28" s="176" t="n"/>
      <c r="FD28" s="179" t="n"/>
      <c r="FE28" s="174" t="inlineStr">
        <is>
          <t>Standard</t>
        </is>
      </c>
      <c r="FF28" s="181" t="n"/>
      <c r="FG28" s="185" t="n"/>
      <c r="FH28" s="183" t="n"/>
      <c r="FI28" s="178" t="n"/>
      <c r="FJ28" s="176" t="n"/>
      <c r="FK28" s="185" t="n"/>
      <c r="FL28" s="178" t="n"/>
      <c r="FM28" s="176" t="n"/>
      <c r="FN28" s="176" t="n"/>
      <c r="FO28" s="176" t="n"/>
      <c r="FP28" s="176" t="n"/>
      <c r="FQ28" s="176" t="n">
        <v>0</v>
      </c>
      <c r="FR28" s="179" t="n">
        <v>0.9919</v>
      </c>
      <c r="FS28" s="176" t="n">
        <v>0.287387</v>
      </c>
      <c r="FT28" s="179" t="n">
        <v>1.2536</v>
      </c>
      <c r="FU28" s="176" t="n">
        <v>0.16036</v>
      </c>
      <c r="FV28" s="179" t="n">
        <v>1.1767</v>
      </c>
      <c r="FW28" s="179" t="n">
        <v>1.3296</v>
      </c>
      <c r="FX28" s="178" t="n">
        <v>50762835</v>
      </c>
      <c r="FY28" s="186" t="n">
        <v>0.0007667310924369748</v>
      </c>
      <c r="FZ28" s="183" t="n">
        <v>1</v>
      </c>
      <c r="GA28" s="176" t="n">
        <v>0.04539604895994749</v>
      </c>
      <c r="GB28" s="176" t="n">
        <v>0.315079</v>
      </c>
      <c r="GC28" s="185" t="n"/>
      <c r="GD28" s="185" t="n"/>
      <c r="GE28" s="176" t="n"/>
      <c r="GF28" s="176" t="n"/>
      <c r="GG28" s="179" t="n"/>
      <c r="GH28" s="181" t="inlineStr">
        <is>
          <t>China International Capital Corporation Hong Kong Securities Limited</t>
        </is>
      </c>
      <c r="GI28" s="183" t="n">
        <v>3</v>
      </c>
      <c r="GJ28" s="183" t="n">
        <v>1</v>
      </c>
      <c r="GK28" s="176" t="n">
        <v>0.025</v>
      </c>
      <c r="GL28" s="176" t="n"/>
      <c r="GM28" s="176" t="n"/>
      <c r="GN28" s="183" t="n">
        <v>7</v>
      </c>
      <c r="GO28" s="183" t="n">
        <v>1</v>
      </c>
      <c r="GP28" s="183" t="n">
        <v>0</v>
      </c>
      <c r="GQ28" s="183" t="n">
        <v>3</v>
      </c>
      <c r="GR28" s="183" t="n">
        <v>1</v>
      </c>
      <c r="GS28" s="181" t="inlineStr">
        <is>
          <t>POST_FINI</t>
        </is>
      </c>
      <c r="GT28" s="181" t="inlineStr">
        <is>
          <t>POST_2025_REFORM</t>
        </is>
      </c>
    </row>
    <row r="29" ht="51" customFormat="1" customHeight="1" s="11">
      <c r="A29" s="43" t="n">
        <v>97</v>
      </c>
      <c r="B29" s="47" t="inlineStr">
        <is>
          <t>2687.HK</t>
        </is>
      </c>
      <c r="C29" s="44" t="inlineStr">
        <is>
          <t>SHANGHAI ABLE DIGITAL SCIENCE&amp;TECH CO., LTD. - H shares</t>
        </is>
      </c>
      <c r="D29" s="130" t="n">
        <v>45989</v>
      </c>
      <c r="E29" s="48" t="n">
        <v>45999</v>
      </c>
      <c r="F29" s="43" t="inlineStr">
        <is>
          <t>ABCI Capital Limited</t>
        </is>
      </c>
      <c r="G29" s="43" t="inlineStr">
        <is>
          <t>PricewaterhouseCoopers</t>
        </is>
      </c>
      <c r="H29" s="43" t="n"/>
      <c r="I29" s="131" t="n">
        <v>45002250</v>
      </c>
      <c r="J29" s="148" t="n">
        <v>405000000</v>
      </c>
      <c r="K29" s="133" t="n">
        <v>67.5</v>
      </c>
      <c r="L29" t="n">
        <v>66666700</v>
      </c>
      <c r="M29" s="67" t="n">
        <v>6666700</v>
      </c>
      <c r="N29" t="n">
        <v>60000000</v>
      </c>
      <c r="O29" t="n">
        <v>60000000</v>
      </c>
      <c r="P29" t="n">
        <v>0</v>
      </c>
      <c r="Q29" t="n">
        <v>6666700</v>
      </c>
      <c r="R29" s="67" t="n">
        <v>6000000</v>
      </c>
      <c r="S29" s="67" t="n">
        <v>666700</v>
      </c>
      <c r="T29" s="147" t="n">
        <v>76.09999999999999</v>
      </c>
      <c r="U29" s="147" t="n">
        <v>62.26</v>
      </c>
      <c r="V29" s="169" t="n">
        <v>-0.024284</v>
      </c>
      <c r="W29" s="169" t="n">
        <v>0.200058</v>
      </c>
      <c r="X29" s="170" t="inlineStr">
        <is>
          <t>Within range</t>
        </is>
      </c>
      <c r="Y29" s="26" t="inlineStr">
        <is>
          <t>RMB</t>
        </is>
      </c>
      <c r="Z29" s="137" t="n">
        <v>628441000</v>
      </c>
      <c r="AA29" s="137" t="n">
        <v>792508000</v>
      </c>
      <c r="AB29" s="137" t="n">
        <v>680167000</v>
      </c>
      <c r="AC29" s="137" t="n">
        <v>390546000</v>
      </c>
      <c r="AD29" s="137" t="n">
        <v>498869000</v>
      </c>
      <c r="AE29" s="137" t="n">
        <v>401005000</v>
      </c>
      <c r="AF29" s="137" t="n">
        <v>237895000</v>
      </c>
      <c r="AG29" s="137" t="n">
        <v>293639000</v>
      </c>
      <c r="AH29" s="137" t="n">
        <v>279162000</v>
      </c>
      <c r="AI29" s="137" t="n">
        <v>652964000</v>
      </c>
      <c r="AJ29" s="137" t="n">
        <v>848198000</v>
      </c>
      <c r="AK29" s="137" t="n">
        <v>550842000</v>
      </c>
      <c r="AL29" s="137" t="n">
        <v>86634000</v>
      </c>
      <c r="AM29" s="137" t="n">
        <v>106598000</v>
      </c>
      <c r="AN29" s="137" t="n">
        <v>-255638000</v>
      </c>
      <c r="AO29" s="137" t="n">
        <v>81421000</v>
      </c>
      <c r="AP29" s="137" t="n">
        <v>105071000</v>
      </c>
      <c r="AQ29" s="137" t="n">
        <v>-197912000</v>
      </c>
      <c r="AR29" s="142" t="n">
        <v>0.025</v>
      </c>
      <c r="AS29" s="142" t="n">
        <v>0.025</v>
      </c>
      <c r="AT29" s="84" t="n">
        <v>0</v>
      </c>
      <c r="AU29" s="51" t="inlineStr">
        <is>
          <t>Digital teaching and learning solutions for higher education institutions in China</t>
        </is>
      </c>
      <c r="AV29" s="51" t="inlineStr">
        <is>
          <t>Main Board, Rule 8.05(3) market capitalisation/revenue test</t>
        </is>
      </c>
      <c r="AW29" s="136" t="n">
        <v>45838</v>
      </c>
      <c r="AX29" s="137" t="n">
        <v>-258014000</v>
      </c>
      <c r="AY29" s="117" t="n">
        <v>53051000</v>
      </c>
      <c r="AZ29" s="117" t="n">
        <v>81300000</v>
      </c>
      <c r="BA29" s="117" t="n">
        <v>0</v>
      </c>
      <c r="BB29" s="138" t="n">
        <v>0.063</v>
      </c>
      <c r="BC29" s="139" t="n">
        <v>0.5</v>
      </c>
      <c r="BD29" s="80" t="n">
        <v>1</v>
      </c>
      <c r="BE29" s="161" t="n">
        <v>1</v>
      </c>
      <c r="BF29" s="161" t="n">
        <v>1</v>
      </c>
      <c r="BG29" s="161" t="n">
        <v>1</v>
      </c>
      <c r="BH29" s="161" t="inlineStr">
        <is>
          <t>NaN</t>
        </is>
      </c>
      <c r="BI29" s="161" t="inlineStr">
        <is>
          <t>NaN</t>
        </is>
      </c>
      <c r="BJ29" s="162" t="inlineStr">
        <is>
          <t>Datai Yueda; Yueda Taihe; Shanghai Yongcang; Xinjiang Lianchuang; Jinzhuo Hengbang; Bairuixiang VC; ZhongYe ZhiYuan; Guangzhou Chengheng; Chengmai Xinri; Shanghai Changshi</t>
        </is>
      </c>
      <c r="BK29" s="163" t="n">
        <v>0.3617</v>
      </c>
      <c r="BL29" s="161" t="n">
        <v>1</v>
      </c>
      <c r="BM29" s="164" t="inlineStr">
        <is>
          <t>Series Pre-A Financing</t>
        </is>
      </c>
      <c r="BN29" s="165" t="n">
        <v>10.54</v>
      </c>
      <c r="BO29" s="51" t="inlineStr">
        <is>
          <t>Natural persons</t>
        </is>
      </c>
      <c r="BP29" s="135" t="n">
        <v>0.346</v>
      </c>
      <c r="BQ29" s="135" t="n">
        <v>0.346</v>
      </c>
      <c r="BR29" s="137" t="n">
        <v>120975000</v>
      </c>
      <c r="BS29" s="51" t="inlineStr">
        <is>
          <t>Commercialized</t>
        </is>
      </c>
      <c r="BT29" s="142" t="n">
        <v>0</v>
      </c>
      <c r="BU29" s="60" t="inlineStr">
        <is>
          <t>Main Board</t>
        </is>
      </c>
      <c r="BV29" s="89" t="inlineStr">
        <is>
          <t>H Shares</t>
        </is>
      </c>
      <c r="BW29" s="61" t="n">
        <v>0</v>
      </c>
      <c r="BX29" s="77" t="n">
        <v>0</v>
      </c>
      <c r="BY29" s="77" t="n">
        <v>0</v>
      </c>
      <c r="BZ29" s="78" t="n">
        <v>0</v>
      </c>
      <c r="CA29" s="60" t="inlineStr">
        <is>
          <t>702015</t>
        </is>
      </c>
      <c r="CB29" s="76" t="inlineStr">
        <is>
          <t>HSICS (Hang Seng Industry Classification System) 2026</t>
        </is>
      </c>
      <c r="CC29" s="140" t="n">
        <v>39545</v>
      </c>
      <c r="CD29" s="171" t="n">
        <v>17.67</v>
      </c>
      <c r="CE29" s="76" t="inlineStr">
        <is>
          <t>PRC</t>
        </is>
      </c>
      <c r="CF29" s="89" t="inlineStr">
        <is>
          <t>Shanghai, PRC</t>
        </is>
      </c>
      <c r="CG29" s="91" t="n"/>
      <c r="CH29" s="60" t="inlineStr">
        <is>
          <t>IFRS Accounting Standards</t>
        </is>
      </c>
      <c r="CI29" s="141" t="n">
        <v>44927</v>
      </c>
      <c r="CJ29" s="141" t="n">
        <v>45291</v>
      </c>
      <c r="CK29" s="141" t="n">
        <v>45292</v>
      </c>
      <c r="CL29" s="141" t="n">
        <v>45657</v>
      </c>
      <c r="CM29" s="141" t="n">
        <v>45658</v>
      </c>
      <c r="CN29" s="64" t="n">
        <v>275421000</v>
      </c>
      <c r="CO29" s="64" t="n">
        <v>-127819000</v>
      </c>
      <c r="CP29" s="64" t="n">
        <v>-98956000</v>
      </c>
      <c r="CQ29" s="141" t="n">
        <v>45989</v>
      </c>
      <c r="CR29" s="141" t="n">
        <v>45994</v>
      </c>
      <c r="CS29" s="63" t="n">
        <v>61952800</v>
      </c>
      <c r="CT29" s="64" t="n">
        <v>129198000</v>
      </c>
      <c r="CU29" s="64" t="n">
        <v>1655000</v>
      </c>
      <c r="CV29" s="59" t="inlineStr">
        <is>
          <t>Unqualified opinion</t>
        </is>
      </c>
      <c r="CW29" s="64" t="n">
        <v>56700000</v>
      </c>
      <c r="CX29" s="51" t="inlineStr">
        <is>
          <t>NA</t>
        </is>
      </c>
      <c r="CY29" s="142" t="n">
        <v>0</v>
      </c>
      <c r="CZ29" s="136" t="inlineStr">
        <is>
          <t>NA</t>
        </is>
      </c>
      <c r="DA29" s="143" t="n">
        <v>4813.4</v>
      </c>
      <c r="DB29" s="63" t="n">
        <v>135193</v>
      </c>
      <c r="DC29" s="63" t="n">
        <v>3209092400</v>
      </c>
      <c r="DD29" s="59" t="inlineStr">
        <is>
          <t>Subscription level 4,813.40 times</t>
        </is>
      </c>
      <c r="DE29" s="141" t="n">
        <v>45995</v>
      </c>
      <c r="DF29" s="141" t="n">
        <v>45996</v>
      </c>
      <c r="DG29" s="63" t="n">
        <v>6666700</v>
      </c>
      <c r="DH29" s="63" t="n">
        <v>666700</v>
      </c>
      <c r="DI29" s="63" t="n">
        <v>6000000</v>
      </c>
      <c r="DJ29" s="63" t="n">
        <v>0</v>
      </c>
      <c r="DK29" s="169" t="n">
        <v>0</v>
      </c>
      <c r="DL29" s="59" t="inlineStr">
        <is>
          <t>Claw-back triggered N/A</t>
        </is>
      </c>
      <c r="DM29" s="144" t="n">
        <v>393650000</v>
      </c>
      <c r="DN29" s="142" t="n">
        <v>0.3271</v>
      </c>
      <c r="DO29" s="51" t="n">
        <v>66666700</v>
      </c>
      <c r="DP29" s="142" t="n">
        <v>0.1</v>
      </c>
      <c r="DQ29" s="59" t="inlineStr">
        <is>
          <t>Free float denominator = Number of issued Shares upon Listing (66,666,700 = total issued Shares upon completion of the Global Offering); numerator = Offer Shares allotted to investors who are not core connected persons and are not subject to any disposal restrictions</t>
        </is>
      </c>
      <c r="DR29" s="63" t="n">
        <v>66666700</v>
      </c>
      <c r="DS29" s="142" t="n">
        <v>-0.012813</v>
      </c>
      <c r="DT29" s="80" t="n">
        <v>31</v>
      </c>
      <c r="DU29" s="142" t="n">
        <v>0.032428</v>
      </c>
      <c r="DV29" s="144" t="n">
        <v>53995000000</v>
      </c>
      <c r="DW29" s="145" t="n">
        <v>126.4</v>
      </c>
      <c r="DX29" s="169" t="n">
        <v>0.872593</v>
      </c>
      <c r="DY29" s="172" t="n">
        <v>392668630</v>
      </c>
      <c r="DZ29" s="146" t="n">
        <v>83.59999999999999</v>
      </c>
      <c r="EA29" s="146" t="n">
        <v>142.5</v>
      </c>
      <c r="EB29" s="146" t="n">
        <v>82</v>
      </c>
      <c r="EC29" s="63" t="n">
        <v>1510300</v>
      </c>
      <c r="ED29" s="169" t="n">
        <v>0.226544</v>
      </c>
      <c r="EE29" s="64" t="n"/>
      <c r="EF29" s="60" t="inlineStr">
        <is>
          <t>Mechanism B</t>
        </is>
      </c>
      <c r="EG29" s="59" t="inlineStr">
        <is>
          <t>FINI (from 22/11/2023); 2025-08-04 pricing reform (Mechanism A/B; six-month cornerstone lock-up retained); this IPO: Mechanism B</t>
        </is>
      </c>
      <c r="EH29" t="inlineStr">
        <is>
          <t>上海卓越睿新数码科技股份有限公司</t>
        </is>
      </c>
      <c r="EI29" s="174" t="inlineStr">
        <is>
          <t>Active</t>
        </is>
      </c>
      <c r="EJ29" s="175" t="n">
        <v>154</v>
      </c>
      <c r="EK29" s="176" t="n">
        <v>0.218354</v>
      </c>
      <c r="EL29" s="176" t="n">
        <v>1.281481</v>
      </c>
      <c r="EM29" s="176" t="n">
        <v>0.026919</v>
      </c>
      <c r="EN29" s="176" t="n">
        <v>0.013416</v>
      </c>
      <c r="EO29" s="179" t="n">
        <v>1.1864</v>
      </c>
      <c r="EP29" s="179" t="n">
        <v>1.2022</v>
      </c>
      <c r="EQ29" s="178" t="n">
        <v>26829690</v>
      </c>
      <c r="ER29" s="175" t="n">
        <v>130.4</v>
      </c>
      <c r="ES29" s="176" t="n">
        <v>0.031646</v>
      </c>
      <c r="ET29" s="176" t="n">
        <v>0.931852</v>
      </c>
      <c r="EU29" s="176" t="n">
        <v>-0.043015</v>
      </c>
      <c r="EV29" s="176" t="n">
        <v>-0.160112</v>
      </c>
      <c r="EW29" s="179" t="n">
        <v>1.078</v>
      </c>
      <c r="EX29" s="179" t="n">
        <v>1.2283</v>
      </c>
      <c r="EY29" s="178" t="n">
        <v>35988080</v>
      </c>
      <c r="EZ29" s="176" t="n">
        <v>0.250623</v>
      </c>
      <c r="FA29" s="176" t="n"/>
      <c r="FB29" s="179" t="n"/>
      <c r="FC29" s="176" t="n"/>
      <c r="FD29" s="179" t="n"/>
      <c r="FE29" s="174" t="inlineStr">
        <is>
          <t>Standard</t>
        </is>
      </c>
      <c r="FF29" s="181" t="n"/>
      <c r="FG29" s="185" t="n"/>
      <c r="FH29" s="183" t="n"/>
      <c r="FI29" s="178" t="n"/>
      <c r="FJ29" s="176" t="n"/>
      <c r="FK29" s="185" t="n"/>
      <c r="FL29" s="178" t="n"/>
      <c r="FM29" s="176" t="n"/>
      <c r="FN29" s="176" t="n"/>
      <c r="FO29" s="176" t="n"/>
      <c r="FP29" s="176" t="n"/>
      <c r="FQ29" s="176" t="n">
        <v>0.243671</v>
      </c>
      <c r="FR29" s="179" t="n">
        <v>1.2335</v>
      </c>
      <c r="FS29" s="176" t="n">
        <v>0.218354</v>
      </c>
      <c r="FT29" s="179" t="n">
        <v>1.1864</v>
      </c>
      <c r="FU29" s="176" t="n">
        <v>0.09572799999999999</v>
      </c>
      <c r="FV29" s="179" t="n">
        <v>1.1111</v>
      </c>
      <c r="FW29" s="179" t="n">
        <v>1.2556</v>
      </c>
      <c r="FX29" s="178" t="n">
        <v>15672305</v>
      </c>
      <c r="FY29" s="186" t="n">
        <v>0.001401025</v>
      </c>
      <c r="FZ29" s="183" t="n">
        <v>0</v>
      </c>
      <c r="GA29" s="176" t="n">
        <v>0.08519885970495197</v>
      </c>
      <c r="GB29" s="176" t="n">
        <v>0.317647</v>
      </c>
      <c r="GC29" s="185" t="n"/>
      <c r="GD29" s="185" t="n"/>
      <c r="GE29" s="176" t="n"/>
      <c r="GF29" s="176" t="n"/>
      <c r="GG29" s="179" t="n"/>
      <c r="GH29" s="181" t="inlineStr">
        <is>
          <t>ABCI Capital Limited</t>
        </is>
      </c>
      <c r="GI29" s="183" t="n">
        <v>1</v>
      </c>
      <c r="GJ29" s="183" t="n">
        <v>1</v>
      </c>
      <c r="GK29" s="176" t="n">
        <v>0.025</v>
      </c>
      <c r="GL29" s="176" t="n"/>
      <c r="GM29" s="176" t="n"/>
      <c r="GN29" s="183" t="n">
        <v>0</v>
      </c>
      <c r="GO29" s="183" t="n">
        <v>0</v>
      </c>
      <c r="GP29" s="183" t="n">
        <v>0</v>
      </c>
      <c r="GQ29" s="183" t="n">
        <v>10</v>
      </c>
      <c r="GR29" s="183" t="n">
        <v>0</v>
      </c>
      <c r="GS29" s="181" t="inlineStr">
        <is>
          <t>POST_FINI</t>
        </is>
      </c>
      <c r="GT29" s="181" t="inlineStr">
        <is>
          <t>POST_2025_REFORM</t>
        </is>
      </c>
    </row>
    <row r="30" ht="68" customFormat="1" customHeight="1" s="11">
      <c r="A30" s="43" t="n">
        <v>99</v>
      </c>
      <c r="B30" s="47" t="inlineStr">
        <is>
          <t>2659.HK</t>
        </is>
      </c>
      <c r="C30" s="44" t="inlineStr">
        <is>
          <t>Shanghai Bao Pharmaceuticals Co., Ltd. 
- B - H shares</t>
        </is>
      </c>
      <c r="D30" s="130" t="n">
        <v>45993</v>
      </c>
      <c r="E30" s="48" t="n">
        <v>46001</v>
      </c>
      <c r="F30" s="43" t="inlineStr">
        <is>
          <t>CITIC Securities (Hong Kong) Limited /
Haitong International Capital Limited</t>
        </is>
      </c>
      <c r="G30" s="43" t="inlineStr">
        <is>
          <t>Ernst &amp; Young</t>
        </is>
      </c>
      <c r="H30" s="43" t="inlineStr">
        <is>
          <t>AVISTA Valuation Advisory Limited</t>
        </is>
      </c>
      <c r="I30" s="131" t="n">
        <v>100011856</v>
      </c>
      <c r="J30" s="148" t="n">
        <v>900098790</v>
      </c>
      <c r="K30" s="133" t="n">
        <v>26.38</v>
      </c>
      <c r="L30" t="n">
        <v>325981465</v>
      </c>
      <c r="M30" s="67" t="n">
        <v>37911700</v>
      </c>
      <c r="N30" t="n">
        <v>288069765</v>
      </c>
      <c r="O30" t="n">
        <v>288069765</v>
      </c>
      <c r="P30" t="n">
        <v>0</v>
      </c>
      <c r="Q30" t="n">
        <v>37911700</v>
      </c>
      <c r="R30" s="67" t="n">
        <v>34120500</v>
      </c>
      <c r="S30" s="67" t="n">
        <v>3791200</v>
      </c>
      <c r="T30" s="147" t="n">
        <v>26.38</v>
      </c>
      <c r="U30" s="147" t="n">
        <v>26.38</v>
      </c>
      <c r="V30" s="169" t="n">
        <v>0</v>
      </c>
      <c r="W30" s="169" t="n">
        <v>0</v>
      </c>
      <c r="X30" s="170" t="inlineStr">
        <is>
          <t>Fixed price</t>
        </is>
      </c>
      <c r="Y30" s="26" t="inlineStr">
        <is>
          <t>RMB</t>
        </is>
      </c>
      <c r="Z30" s="137" t="n">
        <v>973880000</v>
      </c>
      <c r="AA30" s="137" t="n">
        <v>1363267000</v>
      </c>
      <c r="AB30" s="137" t="n">
        <v>1388687000</v>
      </c>
      <c r="AC30" s="137" t="n">
        <v>749126000</v>
      </c>
      <c r="AD30" s="137" t="n">
        <v>995876000</v>
      </c>
      <c r="AE30" s="137" t="n">
        <v>889585000</v>
      </c>
      <c r="AF30" s="137" t="n">
        <v>224754000</v>
      </c>
      <c r="AG30" s="137" t="n">
        <v>367391000</v>
      </c>
      <c r="AH30" s="137" t="n">
        <v>499102000</v>
      </c>
      <c r="AI30" s="137" t="n">
        <v>6930000</v>
      </c>
      <c r="AJ30" s="137" t="n">
        <v>6160000</v>
      </c>
      <c r="AK30" s="137" t="n">
        <v>83980000</v>
      </c>
      <c r="AL30" s="137" t="n">
        <v>-160396000</v>
      </c>
      <c r="AM30" s="137" t="n">
        <v>-364456000</v>
      </c>
      <c r="AN30" s="137" t="n">
        <v>-366192000</v>
      </c>
      <c r="AO30" s="137" t="n">
        <v>-160395000</v>
      </c>
      <c r="AP30" s="137" t="n">
        <v>-364433000</v>
      </c>
      <c r="AQ30" s="137" t="n">
        <v>-366192000</v>
      </c>
      <c r="AR30" s="142" t="n">
        <v>0.025</v>
      </c>
      <c r="AS30" s="142" t="n">
        <v>0.025</v>
      </c>
      <c r="AT30" s="84" t="n">
        <v>0</v>
      </c>
      <c r="AU30" s="51" t="inlineStr">
        <is>
          <t>Biotechnology – research and development of recombinant biologic drugs (clinical-stage biopharmaceutical company)</t>
        </is>
      </c>
      <c r="AV30" s="51" t="inlineStr">
        <is>
          <t>Chapter 18A of the Listing Rules (biotech company unable to meet Rule 8.05(1), (2) or (3))</t>
        </is>
      </c>
      <c r="AW30" s="136" t="n">
        <v>45838</v>
      </c>
      <c r="AX30" s="137" t="n">
        <v>-105190000</v>
      </c>
      <c r="AY30" s="117" t="n">
        <v>453392000</v>
      </c>
      <c r="AZ30" s="117" t="n">
        <v>111045000</v>
      </c>
      <c r="BA30" s="117" t="inlineStr">
        <is>
          <t>NaN</t>
        </is>
      </c>
      <c r="BB30" s="138" t="n">
        <v>0.994</v>
      </c>
      <c r="BC30" s="139" t="n">
        <v>0.5</v>
      </c>
      <c r="BD30" s="80" t="n">
        <v>1</v>
      </c>
      <c r="BE30" s="161" t="n">
        <v>1</v>
      </c>
      <c r="BF30" s="161" t="n">
        <v>1</v>
      </c>
      <c r="BG30" s="161" t="n">
        <v>1</v>
      </c>
      <c r="BH30" s="161" t="n">
        <v>1</v>
      </c>
      <c r="BI30" s="161" t="inlineStr">
        <is>
          <t>NaN</t>
        </is>
      </c>
      <c r="BJ30" s="162" t="inlineStr">
        <is>
          <t>Center Lab; Fangyuan Capital (PCJ Bao; Venus Capital); Shanghai Luohui; Shanghai Dongxi (Shanghai Cixi; Jiaxing Xiqi); Xiamen Youlang; ROSY ELEGANT; Shanghai Luoqun; Shanghai Guqing; Shanghai Luoyuan; Findowin Capital (Jinan Chanfa; Shandong Caixin; Qingdao Yuanchuang; Yantai Duoying); Oriental Fortune Capital (Fuhai Junyong No. 6; Fuhai Junyong No. 2; Fuhai Jingxuan No. 2; Fuhai Youxuan No. 2); Haitong Innovation Securities; Yangtze River Delta Industrial; Ningbo Longhuahui; Jiaxing No. 2; North Shanghai Biomedical; Shanghai Jifu; Nanjing United Future; SHC; Tianjin Bo'ao; Shanghai STVC Group; Baoshan Capital; Yuanxiong Real Estate</t>
        </is>
      </c>
      <c r="BK30" s="163" t="n">
        <v>0.4849</v>
      </c>
      <c r="BL30" s="161" t="n">
        <v>1</v>
      </c>
      <c r="BM30" s="164" t="inlineStr">
        <is>
          <t>November 2020 Capital Increase</t>
        </is>
      </c>
      <c r="BN30" s="165" t="n">
        <v>5.19</v>
      </c>
      <c r="BO30" s="51" t="inlineStr">
        <is>
          <t>Natural persons acting in concert (Concert Parties, Shanghai Luoxu, Ningbo Hongsheng and Shanghai Luojun)</t>
        </is>
      </c>
      <c r="BP30" s="135" t="n">
        <v>0.4057</v>
      </c>
      <c r="BQ30" s="135" t="n">
        <v>0.4057</v>
      </c>
      <c r="BR30" s="137" t="n">
        <v>246226000</v>
      </c>
      <c r="BS30" s="51" t="inlineStr">
        <is>
          <t>Clinical-stage approaching commercialization; NDA approved for SJ02 in August 2025, no commercial manufacturing commenced</t>
        </is>
      </c>
      <c r="BT30" s="142" t="n">
        <v>0</v>
      </c>
      <c r="BU30" s="60" t="inlineStr">
        <is>
          <t>Main Board</t>
        </is>
      </c>
      <c r="BV30" s="89" t="inlineStr">
        <is>
          <t>H Shares</t>
        </is>
      </c>
      <c r="BW30" s="61" t="n">
        <v>0</v>
      </c>
      <c r="BX30" s="77" t="n">
        <v>0</v>
      </c>
      <c r="BY30" s="77" t="n">
        <v>1</v>
      </c>
      <c r="BZ30" s="78" t="n">
        <v>0</v>
      </c>
      <c r="CA30" s="60" t="inlineStr">
        <is>
          <t>281010</t>
        </is>
      </c>
      <c r="CB30" s="76" t="inlineStr">
        <is>
          <t>HSICS (Hang Seng Industry Classification System) 2026</t>
        </is>
      </c>
      <c r="CC30" s="140" t="n">
        <v>43815</v>
      </c>
      <c r="CD30" s="171" t="n">
        <v>5.98</v>
      </c>
      <c r="CE30" s="76" t="inlineStr">
        <is>
          <t>PRC</t>
        </is>
      </c>
      <c r="CF30" s="89" t="inlineStr">
        <is>
          <t>Shanghai, PRC</t>
        </is>
      </c>
      <c r="CG30" s="91" t="n">
        <v>1000</v>
      </c>
      <c r="CH30" s="60" t="inlineStr">
        <is>
          <t>IFRS Accounting Standards</t>
        </is>
      </c>
      <c r="CI30" s="141" t="n">
        <v>44927</v>
      </c>
      <c r="CJ30" s="141" t="n">
        <v>45291</v>
      </c>
      <c r="CK30" s="141" t="n">
        <v>45292</v>
      </c>
      <c r="CL30" s="141" t="n">
        <v>45657</v>
      </c>
      <c r="CM30" s="141" t="n">
        <v>45658</v>
      </c>
      <c r="CN30" s="64" t="n">
        <v>41990000</v>
      </c>
      <c r="CO30" s="64" t="n">
        <v>-183096000</v>
      </c>
      <c r="CP30" s="64" t="n">
        <v>-183096000</v>
      </c>
      <c r="CQ30" s="141" t="n">
        <v>45993</v>
      </c>
      <c r="CR30" s="141" t="n">
        <v>45996</v>
      </c>
      <c r="CS30" s="63" t="n">
        <v>154327250</v>
      </c>
      <c r="CT30" s="64" t="n">
        <v>41725000</v>
      </c>
      <c r="CU30" s="64" t="n">
        <v>37891000</v>
      </c>
      <c r="CV30" s="59" t="inlineStr">
        <is>
          <t>Unqualified opinion</t>
        </is>
      </c>
      <c r="CW30" s="64" t="n">
        <v>78600000</v>
      </c>
      <c r="CX30" s="51" t="inlineStr">
        <is>
          <t>AnkeBio (Hong Kong) Co., Limited; Derivatives China Alpha Fund SPC (acting for and on behalf of Derivatives China Fundamental Fund SP); Guotai Junan Investments (Hong Kong) Limited (in connection with the Zhonghe OTC Swaps)</t>
        </is>
      </c>
      <c r="CY30" s="142" t="n">
        <v>0.2006</v>
      </c>
      <c r="CZ30" s="136" t="n">
        <v>46183</v>
      </c>
      <c r="DA30" s="143" t="n">
        <v>3526.34</v>
      </c>
      <c r="DB30" s="63" t="n">
        <v>282687</v>
      </c>
      <c r="DC30" s="63" t="n">
        <v>13369053600</v>
      </c>
      <c r="DD30" s="59" t="inlineStr">
        <is>
          <t>Subscription level 3,526.34 times (Hong Kong Public Offering); Claw-back triggered N/A</t>
        </is>
      </c>
      <c r="DE30" s="141" t="inlineStr">
        <is>
          <t>NA</t>
        </is>
      </c>
      <c r="DF30" s="141" t="n">
        <v>46000</v>
      </c>
      <c r="DG30" s="63" t="n">
        <v>37911700</v>
      </c>
      <c r="DH30" s="63" t="n">
        <v>3791200</v>
      </c>
      <c r="DI30" s="63" t="n">
        <v>34120500</v>
      </c>
      <c r="DJ30" s="63" t="n">
        <v>0</v>
      </c>
      <c r="DK30" s="169" t="n">
        <v>0</v>
      </c>
      <c r="DL30" s="59" t="inlineStr">
        <is>
          <t>No. of Offer Shares reallocated from the International Offering (claw-back) N/A; Final no. of Offer Shares under the Hong Kong Public Offering 3,791,200 H Shares</t>
        </is>
      </c>
      <c r="DM30" s="144" t="n">
        <v>921500000</v>
      </c>
      <c r="DN30" s="142" t="n">
        <v>0.3693</v>
      </c>
      <c r="DO30" s="51" t="n">
        <v>325981465</v>
      </c>
      <c r="DP30" s="142" t="n">
        <v>0.09297</v>
      </c>
      <c r="DQ30" s="59" t="inlineStr">
        <is>
          <t>Free float denominator = total issued shares upon listing (325,981,465 Shares); excludes Offer Shares allocated to cornerstone investors subject to a six-month lock-up</t>
        </is>
      </c>
      <c r="DR30" s="63" t="n">
        <v>325981465</v>
      </c>
      <c r="DS30" s="142" t="n">
        <v>-0.00478237</v>
      </c>
      <c r="DT30" s="80" t="n">
        <v>31</v>
      </c>
      <c r="DU30" s="142" t="n">
        <v>0.0293488</v>
      </c>
      <c r="DV30" s="144" t="n">
        <v>54077000000</v>
      </c>
      <c r="DW30" s="145" t="n">
        <v>63</v>
      </c>
      <c r="DX30" s="169" t="n">
        <v>1.388173</v>
      </c>
      <c r="DY30" s="172" t="n">
        <v>1388326454</v>
      </c>
      <c r="DZ30" s="146" t="n">
        <v>60.5</v>
      </c>
      <c r="EA30" s="146" t="n">
        <v>63.15</v>
      </c>
      <c r="EB30" s="146" t="n">
        <v>56</v>
      </c>
      <c r="EC30" s="63" t="n">
        <v>7930300</v>
      </c>
      <c r="ED30" s="169" t="n">
        <v>0.209178</v>
      </c>
      <c r="EE30" s="64" t="n"/>
      <c r="EF30" s="60" t="inlineStr">
        <is>
          <t>NA</t>
        </is>
      </c>
      <c r="EG30" s="59" t="inlineStr">
        <is>
          <t>FINI (from 22/11/2023); 2025-08-04 pricing reform (Mechanism A/B; six-month cornerstone lock-up retained)</t>
        </is>
      </c>
      <c r="EH30" t="inlineStr">
        <is>
          <t>上海宝济药业股份有限公司</t>
        </is>
      </c>
      <c r="EI30" s="174" t="inlineStr">
        <is>
          <t>Active</t>
        </is>
      </c>
      <c r="EJ30" s="175" t="n">
        <v>78.95</v>
      </c>
      <c r="EK30" s="176" t="n">
        <v>0.253175</v>
      </c>
      <c r="EL30" s="176" t="n">
        <v>1.992798</v>
      </c>
      <c r="EM30" s="176" t="n">
        <v>0.027055</v>
      </c>
      <c r="EN30" s="176" t="n">
        <v>0.019</v>
      </c>
      <c r="EO30" s="179" t="n">
        <v>1.2202</v>
      </c>
      <c r="EP30" s="179" t="n">
        <v>1.2298</v>
      </c>
      <c r="EQ30" s="178" t="n">
        <v>58450090</v>
      </c>
      <c r="ER30" s="175" t="n">
        <v>19.1</v>
      </c>
      <c r="ES30" s="176" t="n">
        <v>-0.696825</v>
      </c>
      <c r="ET30" s="176" t="n">
        <v>-0.275967</v>
      </c>
      <c r="EU30" s="176" t="n">
        <v>-0.044353</v>
      </c>
      <c r="EV30" s="176" t="n">
        <v>-0.15343</v>
      </c>
      <c r="EW30" s="179" t="n">
        <v>0.3172</v>
      </c>
      <c r="EX30" s="179" t="n">
        <v>0.3581</v>
      </c>
      <c r="EY30" s="178" t="n">
        <v>115697295</v>
      </c>
      <c r="EZ30" s="176" t="n">
        <v>0.257821</v>
      </c>
      <c r="FA30" s="176" t="n"/>
      <c r="FB30" s="179" t="n"/>
      <c r="FC30" s="176" t="n"/>
      <c r="FD30" s="179" t="n"/>
      <c r="FE30" s="174" t="inlineStr">
        <is>
          <t>18A (Biotech / B-tag)</t>
        </is>
      </c>
      <c r="FF30" s="181" t="n"/>
      <c r="FG30" s="185" t="n"/>
      <c r="FH30" s="183" t="n"/>
      <c r="FI30" s="178" t="n"/>
      <c r="FJ30" s="176" t="n"/>
      <c r="FK30" s="185" t="n"/>
      <c r="FL30" s="178" t="n"/>
      <c r="FM30" s="176" t="n"/>
      <c r="FN30" s="176" t="n"/>
      <c r="FO30" s="176" t="n"/>
      <c r="FP30" s="176" t="n"/>
      <c r="FQ30" s="176" t="n">
        <v>0.06349200000000001</v>
      </c>
      <c r="FR30" s="179" t="n">
        <v>1.0764</v>
      </c>
      <c r="FS30" s="176" t="n">
        <v>0.253175</v>
      </c>
      <c r="FT30" s="179" t="n">
        <v>1.2202</v>
      </c>
      <c r="FU30" s="176" t="n">
        <v>0.650794</v>
      </c>
      <c r="FV30" s="179" t="n">
        <v>1.6241</v>
      </c>
      <c r="FW30" s="179" t="n">
        <v>1.8206</v>
      </c>
      <c r="FX30" s="178" t="n">
        <v>82893442.37</v>
      </c>
      <c r="FY30" s="186" t="n">
        <v>0.0009170166666666666</v>
      </c>
      <c r="FZ30" s="183" t="n">
        <v>0</v>
      </c>
      <c r="GA30" s="176" t="n">
        <v>0.1546210389108011</v>
      </c>
      <c r="GB30" s="176" t="n">
        <v>0.907961</v>
      </c>
      <c r="GC30" s="185" t="n"/>
      <c r="GD30" s="185" t="n"/>
      <c r="GE30" s="176" t="n"/>
      <c r="GF30" s="176" t="n"/>
      <c r="GG30" s="179" t="n"/>
      <c r="GH30" s="181" t="inlineStr">
        <is>
          <t>CITIC Securities (Hong Kong) Limited</t>
        </is>
      </c>
      <c r="GI30" s="183" t="n">
        <v>2</v>
      </c>
      <c r="GJ30" s="183" t="n">
        <v>0</v>
      </c>
      <c r="GK30" s="176" t="n">
        <v>0.025</v>
      </c>
      <c r="GL30" s="176" t="n"/>
      <c r="GM30" s="176" t="n"/>
      <c r="GN30" s="183" t="n">
        <v>4</v>
      </c>
      <c r="GO30" s="183" t="n">
        <v>1</v>
      </c>
      <c r="GP30" s="183" t="n">
        <v>0</v>
      </c>
      <c r="GQ30" s="183" t="n">
        <v>31</v>
      </c>
      <c r="GR30" s="183" t="n">
        <v>1</v>
      </c>
      <c r="GS30" s="181" t="inlineStr">
        <is>
          <t>POST_FINI</t>
        </is>
      </c>
      <c r="GT30" s="181" t="inlineStr">
        <is>
          <t>POST_2025_REFORM</t>
        </is>
      </c>
    </row>
    <row r="31" ht="119" customFormat="1" customHeight="1" s="11">
      <c r="A31" s="43" t="n">
        <v>101</v>
      </c>
      <c r="B31" s="47" t="inlineStr">
        <is>
          <t>7618.HK</t>
        </is>
      </c>
      <c r="C31" s="44" t="inlineStr">
        <is>
          <t>JINGDONG Industrials, Inc.</t>
        </is>
      </c>
      <c r="D31" s="130" t="n">
        <v>45994</v>
      </c>
      <c r="E31" s="48" t="n">
        <v>46002</v>
      </c>
      <c r="F31" s="43" t="inlineStr">
        <is>
          <t>Merrill Lynch (Asia Pacific) Limited /
UBS Securities Hong Kong Limited /
Haitong International Capital Limited /
Goldman Sachs (Asia) L.L.C.</t>
        </is>
      </c>
      <c r="G31" s="43" t="inlineStr">
        <is>
          <t>Deloitte Touche Tohmatsu</t>
        </is>
      </c>
      <c r="H31" s="43" t="n"/>
      <c r="I31" s="131" t="n">
        <v>297806100</v>
      </c>
      <c r="J31" s="148" t="n">
        <v>2736037320</v>
      </c>
      <c r="K31" s="133" t="n">
        <v>14.1</v>
      </c>
      <c r="L31" t="n">
        <v>2677150661</v>
      </c>
      <c r="M31" s="67" t="n">
        <v>211208800</v>
      </c>
      <c r="N31" t="n">
        <v>2465941861</v>
      </c>
      <c r="O31" t="n">
        <v>2465941861</v>
      </c>
      <c r="P31" t="n">
        <v>0</v>
      </c>
      <c r="Q31" t="n">
        <v>211208800</v>
      </c>
      <c r="R31" s="67" t="n">
        <v>190087800</v>
      </c>
      <c r="S31" s="67" t="n">
        <v>21121000</v>
      </c>
      <c r="T31" s="147" t="n">
        <v>15.5</v>
      </c>
      <c r="U31" s="147" t="n">
        <v>12.7</v>
      </c>
      <c r="V31" s="169" t="n">
        <v>0</v>
      </c>
      <c r="W31" s="169" t="n">
        <v>0.198582</v>
      </c>
      <c r="X31" s="170" t="inlineStr">
        <is>
          <t>Midpoint</t>
        </is>
      </c>
      <c r="Y31" s="26" t="inlineStr">
        <is>
          <t>RMB</t>
        </is>
      </c>
      <c r="Z31" s="137" t="n">
        <v>12081783000</v>
      </c>
      <c r="AA31" s="137" t="n">
        <v>14657036000</v>
      </c>
      <c r="AB31" s="137" t="n">
        <v>14272868000</v>
      </c>
      <c r="AC31" s="137" t="n">
        <v>-342490000</v>
      </c>
      <c r="AD31" s="137" t="n">
        <v>486991000</v>
      </c>
      <c r="AE31" s="137" t="n">
        <v>1001661000</v>
      </c>
      <c r="AF31" s="137" t="n">
        <v>12424273000</v>
      </c>
      <c r="AG31" s="137" t="n">
        <v>14170045000</v>
      </c>
      <c r="AH31" s="137" t="n">
        <v>13271207000</v>
      </c>
      <c r="AI31" s="137" t="n">
        <v>17335883000</v>
      </c>
      <c r="AJ31" s="137" t="n">
        <v>20397741000</v>
      </c>
      <c r="AK31" s="137" t="n">
        <v>20500776000</v>
      </c>
      <c r="AL31" s="137" t="n">
        <v>160358000</v>
      </c>
      <c r="AM31" s="137" t="n">
        <v>882603000</v>
      </c>
      <c r="AN31" s="137" t="n">
        <v>1024124000</v>
      </c>
      <c r="AO31" s="137" t="n">
        <v>4799000</v>
      </c>
      <c r="AP31" s="137" t="n">
        <v>761608000</v>
      </c>
      <c r="AQ31" s="137" t="n">
        <v>902628000</v>
      </c>
      <c r="AR31" s="142" t="n">
        <v>0.011</v>
      </c>
      <c r="AS31" s="142" t="n">
        <v>0.011</v>
      </c>
      <c r="AT31" s="84" t="n">
        <v>0.15</v>
      </c>
      <c r="AU31" s="51" t="inlineStr">
        <is>
          <t>Industrial supply chain technology and service (MRO procurement and digital industrial supply chain solutions)</t>
        </is>
      </c>
      <c r="AV31" s="51" t="inlineStr">
        <is>
          <t>Main Board — Rule 8.05(3) market capitalization/revenue test</t>
        </is>
      </c>
      <c r="AW31" s="136" t="n">
        <v>45838</v>
      </c>
      <c r="AX31" s="137" t="n">
        <v>292483000</v>
      </c>
      <c r="AY31" s="117" t="n">
        <v>4559678000</v>
      </c>
      <c r="AZ31" s="117" t="n">
        <v>142574000</v>
      </c>
      <c r="BA31" s="117" t="n">
        <v>0</v>
      </c>
      <c r="BB31" s="138" t="n">
        <v>0.133</v>
      </c>
      <c r="BC31" s="139" t="n">
        <v>0.5</v>
      </c>
      <c r="BD31" s="80" t="n">
        <v>1</v>
      </c>
      <c r="BE31" s="161" t="n">
        <v>1</v>
      </c>
      <c r="BF31" s="161" t="n">
        <v>1</v>
      </c>
      <c r="BG31" s="161" t="inlineStr">
        <is>
          <t>NaN</t>
        </is>
      </c>
      <c r="BH31" s="161" t="n">
        <v>1</v>
      </c>
      <c r="BI31" s="161" t="n">
        <v>1</v>
      </c>
      <c r="BJ31" s="162" t="inlineStr">
        <is>
          <t>GGV VII Investments, L.L.C.; GGV VII Plus Investments, L.L.C.; Shanghai Yuanyan Enterprise Management Consulting Partnership (Limited Partnership); Shanghai Yuan Yue Enterprise Management Consulting Partnership (Limited Partnership); Shanghai Yuan Ye Enterprise Management Consulting Partnership (Limited Partnership); Shanghai Yuan An Enterprise Management Consulting Partnership (Limited Partnership); HSG; Pink Crystal China Fund, L.P.; C-Open Education Investment Limited; Ningbo Xinli New Dynamic Equity Investment Partnership (Limited Partnership); Beijing New Power Equity Investment Fund (Limited Partnership); Welight Capital L.P.; Domking Investment II, L.P.; GGV VII Investments Pte. Ltd.; GGV VII Plus Investments Pte. Ltd.; Expansion Project Technologies Holding SPV RSC Ltd; MIC Capital Management 23 RSC Ltd; The Prudential Assurance Company Limited; Alosa Limited</t>
        </is>
      </c>
      <c r="BK31" s="163" t="n">
        <v>0.1669</v>
      </c>
      <c r="BL31" s="161" t="inlineStr">
        <is>
          <t>NaN</t>
        </is>
      </c>
      <c r="BM31" s="164" t="inlineStr">
        <is>
          <t>Series A Preference Shares Investment</t>
        </is>
      </c>
      <c r="BN31" s="165" t="n">
        <v>5.61</v>
      </c>
      <c r="BO31" s="51" t="inlineStr">
        <is>
          <t>Natural person</t>
        </is>
      </c>
      <c r="BP31" s="135" t="n">
        <v>0.7239</v>
      </c>
      <c r="BQ31" s="135" t="n">
        <v>0.7239</v>
      </c>
      <c r="BR31" s="137" t="n">
        <v>7644691000</v>
      </c>
      <c r="BS31" s="51" t="inlineStr">
        <is>
          <t>Commercialized at scale (leading industrial supply chain technology and service provider in China)</t>
        </is>
      </c>
      <c r="BT31" s="142" t="n">
        <v>0</v>
      </c>
      <c r="BU31" s="60" t="inlineStr">
        <is>
          <t>Main Board</t>
        </is>
      </c>
      <c r="BV31" s="89" t="inlineStr">
        <is>
          <t>Ordinary Shares (single class; Cayman Islands incorporated)</t>
        </is>
      </c>
      <c r="BW31" s="61" t="n">
        <v>0</v>
      </c>
      <c r="BX31" s="77" t="n">
        <v>0</v>
      </c>
      <c r="BY31" s="77" t="n">
        <v>0</v>
      </c>
      <c r="BZ31" s="78" t="n">
        <v>0</v>
      </c>
      <c r="CA31" s="60" t="inlineStr">
        <is>
          <t>103010</t>
        </is>
      </c>
      <c r="CB31" s="76" t="inlineStr">
        <is>
          <t>HSICS (Hang Seng Industry Classification System) 2026</t>
        </is>
      </c>
      <c r="CC31" s="140" t="n">
        <v>43774</v>
      </c>
      <c r="CD31" s="171" t="n">
        <v>6.1</v>
      </c>
      <c r="CE31" s="76" t="inlineStr">
        <is>
          <t>Cayman Islands</t>
        </is>
      </c>
      <c r="CF31" s="89" t="inlineStr">
        <is>
          <t>Beijing, PRC</t>
        </is>
      </c>
      <c r="CG31" s="91" t="n">
        <v>1000</v>
      </c>
      <c r="CH31" s="60" t="inlineStr">
        <is>
          <t>IFRS Accounting Standards</t>
        </is>
      </c>
      <c r="CI31" s="141" t="n">
        <v>44927</v>
      </c>
      <c r="CJ31" s="141" t="n">
        <v>45291</v>
      </c>
      <c r="CK31" s="141" t="n">
        <v>45292</v>
      </c>
      <c r="CL31" s="141" t="n">
        <v>45657</v>
      </c>
      <c r="CM31" s="141" t="n">
        <v>45658</v>
      </c>
      <c r="CN31" s="64" t="n">
        <v>10250388000</v>
      </c>
      <c r="CO31" s="64" t="n">
        <v>512062000</v>
      </c>
      <c r="CP31" s="64" t="n">
        <v>451314000</v>
      </c>
      <c r="CQ31" s="141" t="n">
        <v>45994</v>
      </c>
      <c r="CR31" s="141" t="n">
        <v>45999</v>
      </c>
      <c r="CS31" s="63" t="n">
        <v>2677150661</v>
      </c>
      <c r="CT31" s="64" t="n">
        <v>1901590000</v>
      </c>
      <c r="CU31" s="64" t="n">
        <v>4712000</v>
      </c>
      <c r="CV31" s="59" t="inlineStr">
        <is>
          <t>Unqualified opinion</t>
        </is>
      </c>
      <c r="CW31" s="64" t="n">
        <v>150500000</v>
      </c>
      <c r="CX31" s="51" t="inlineStr">
        <is>
          <t>M&amp;G Investors; CPE Investment; AIM; IvyRock; CoreView; Schonfeld; Burkehill</t>
        </is>
      </c>
      <c r="CY31" s="142" t="n">
        <v>0.4445</v>
      </c>
      <c r="CZ31" s="136" t="n">
        <v>46184</v>
      </c>
      <c r="DA31" s="143" t="n">
        <v>60.52</v>
      </c>
      <c r="DB31" s="63" t="n">
        <v>72234</v>
      </c>
      <c r="DC31" s="63" t="n">
        <v>1278227400</v>
      </c>
      <c r="DD31" s="59" t="inlineStr">
        <is>
          <t>Subscription level 60.52 times (Hong Kong Public Offering); International Offering Subscription Level 7.88 times</t>
        </is>
      </c>
      <c r="DE31" s="141" t="n">
        <v>46000</v>
      </c>
      <c r="DF31" s="141" t="n">
        <v>46001</v>
      </c>
      <c r="DG31" s="63" t="n">
        <v>211208800</v>
      </c>
      <c r="DH31" s="63" t="n">
        <v>21121000</v>
      </c>
      <c r="DI31" s="63" t="n">
        <v>190087800</v>
      </c>
      <c r="DJ31" s="63" t="n">
        <v>3957400</v>
      </c>
      <c r="DK31" s="169" t="n">
        <v>0.124913</v>
      </c>
      <c r="DL31" s="59" t="inlineStr">
        <is>
          <t>Claw-back triggered: N/A — no reallocation from the International Offering; final Hong Kong Public Offering stayed at 21,121,000 Offer Shares (10.00% of the Global Offering)</t>
        </is>
      </c>
      <c r="DM31" s="144" t="n">
        <v>2827000000</v>
      </c>
      <c r="DN31" s="142" t="n">
        <v>0.2429</v>
      </c>
      <c r="DO31" s="51" t="n">
        <v>2687570231</v>
      </c>
      <c r="DP31" s="142" t="n">
        <v>0.0437</v>
      </c>
      <c r="DQ31" s="59" t="inlineStr">
        <is>
          <t>Free float denominator = total issued Shares immediately upon completion of the Global Offering and the Conversion Adjustment (excluding Shares to be issued under the Share Incentive Plans); numerator = Offer Shares (col_CS) less the Cornerstone Investors' allocation (col_CK x col_CS). Shares held by Controlling Shareholders and other locked-up pre-IPO holders are excluded.</t>
        </is>
      </c>
      <c r="DR31" s="63" t="n">
        <v>2687570231</v>
      </c>
      <c r="DS31" s="142" t="n">
        <v>0.00549664</v>
      </c>
      <c r="DT31" s="80" t="n">
        <v>31</v>
      </c>
      <c r="DU31" s="142" t="n">
        <v>0.0280232</v>
      </c>
      <c r="DV31" s="144" t="n">
        <v>53995000000</v>
      </c>
      <c r="DW31" s="145" t="n">
        <v>14.1</v>
      </c>
      <c r="DX31" s="169" t="n">
        <v>0</v>
      </c>
      <c r="DY31" s="172" t="n">
        <v>0</v>
      </c>
      <c r="DZ31" s="146" t="n">
        <v>13</v>
      </c>
      <c r="EA31" s="146" t="n">
        <v>14.15</v>
      </c>
      <c r="EB31" s="146" t="n">
        <v>12.66</v>
      </c>
      <c r="EC31" s="63" t="n">
        <v>39585468</v>
      </c>
      <c r="ED31" s="169" t="n">
        <v>0.187423</v>
      </c>
      <c r="EE31" s="64" t="n"/>
      <c r="EF31" s="60" t="inlineStr">
        <is>
          <t>Mechanism B</t>
        </is>
      </c>
      <c r="EG31" s="59" t="inlineStr">
        <is>
          <t>FINI (from 22/11/2023); 2025-08-04 pricing reform (Mechanism A/B; six-month cornerstone lock-up retained); this IPO: Mechanism B</t>
        </is>
      </c>
      <c r="EH31" t="inlineStr">
        <is>
          <t>京东工业股份有限公司</t>
        </is>
      </c>
      <c r="EI31" s="174" t="inlineStr">
        <is>
          <t>Active</t>
        </is>
      </c>
      <c r="EJ31" s="175" t="n">
        <v>14.22</v>
      </c>
      <c r="EK31" s="176" t="n">
        <v>0.008510999999999999</v>
      </c>
      <c r="EL31" s="176" t="n">
        <v>0.008510999999999999</v>
      </c>
      <c r="EM31" s="176" t="n">
        <v>0.042223</v>
      </c>
      <c r="EN31" s="176" t="n">
        <v>0.059374</v>
      </c>
      <c r="EO31" s="179" t="n">
        <v>0.9677</v>
      </c>
      <c r="EP31" s="179" t="n">
        <v>0.952</v>
      </c>
      <c r="EQ31" s="178" t="n">
        <v>50936925</v>
      </c>
      <c r="ER31" s="175" t="n">
        <v>12.92</v>
      </c>
      <c r="ES31" s="176" t="n">
        <v>-0.083688</v>
      </c>
      <c r="ET31" s="176" t="n">
        <v>-0.083688</v>
      </c>
      <c r="EU31" s="176" t="n">
        <v>-0.050184</v>
      </c>
      <c r="EV31" s="176" t="n">
        <v>-0.158792</v>
      </c>
      <c r="EW31" s="179" t="n">
        <v>0.9647</v>
      </c>
      <c r="EX31" s="179" t="n">
        <v>1.0893</v>
      </c>
      <c r="EY31" s="178" t="n">
        <v>18740840</v>
      </c>
      <c r="EZ31" s="176" t="n">
        <v>0.034485</v>
      </c>
      <c r="FA31" s="176" t="n"/>
      <c r="FB31" s="179" t="n"/>
      <c r="FC31" s="176" t="n"/>
      <c r="FD31" s="179" t="n"/>
      <c r="FE31" s="174" t="inlineStr">
        <is>
          <t>Standard</t>
        </is>
      </c>
      <c r="FF31" s="181" t="n"/>
      <c r="FG31" s="185" t="n"/>
      <c r="FH31" s="183" t="n"/>
      <c r="FI31" s="178" t="n"/>
      <c r="FJ31" s="176" t="n"/>
      <c r="FK31" s="185" t="n"/>
      <c r="FL31" s="178" t="n"/>
      <c r="FM31" s="176" t="n"/>
      <c r="FN31" s="176" t="n"/>
      <c r="FO31" s="176" t="n"/>
      <c r="FP31" s="176" t="n"/>
      <c r="FQ31" s="176" t="n">
        <v>-0.013475</v>
      </c>
      <c r="FR31" s="179" t="n">
        <v>0.9889</v>
      </c>
      <c r="FS31" s="176" t="n">
        <v>0.008510999999999999</v>
      </c>
      <c r="FT31" s="179" t="n">
        <v>0.9677</v>
      </c>
      <c r="FU31" s="176" t="n">
        <v>-0.028369</v>
      </c>
      <c r="FV31" s="179" t="n">
        <v>0.9578</v>
      </c>
      <c r="FW31" s="179" t="n">
        <v>1.0638</v>
      </c>
      <c r="FX31" s="178" t="n">
        <v>28959286.44</v>
      </c>
      <c r="FY31" s="186" t="n">
        <v>0.001615083333333333</v>
      </c>
      <c r="FZ31" s="183" t="n">
        <v>0</v>
      </c>
      <c r="GA31" s="176" t="n">
        <v>0.03375970540831218</v>
      </c>
      <c r="GB31" s="176" t="n">
        <v>0.277703</v>
      </c>
      <c r="GC31" s="185" t="n"/>
      <c r="GD31" s="185" t="n"/>
      <c r="GE31" s="176" t="n"/>
      <c r="GF31" s="176" t="n"/>
      <c r="GG31" s="179" t="n"/>
      <c r="GH31" s="181" t="inlineStr">
        <is>
          <t>Merrill Lynch (Asia Pacific) Limited</t>
        </is>
      </c>
      <c r="GI31" s="183" t="n">
        <v>4</v>
      </c>
      <c r="GJ31" s="183" t="n">
        <v>0</v>
      </c>
      <c r="GK31" s="176" t="n">
        <v>0.011</v>
      </c>
      <c r="GL31" s="176" t="n"/>
      <c r="GM31" s="176" t="n"/>
      <c r="GN31" s="183" t="n">
        <v>7</v>
      </c>
      <c r="GO31" s="183" t="n">
        <v>1</v>
      </c>
      <c r="GP31" s="183" t="n">
        <v>0</v>
      </c>
      <c r="GQ31" s="183" t="n">
        <v>23</v>
      </c>
      <c r="GR31" s="183" t="n">
        <v>1</v>
      </c>
      <c r="GS31" s="181" t="inlineStr">
        <is>
          <t>POST_FINI</t>
        </is>
      </c>
      <c r="GT31" s="181" t="inlineStr">
        <is>
          <t>POST_2025_REFORM</t>
        </is>
      </c>
    </row>
    <row r="32" ht="51" customFormat="1" customHeight="1" s="11">
      <c r="A32" s="43" t="n">
        <v>102</v>
      </c>
      <c r="B32" s="47" t="inlineStr">
        <is>
          <t>2655.HK</t>
        </is>
      </c>
      <c r="C32" s="44" t="inlineStr">
        <is>
          <t>Guoxia Technology Co., Ltd. - H shares</t>
        </is>
      </c>
      <c r="D32" s="130" t="n">
        <v>45999</v>
      </c>
      <c r="E32" s="48" t="n">
        <v>46007</v>
      </c>
      <c r="F32" s="43" t="inlineStr">
        <is>
          <t>China Everbright Capital Limited</t>
        </is>
      </c>
      <c r="G32" s="43" t="inlineStr">
        <is>
          <t>Ernst &amp; Young</t>
        </is>
      </c>
      <c r="H32" s="43" t="n"/>
      <c r="I32" s="131" t="n">
        <v>68044530</v>
      </c>
      <c r="J32" s="148" t="n">
        <v>831840510</v>
      </c>
      <c r="K32" s="133" t="n">
        <v>20.1</v>
      </c>
      <c r="L32" t="n">
        <v>506794075</v>
      </c>
      <c r="M32" s="67" t="n">
        <v>33852900</v>
      </c>
      <c r="N32" t="n">
        <v>472941175</v>
      </c>
      <c r="O32" t="n">
        <v>472941175</v>
      </c>
      <c r="P32" t="n">
        <v>0</v>
      </c>
      <c r="Q32" t="n">
        <v>33852900</v>
      </c>
      <c r="R32" s="67" t="n">
        <v>30467600</v>
      </c>
      <c r="S32" s="67" t="n">
        <v>3385300</v>
      </c>
      <c r="T32" s="147" t="n">
        <v>20.1</v>
      </c>
      <c r="U32" s="147" t="n">
        <v>20.1</v>
      </c>
      <c r="V32" s="169" t="n">
        <v>0</v>
      </c>
      <c r="W32" s="169" t="n">
        <v>0</v>
      </c>
      <c r="X32" s="170" t="inlineStr">
        <is>
          <t>Fixed price</t>
        </is>
      </c>
      <c r="Y32" s="26" t="inlineStr">
        <is>
          <t>RMB</t>
        </is>
      </c>
      <c r="Z32" s="137" t="n">
        <v>448175000</v>
      </c>
      <c r="AA32" s="137" t="n">
        <v>1148072000</v>
      </c>
      <c r="AB32" s="137" t="n">
        <v>1730796000</v>
      </c>
      <c r="AC32" s="137" t="n">
        <v>94663000</v>
      </c>
      <c r="AD32" s="137" t="n">
        <v>192792000</v>
      </c>
      <c r="AE32" s="137" t="n">
        <v>299970000</v>
      </c>
      <c r="AF32" s="137" t="n">
        <v>353512000</v>
      </c>
      <c r="AG32" s="137" t="n">
        <v>955280000</v>
      </c>
      <c r="AH32" s="137" t="n">
        <v>1430826000</v>
      </c>
      <c r="AI32" s="137" t="n">
        <v>314307000</v>
      </c>
      <c r="AJ32" s="137" t="n">
        <v>1025613000</v>
      </c>
      <c r="AK32" s="137" t="n">
        <v>1382740000</v>
      </c>
      <c r="AL32" s="137" t="n">
        <v>31793000</v>
      </c>
      <c r="AM32" s="137" t="n">
        <v>53820000</v>
      </c>
      <c r="AN32" s="137" t="n">
        <v>17100000</v>
      </c>
      <c r="AO32" s="137" t="n">
        <v>28148000</v>
      </c>
      <c r="AP32" s="137" t="n">
        <v>49119000</v>
      </c>
      <c r="AQ32" s="137" t="n">
        <v>11150000</v>
      </c>
      <c r="AR32" s="142" t="n">
        <v>0.05</v>
      </c>
      <c r="AS32" s="142" t="n">
        <v>0.05</v>
      </c>
      <c r="AT32" s="84" t="n">
        <v>0.15</v>
      </c>
      <c r="AU32" s="51" t="inlineStr">
        <is>
          <t>Renewable energy solutions and products provider in the energy storage industry — energy storage systems (ESS) solutions and products (large-scale, C&amp;I and residential ESS)</t>
        </is>
      </c>
      <c r="AV32" s="51" t="inlineStr">
        <is>
          <t>Main Board of The Stock Exchange of Hong Kong Limited</t>
        </is>
      </c>
      <c r="AW32" s="136" t="n">
        <v>45838</v>
      </c>
      <c r="AX32" s="137" t="n">
        <v>-204911000</v>
      </c>
      <c r="AY32" s="117" t="n">
        <v>46687000</v>
      </c>
      <c r="AZ32" s="117" t="n">
        <v>16657000</v>
      </c>
      <c r="BA32" s="117" t="n">
        <v>0</v>
      </c>
      <c r="BB32" s="138" t="n">
        <v>0.777</v>
      </c>
      <c r="BC32" s="139" t="n">
        <v>0.5</v>
      </c>
      <c r="BD32" s="80" t="n">
        <v>1</v>
      </c>
      <c r="BE32" s="161" t="n">
        <v>1</v>
      </c>
      <c r="BF32" s="161" t="n">
        <v>1</v>
      </c>
      <c r="BG32" s="161" t="n">
        <v>1</v>
      </c>
      <c r="BH32" s="161" t="inlineStr">
        <is>
          <t>NaN</t>
        </is>
      </c>
      <c r="BI32" s="161" t="inlineStr">
        <is>
          <t>NaN</t>
        </is>
      </c>
      <c r="BJ32" s="162" t="inlineStr">
        <is>
          <t>Shanghai Youce; Mr. Zhang; Wuxi Yuebai; Hainan Xuding; Mr. Cai Guoming; Mr. Lin Guodong; Mr. Qiao Xin; Ms. Zhang Panpan; Ms. Zhou Qiong; Ms. Xu Siyue; Mr. Liu Xin; Ms. Cui Yanan; Kaibo Hongcheng; Shenzhen Ningqian</t>
        </is>
      </c>
      <c r="BK32" s="163" t="n">
        <v>0.0672</v>
      </c>
      <c r="BL32" s="161" t="inlineStr">
        <is>
          <t>NaN</t>
        </is>
      </c>
      <c r="BM32" s="164" t="inlineStr">
        <is>
          <t>Equity transfers and capital increase in April 2019 and January 2021</t>
        </is>
      </c>
      <c r="BN32" s="165" t="n">
        <v>6.62</v>
      </c>
      <c r="BO32" s="51" t="inlineStr">
        <is>
          <t>自然人</t>
        </is>
      </c>
      <c r="BP32" s="135" t="n">
        <v>0.5463</v>
      </c>
      <c r="BQ32" s="135" t="n">
        <v>0.5463</v>
      </c>
      <c r="BR32" s="137" t="n">
        <v>386311000</v>
      </c>
      <c r="BS32" s="51" t="inlineStr">
        <is>
          <t>已量产/规模商业化：户用ESS产品自2022年起量产，大型及工商业ESS产品自2023年起自建产线、2024年5月第二条产线投产；2024年总产能达1,561.2 MWh</t>
        </is>
      </c>
      <c r="BT32" s="142" t="n">
        <v>0</v>
      </c>
      <c r="BU32" s="60" t="inlineStr">
        <is>
          <t>Main Board</t>
        </is>
      </c>
      <c r="BV32" s="89" t="inlineStr">
        <is>
          <t>H Shares</t>
        </is>
      </c>
      <c r="BW32" s="61" t="n">
        <v>0</v>
      </c>
      <c r="BX32" s="77" t="n">
        <v>0</v>
      </c>
      <c r="BY32" s="77" t="n">
        <v>0</v>
      </c>
      <c r="BZ32" s="78" t="n">
        <v>0</v>
      </c>
      <c r="CA32" s="60" t="inlineStr">
        <is>
          <t>101070</t>
        </is>
      </c>
      <c r="CB32" s="76" t="inlineStr">
        <is>
          <t>HSICS (Hang Seng Industry Classification System) 2026</t>
        </is>
      </c>
      <c r="CC32" s="140" t="n">
        <v>43469</v>
      </c>
      <c r="CD32" s="171" t="n">
        <v>6.95</v>
      </c>
      <c r="CE32" s="76" t="inlineStr">
        <is>
          <t>PRC</t>
        </is>
      </c>
      <c r="CF32" s="89" t="inlineStr">
        <is>
          <t>Wuxi City, Jiangsu Province, PRC</t>
        </is>
      </c>
      <c r="CG32" s="91" t="n"/>
      <c r="CH32" s="60" t="inlineStr">
        <is>
          <t>HKFRS Accounting Standards</t>
        </is>
      </c>
      <c r="CI32" s="141" t="n">
        <v>44927</v>
      </c>
      <c r="CJ32" s="141" t="n">
        <v>45291</v>
      </c>
      <c r="CK32" s="141" t="n">
        <v>45292</v>
      </c>
      <c r="CL32" s="141" t="n">
        <v>45657</v>
      </c>
      <c r="CM32" s="141" t="n">
        <v>45658</v>
      </c>
      <c r="CN32" s="64" t="n">
        <v>691370000</v>
      </c>
      <c r="CO32" s="64" t="n">
        <v>8550000</v>
      </c>
      <c r="CP32" s="64" t="n">
        <v>5575000</v>
      </c>
      <c r="CQ32" s="141" t="n">
        <v>45999</v>
      </c>
      <c r="CR32" s="141" t="n">
        <v>46002</v>
      </c>
      <c r="CS32" s="63" t="n">
        <v>383771840</v>
      </c>
      <c r="CT32" s="64" t="n">
        <v>86263000</v>
      </c>
      <c r="CU32" s="64" t="n">
        <v>53411000</v>
      </c>
      <c r="CV32" s="59" t="inlineStr">
        <is>
          <t>无保留意见 (Unqualified opinion)</t>
        </is>
      </c>
      <c r="CW32" s="64" t="n">
        <v>74800000</v>
      </c>
      <c r="CX32" s="51" t="inlineStr">
        <is>
          <t>Huikai Hong Kong Economic Development Co., Ltd.; Dream’ee (Hong Kong) Open-ended Fund Company; RIME Capital Limited</t>
        </is>
      </c>
      <c r="CY32" s="142" t="n">
        <v>0.0949</v>
      </c>
      <c r="CZ32" s="136" t="n">
        <v>46189</v>
      </c>
      <c r="DA32" s="143" t="n">
        <v>1890.73</v>
      </c>
      <c r="DB32" s="63" t="n">
        <v>161076</v>
      </c>
      <c r="DC32" s="63" t="n">
        <v>6400681900</v>
      </c>
      <c r="DD32" s="59" t="inlineStr">
        <is>
          <t>Subscription level 1,890.73 times</t>
        </is>
      </c>
      <c r="DE32" s="141" t="inlineStr">
        <is>
          <t>NA</t>
        </is>
      </c>
      <c r="DF32" s="141" t="n">
        <v>46006</v>
      </c>
      <c r="DG32" s="63" t="n">
        <v>38930800</v>
      </c>
      <c r="DH32" s="63" t="n">
        <v>3385300</v>
      </c>
      <c r="DI32" s="63" t="n">
        <v>35545500</v>
      </c>
      <c r="DJ32" s="63" t="n">
        <v>5839600</v>
      </c>
      <c r="DK32" s="169" t="n">
        <v>1</v>
      </c>
      <c r="DL32" s="59" t="inlineStr">
        <is>
          <t>No claw-back was triggered; the Public Offer remained at 3,385,300 Offer Shares while the International Offer rose to 35,545,500 Offer Shares through the full exercise of the Offer Size Adjustment Option.</t>
        </is>
      </c>
      <c r="DM32" s="144" t="n">
        <v>700550000</v>
      </c>
      <c r="DN32" s="142" t="n">
        <v>0.178</v>
      </c>
      <c r="DO32" s="51" t="n">
        <v>511871975</v>
      </c>
      <c r="DP32" s="142" t="n">
        <v>0.0688</v>
      </c>
      <c r="DQ32" s="59" t="inlineStr">
        <is>
          <t>Free float denominator = number of issued Shares upon Listing before exercise of the Over-allotment Option (511,871,975); numerator = final Global Offering Shares (38,930,800) less cornerstone allocation (3,694,000)</t>
        </is>
      </c>
      <c r="DR32" s="63" t="n">
        <v>511871975</v>
      </c>
      <c r="DS32" s="142" t="n">
        <v>-0.00597329</v>
      </c>
      <c r="DT32" s="80" t="n">
        <v>35</v>
      </c>
      <c r="DU32" s="142" t="n">
        <v>0.0307512</v>
      </c>
      <c r="DV32" s="144" t="n">
        <v>53877000000</v>
      </c>
      <c r="DW32" s="145" t="n">
        <v>43.8</v>
      </c>
      <c r="DX32" s="169" t="n">
        <v>1.179104</v>
      </c>
      <c r="DY32" s="172" t="n">
        <v>922659960</v>
      </c>
      <c r="DZ32" s="146" t="n">
        <v>38</v>
      </c>
      <c r="EA32" s="146" t="n">
        <v>49.3</v>
      </c>
      <c r="EB32" s="146" t="n">
        <v>37.84</v>
      </c>
      <c r="EC32" s="63" t="n">
        <v>8732200</v>
      </c>
      <c r="ED32" s="169" t="n">
        <v>0.224301</v>
      </c>
      <c r="EE32" s="64" t="n"/>
      <c r="EF32" s="60" t="inlineStr">
        <is>
          <t>Mechanism B</t>
        </is>
      </c>
      <c r="EG32" s="59" t="inlineStr">
        <is>
          <t>FINI (from 22/11/2023); 2025-08-04 pricing reform (Mechanism A/B; six-month cornerstone lock-up retained); this IPO: Mechanism B</t>
        </is>
      </c>
      <c r="EH32" t="inlineStr">
        <is>
          <t>果下科技股份有限公司</t>
        </is>
      </c>
      <c r="EI32" s="174" t="inlineStr">
        <is>
          <t>Active</t>
        </is>
      </c>
      <c r="EJ32" s="175" t="n">
        <v>52.3</v>
      </c>
      <c r="EK32" s="176" t="n">
        <v>0.194064</v>
      </c>
      <c r="EL32" s="176" t="n">
        <v>1.60199</v>
      </c>
      <c r="EM32" s="176" t="n">
        <v>0.066898</v>
      </c>
      <c r="EN32" s="176" t="n">
        <v>0.078823</v>
      </c>
      <c r="EO32" s="179" t="n">
        <v>1.1192</v>
      </c>
      <c r="EP32" s="179" t="n">
        <v>1.1068</v>
      </c>
      <c r="EQ32" s="178" t="n">
        <v>37294605</v>
      </c>
      <c r="ER32" s="175" t="n">
        <v>17.78</v>
      </c>
      <c r="ES32" s="176" t="n">
        <v>-0.594064</v>
      </c>
      <c r="ET32" s="176" t="n">
        <v>-0.115423</v>
      </c>
      <c r="EU32" s="176" t="n">
        <v>-0.029382</v>
      </c>
      <c r="EV32" s="176" t="n">
        <v>-0.137688</v>
      </c>
      <c r="EW32" s="179" t="n">
        <v>0.4182</v>
      </c>
      <c r="EX32" s="179" t="n">
        <v>0.4708</v>
      </c>
      <c r="EY32" s="178" t="n">
        <v>141869610</v>
      </c>
      <c r="EZ32" s="176" t="n">
        <v>0.400814</v>
      </c>
      <c r="FA32" s="176" t="n"/>
      <c r="FB32" s="179" t="n"/>
      <c r="FC32" s="176" t="n"/>
      <c r="FD32" s="179" t="n"/>
      <c r="FE32" s="174" t="inlineStr">
        <is>
          <t>Standard</t>
        </is>
      </c>
      <c r="FF32" s="181" t="n"/>
      <c r="FG32" s="185" t="n"/>
      <c r="FH32" s="183" t="n"/>
      <c r="FI32" s="178" t="n"/>
      <c r="FJ32" s="176" t="n"/>
      <c r="FK32" s="185" t="n"/>
      <c r="FL32" s="178" t="n"/>
      <c r="FM32" s="176" t="n"/>
      <c r="FN32" s="176" t="n"/>
      <c r="FO32" s="176" t="n"/>
      <c r="FP32" s="176" t="n"/>
      <c r="FQ32" s="176" t="n">
        <v>-0.031963</v>
      </c>
      <c r="FR32" s="179" t="n">
        <v>0.9468</v>
      </c>
      <c r="FS32" s="176" t="n">
        <v>0.194064</v>
      </c>
      <c r="FT32" s="179" t="n">
        <v>1.1192</v>
      </c>
      <c r="FU32" s="176" t="n">
        <v>0.011416</v>
      </c>
      <c r="FV32" s="179" t="n">
        <v>0.988</v>
      </c>
      <c r="FW32" s="179" t="n">
        <v>1.0689</v>
      </c>
      <c r="FX32" s="178" t="n">
        <v>36224093.22</v>
      </c>
      <c r="FY32" s="186" t="n">
        <v>0.0009673166666666667</v>
      </c>
      <c r="FZ32" s="183" t="n">
        <v>0</v>
      </c>
      <c r="GA32" s="176" t="n">
        <v>0.1313139471647962</v>
      </c>
      <c r="GB32" s="176" t="n">
        <v>0.778385</v>
      </c>
      <c r="GC32" s="185" t="n"/>
      <c r="GD32" s="185" t="n"/>
      <c r="GE32" s="176" t="n"/>
      <c r="GF32" s="176" t="n"/>
      <c r="GG32" s="179" t="n"/>
      <c r="GH32" s="181" t="inlineStr">
        <is>
          <t>China Everbright Capital Limited</t>
        </is>
      </c>
      <c r="GI32" s="183" t="n">
        <v>1</v>
      </c>
      <c r="GJ32" s="183" t="n">
        <v>0</v>
      </c>
      <c r="GK32" s="176" t="n">
        <v>0.05</v>
      </c>
      <c r="GL32" s="176" t="n"/>
      <c r="GM32" s="176" t="n"/>
      <c r="GN32" s="183" t="n">
        <v>4</v>
      </c>
      <c r="GO32" s="183" t="n">
        <v>1</v>
      </c>
      <c r="GP32" s="183" t="n">
        <v>0</v>
      </c>
      <c r="GQ32" s="183" t="n">
        <v>14</v>
      </c>
      <c r="GR32" s="183" t="n">
        <v>0</v>
      </c>
      <c r="GS32" s="181" t="inlineStr">
        <is>
          <t>POST_FINI</t>
        </is>
      </c>
      <c r="GT32" s="181" t="inlineStr">
        <is>
          <t>POST_2025_REFORM</t>
        </is>
      </c>
    </row>
    <row r="33" ht="51" customFormat="1" customHeight="1" s="11">
      <c r="A33" s="43" t="n">
        <v>103</v>
      </c>
      <c r="B33" s="47" t="inlineStr">
        <is>
          <t>3887.HK</t>
        </is>
      </c>
      <c r="C33" s="44" t="inlineStr">
        <is>
          <t>HashKey Holdings Limited</t>
        </is>
      </c>
      <c r="D33" s="130" t="n">
        <v>46000</v>
      </c>
      <c r="E33" s="48" t="n">
        <v>46008</v>
      </c>
      <c r="F33" s="43" t="inlineStr">
        <is>
          <t>J.P. Morgan Securities (Far East) Limited /
Guotai Junan Capital Limited</t>
        </is>
      </c>
      <c r="G33" s="43" t="inlineStr">
        <is>
          <t>KPMG</t>
        </is>
      </c>
      <c r="H33" s="43" t="n"/>
      <c r="I33" s="131" t="n">
        <v>160702096</v>
      </c>
      <c r="J33" s="148" t="n">
        <v>1452266736</v>
      </c>
      <c r="K33" s="133" t="n">
        <v>6.68</v>
      </c>
      <c r="L33" t="n">
        <v>2765176002</v>
      </c>
      <c r="M33" s="67" t="n">
        <v>240570000</v>
      </c>
      <c r="N33" t="n">
        <v>2524606002</v>
      </c>
      <c r="O33" t="n">
        <v>2524606002</v>
      </c>
      <c r="P33" t="n">
        <v>0</v>
      </c>
      <c r="Q33" t="n">
        <v>240570000</v>
      </c>
      <c r="R33" s="67" t="n">
        <v>216512800</v>
      </c>
      <c r="S33" s="67" t="n">
        <v>24057200</v>
      </c>
      <c r="T33" s="147" t="n">
        <v>6.95</v>
      </c>
      <c r="U33" s="147" t="n">
        <v>5.95</v>
      </c>
      <c r="V33" s="169" t="n">
        <v>0.035659</v>
      </c>
      <c r="W33" s="169" t="n">
        <v>0.155039</v>
      </c>
      <c r="X33" s="170" t="inlineStr">
        <is>
          <t>Within range</t>
        </is>
      </c>
      <c r="Y33" s="26" t="inlineStr">
        <is>
          <t>HKD</t>
        </is>
      </c>
      <c r="Z33" s="137" t="n">
        <v>1539276000</v>
      </c>
      <c r="AA33" s="137" t="n">
        <v>1613816000</v>
      </c>
      <c r="AB33" s="137" t="n">
        <v>1607359000</v>
      </c>
      <c r="AC33" s="137" t="n">
        <v>-530392000</v>
      </c>
      <c r="AD33" s="137" t="n">
        <v>-1052458000</v>
      </c>
      <c r="AE33" s="137" t="n">
        <v>-1581827000</v>
      </c>
      <c r="AF33" s="137" t="n">
        <v>2069668000</v>
      </c>
      <c r="AG33" s="137" t="n">
        <v>2666274000</v>
      </c>
      <c r="AH33" s="137" t="n">
        <v>3189186000</v>
      </c>
      <c r="AI33" s="137" t="n">
        <v>207792000</v>
      </c>
      <c r="AJ33" s="137" t="n">
        <v>720731000</v>
      </c>
      <c r="AK33" s="137" t="n">
        <v>567934000</v>
      </c>
      <c r="AL33" s="137" t="n">
        <v>-575967000</v>
      </c>
      <c r="AM33" s="137" t="n">
        <v>-1183470000</v>
      </c>
      <c r="AN33" s="137" t="n">
        <v>-1009400000</v>
      </c>
      <c r="AO33" s="137" t="n">
        <v>-579952000</v>
      </c>
      <c r="AP33" s="137" t="n">
        <v>-1189607000</v>
      </c>
      <c r="AQ33" s="137" t="n">
        <v>-1013492000</v>
      </c>
      <c r="AR33" s="142" t="n">
        <v>0.03</v>
      </c>
      <c r="AS33" s="142" t="n">
        <v>0.03</v>
      </c>
      <c r="AT33" s="84" t="n">
        <v>0.15</v>
      </c>
      <c r="AU33" s="51" t="inlineStr">
        <is>
          <t>Licensed digital asset platform: transaction facilitation services, on-chain services and asset management services</t>
        </is>
      </c>
      <c r="AV33" s="51" t="inlineStr">
        <is>
          <t>Main Board (Chapter 8 of the Listing Rules)</t>
        </is>
      </c>
      <c r="AW33" s="136" t="n">
        <v>45838</v>
      </c>
      <c r="AX33" s="137" t="n">
        <v>-266340000</v>
      </c>
      <c r="AY33" s="117" t="n">
        <v>396588000</v>
      </c>
      <c r="AZ33" s="117" t="n">
        <v>225232000</v>
      </c>
      <c r="BA33" s="117" t="n">
        <v>0</v>
      </c>
      <c r="BB33" s="138" t="n">
        <v>0.228</v>
      </c>
      <c r="BC33" s="139" t="n">
        <v>0.5</v>
      </c>
      <c r="BD33" s="80" t="n">
        <v>1</v>
      </c>
      <c r="BE33" s="161" t="n">
        <v>1</v>
      </c>
      <c r="BF33" s="161" t="n">
        <v>1</v>
      </c>
      <c r="BG33" s="161" t="n">
        <v>1</v>
      </c>
      <c r="BH33" s="161" t="n">
        <v>1</v>
      </c>
      <c r="BI33" s="161" t="n">
        <v>1</v>
      </c>
      <c r="BJ33" s="162" t="inlineStr">
        <is>
          <t>Open Horizon Holdings Limited; Fidelity China Special Situations PLC; Fidelity Funds; Prestige Wealth Group Limited; Black Shadows, L.P.; TDR Investment Inc; Tomars Limited; CMBI Private Equity Series SPC on behalf of and for the account of Links Opportunity Fund SP; People’s Capital Digital I L.P.; People’s Capital Digital II L.P.; JF SmartTrade (BVI) Limited; Summer Eternity Holdings Limited; BLACKLAKE INVESTMENT MANAGEMENT LTD; Epoch Vantage Limited; SmartDot Limited; Shining Light Grace Limited; Space Z PTE. LTD.; CMSC Partners OFC — Ignis Fund II; HUIDING TECHNOLOGY PTE. LTD.; New Port International Capital Limited; Ching Hiu Yuen; SNZ Holding Limited; Atlascap Metaverse Limited; EOS Network Ventures Fund I GP Ltd.; OKG Ventures Limited; Gortune AlphaGo Inv. Limited; Meitu Investment Ltd; Haili Metal One Hongkong Co., Limited</t>
        </is>
      </c>
      <c r="BK33" s="163" t="n">
        <v>0.1764</v>
      </c>
      <c r="BL33" s="161" t="n">
        <v>0</v>
      </c>
      <c r="BM33" s="164" t="inlineStr">
        <is>
          <t>Convertible Notes round (initial investment agreement dated September 22, 2022; converted into Series A Preferred Shares on December 29, 2023)</t>
        </is>
      </c>
      <c r="BN33" s="165" t="inlineStr">
        <is>
          <t>NaN</t>
        </is>
      </c>
      <c r="BO33" s="51" t="inlineStr">
        <is>
          <t>自然人（Mr. Lu）</t>
        </is>
      </c>
      <c r="BP33" s="135" t="n">
        <v>0.3943</v>
      </c>
      <c r="BQ33" s="135" t="n">
        <v>0.6036</v>
      </c>
      <c r="BR33" s="137" t="n">
        <v>2242070000</v>
      </c>
      <c r="BS33" s="51" t="inlineStr">
        <is>
          <t>Commercialised / large-scale commercial operations</t>
        </is>
      </c>
      <c r="BT33" s="142" t="n">
        <v>0</v>
      </c>
      <c r="BU33" s="60" t="inlineStr">
        <is>
          <t>Main Board</t>
        </is>
      </c>
      <c r="BV33" s="89" t="inlineStr">
        <is>
          <t>Ordinary Shares</t>
        </is>
      </c>
      <c r="BW33" s="61" t="n">
        <v>0</v>
      </c>
      <c r="BX33" s="77" t="n">
        <v>0</v>
      </c>
      <c r="BY33" s="77" t="n">
        <v>0</v>
      </c>
      <c r="BZ33" s="78" t="n">
        <v>0</v>
      </c>
      <c r="CA33" s="60" t="inlineStr">
        <is>
          <t>503040</t>
        </is>
      </c>
      <c r="CB33" s="76" t="inlineStr">
        <is>
          <t>HSICS (Hang Seng Industry Classification System) 2026</t>
        </is>
      </c>
      <c r="CC33" s="140" t="n">
        <v>43467</v>
      </c>
      <c r="CD33" s="171" t="n">
        <v>6.96</v>
      </c>
      <c r="CE33" s="76" t="inlineStr">
        <is>
          <t>Cayman Islands</t>
        </is>
      </c>
      <c r="CF33" s="89" t="inlineStr">
        <is>
          <t>Hong Kong</t>
        </is>
      </c>
      <c r="CG33" s="91" t="n"/>
      <c r="CH33" s="60" t="inlineStr">
        <is>
          <t>IFRS Accounting Standards</t>
        </is>
      </c>
      <c r="CI33" s="141" t="n">
        <v>44927</v>
      </c>
      <c r="CJ33" s="141" t="n">
        <v>45291</v>
      </c>
      <c r="CK33" s="141" t="n">
        <v>45292</v>
      </c>
      <c r="CL33" s="141" t="n">
        <v>45657</v>
      </c>
      <c r="CM33" s="141" t="n">
        <v>45658</v>
      </c>
      <c r="CN33" s="64" t="n">
        <v>283967000</v>
      </c>
      <c r="CO33" s="64" t="n">
        <v>-504700000</v>
      </c>
      <c r="CP33" s="64" t="n">
        <v>-506746000</v>
      </c>
      <c r="CQ33" s="141" t="n">
        <v>46000</v>
      </c>
      <c r="CR33" s="141" t="n">
        <v>46003</v>
      </c>
      <c r="CS33" s="63" t="n">
        <v>2765176002</v>
      </c>
      <c r="CT33" s="64" t="n">
        <v>184478000</v>
      </c>
      <c r="CU33" s="64" t="n">
        <v>1349000</v>
      </c>
      <c r="CV33" s="59" t="inlineStr">
        <is>
          <t>Unqualified opinion (true and fair view)</t>
        </is>
      </c>
      <c r="CW33" s="64" t="n">
        <v>125300000</v>
      </c>
      <c r="CX33" s="51" t="inlineStr">
        <is>
          <t>UBS AM Singapore; FIL Investment Management (Hong Kong) Limited; CDH Global Frontier Ventures Limited; Cithara Global Multi-Strategy SPC – Bosideng Industry Investment Fund SP; Infini Global Master Fund; Deep Source Holdings Limited; Profit Channel Development Limited; Space Z PTE. LTD.; Shining Light Grace Limited</t>
        </is>
      </c>
      <c r="CY33" s="142" t="n">
        <v>0.3634</v>
      </c>
      <c r="CZ33" s="136" t="n">
        <v>46190</v>
      </c>
      <c r="DA33" s="143" t="n">
        <v>393.71</v>
      </c>
      <c r="DB33" s="63" t="n">
        <v>88592</v>
      </c>
      <c r="DC33" s="63" t="n">
        <v>9471590800</v>
      </c>
      <c r="DD33" s="59" t="inlineStr">
        <is>
          <t>Subscription level 393.71 times (Hong Kong Public Offering)</t>
        </is>
      </c>
      <c r="DE33" s="141" t="n">
        <v>46006</v>
      </c>
      <c r="DF33" s="141" t="n">
        <v>46007</v>
      </c>
      <c r="DG33" s="63" t="n">
        <v>240570000</v>
      </c>
      <c r="DH33" s="63" t="n">
        <v>24057200</v>
      </c>
      <c r="DI33" s="63" t="n">
        <v>216512800</v>
      </c>
      <c r="DJ33" s="63" t="n">
        <v>892400</v>
      </c>
      <c r="DK33" s="169" t="n">
        <v>0.02473</v>
      </c>
      <c r="DL33" s="59" t="inlineStr">
        <is>
          <t>Reallocation: No. No. of Offer Shares reallocated from the International Offering: 0; final Hong Kong Public Offering 24,057,200 Shares (10% of the Global Offering).</t>
        </is>
      </c>
      <c r="DM33" s="144" t="n">
        <v>1479240781</v>
      </c>
      <c r="DN33" s="142" t="n">
        <v>0.248</v>
      </c>
      <c r="DO33" s="51" t="n">
        <v>2765176002</v>
      </c>
      <c r="DP33" s="142" t="n">
        <v>0.0554</v>
      </c>
      <c r="DQ33" s="59" t="inlineStr">
        <is>
          <t>Free float percentage of 5.54% is disclosed by the announcement against the total issued share capital of the Company immediately after the Global Offering (before exercise of the Over-allotment Option)</t>
        </is>
      </c>
      <c r="DR33" s="63" t="n">
        <v>2765176002</v>
      </c>
      <c r="DS33" s="142" t="n">
        <v>-0.03316072</v>
      </c>
      <c r="DT33" s="80" t="n">
        <v>36</v>
      </c>
      <c r="DU33" s="142" t="n">
        <v>0.0309571</v>
      </c>
      <c r="DV33" s="144" t="n">
        <v>53877000000</v>
      </c>
      <c r="DW33" s="145" t="n">
        <v>6.67</v>
      </c>
      <c r="DX33" s="169" t="n">
        <v>-0.001497</v>
      </c>
      <c r="DY33" s="172" t="n">
        <v>-2405700</v>
      </c>
      <c r="DZ33" s="146" t="n">
        <v>6.7</v>
      </c>
      <c r="EA33" s="146" t="n">
        <v>7.12</v>
      </c>
      <c r="EB33" s="146" t="n">
        <v>6.12</v>
      </c>
      <c r="EC33" s="63" t="n">
        <v>98920830</v>
      </c>
      <c r="ED33" s="169" t="n">
        <v>0.411194</v>
      </c>
      <c r="EE33" s="64" t="n"/>
      <c r="EF33" s="60" t="inlineStr">
        <is>
          <t>Mechanism B</t>
        </is>
      </c>
      <c r="EG33" s="59" t="inlineStr">
        <is>
          <t>FINI (from 22/11/2023); 2025-08-04 pricing reform (Mechanism A/B; six-month cornerstone lock-up retained); this IPO: Mechanism B</t>
        </is>
      </c>
      <c r="EH33" t="inlineStr">
        <is>
          <t>NA</t>
        </is>
      </c>
      <c r="EI33" s="174" t="inlineStr">
        <is>
          <t>Active</t>
        </is>
      </c>
      <c r="EJ33" s="175" t="n">
        <v>7.75</v>
      </c>
      <c r="EK33" s="176" t="n">
        <v>0.161919</v>
      </c>
      <c r="EL33" s="176" t="n">
        <v>0.16018</v>
      </c>
      <c r="EM33" s="176" t="n">
        <v>0.054034</v>
      </c>
      <c r="EN33" s="176" t="n">
        <v>0.066734</v>
      </c>
      <c r="EO33" s="179" t="n">
        <v>1.1024</v>
      </c>
      <c r="EP33" s="179" t="n">
        <v>1.0892</v>
      </c>
      <c r="EQ33" s="178" t="n">
        <v>82574255</v>
      </c>
      <c r="ER33" s="175" t="n">
        <v>2.81</v>
      </c>
      <c r="ES33" s="176" t="n">
        <v>-0.578711</v>
      </c>
      <c r="ET33" s="176" t="n">
        <v>-0.579341</v>
      </c>
      <c r="EU33" s="176" t="n">
        <v>-0.045413</v>
      </c>
      <c r="EV33" s="176" t="n">
        <v>-0.144538</v>
      </c>
      <c r="EW33" s="179" t="n">
        <v>0.4413</v>
      </c>
      <c r="EX33" s="179" t="n">
        <v>0.4925</v>
      </c>
      <c r="EY33" s="178" t="n">
        <v>4140075</v>
      </c>
      <c r="EZ33" s="176" t="n">
        <v>0.00622</v>
      </c>
      <c r="FA33" s="176" t="n"/>
      <c r="FB33" s="179" t="n"/>
      <c r="FC33" s="176" t="n"/>
      <c r="FD33" s="179" t="n"/>
      <c r="FE33" s="174" t="inlineStr">
        <is>
          <t>Standard</t>
        </is>
      </c>
      <c r="FF33" s="181" t="n"/>
      <c r="FG33" s="185" t="n"/>
      <c r="FH33" s="183" t="n"/>
      <c r="FI33" s="178" t="n"/>
      <c r="FJ33" s="176" t="n"/>
      <c r="FK33" s="185" t="n"/>
      <c r="FL33" s="178" t="n"/>
      <c r="FM33" s="176" t="n"/>
      <c r="FN33" s="176" t="n"/>
      <c r="FO33" s="176" t="n"/>
      <c r="FP33" s="176" t="n"/>
      <c r="FQ33" s="176" t="n">
        <v>-0.175412</v>
      </c>
      <c r="FR33" s="179" t="n">
        <v>0.8148</v>
      </c>
      <c r="FS33" s="176" t="n">
        <v>0.161919</v>
      </c>
      <c r="FT33" s="179" t="n">
        <v>1.1024</v>
      </c>
      <c r="FU33" s="176" t="n">
        <v>-0.206897</v>
      </c>
      <c r="FV33" s="179" t="n">
        <v>0.7808</v>
      </c>
      <c r="FW33" s="179" t="n">
        <v>0.8475</v>
      </c>
      <c r="FX33" s="178" t="n">
        <v>41713025.42</v>
      </c>
      <c r="FY33" s="186" t="n">
        <v>0.004057083333333334</v>
      </c>
      <c r="FZ33" s="183" t="n">
        <v>0</v>
      </c>
      <c r="GA33" s="176" t="n">
        <v>0.04299907568646896</v>
      </c>
      <c r="GB33" s="176" t="n">
        <v>0.654135</v>
      </c>
      <c r="GC33" s="185" t="n"/>
      <c r="GD33" s="185" t="n"/>
      <c r="GE33" s="176" t="n"/>
      <c r="GF33" s="176" t="n"/>
      <c r="GG33" s="179" t="n"/>
      <c r="GH33" s="181" t="inlineStr">
        <is>
          <t>J.P. Morgan Securities (Far East) Limited</t>
        </is>
      </c>
      <c r="GI33" s="183" t="n">
        <v>2</v>
      </c>
      <c r="GJ33" s="183" t="n">
        <v>0</v>
      </c>
      <c r="GK33" s="176" t="n">
        <v>0.03</v>
      </c>
      <c r="GL33" s="176" t="n"/>
      <c r="GM33" s="176" t="n"/>
      <c r="GN33" s="183" t="n">
        <v>9</v>
      </c>
      <c r="GO33" s="183" t="n">
        <v>1</v>
      </c>
      <c r="GP33" s="183" t="n">
        <v>0</v>
      </c>
      <c r="GQ33" s="183" t="n">
        <v>30</v>
      </c>
      <c r="GR33" s="183" t="n">
        <v>1</v>
      </c>
      <c r="GS33" s="181" t="inlineStr">
        <is>
          <t>POST_FINI</t>
        </is>
      </c>
      <c r="GT33" s="181" t="inlineStr">
        <is>
          <t>POST_2025_REFORM</t>
        </is>
      </c>
    </row>
    <row r="34" ht="68" customFormat="1" customHeight="1" s="11">
      <c r="A34" s="43" t="n">
        <v>105</v>
      </c>
      <c r="B34" s="47" t="inlineStr">
        <is>
          <t>2546.HK</t>
        </is>
      </c>
      <c r="C34" s="44" t="inlineStr">
        <is>
          <t>Xizang Zhihui Mining Co., Ltd. - H shares</t>
        </is>
      </c>
      <c r="D34" s="130" t="n">
        <v>46002</v>
      </c>
      <c r="E34" s="48" t="n">
        <v>46010</v>
      </c>
      <c r="F34" s="43" t="inlineStr">
        <is>
          <t>Sinolink Securities (Hong Kong) Company Limited / Maxa Capital Limited</t>
        </is>
      </c>
      <c r="G34" s="43" t="inlineStr">
        <is>
          <t>Deloitte Touche Tohmatsu</t>
        </is>
      </c>
      <c r="H34" s="43" t="n"/>
      <c r="I34" s="131" t="n">
        <v>55003960</v>
      </c>
      <c r="J34" s="148" t="n">
        <v>494999560</v>
      </c>
      <c r="K34" s="133" t="n">
        <v>4.51</v>
      </c>
      <c r="L34" t="n">
        <v>487805659</v>
      </c>
      <c r="M34" s="67" t="n">
        <v>121952000</v>
      </c>
      <c r="N34" t="n">
        <v>365853659</v>
      </c>
      <c r="O34" t="n">
        <v>365853659</v>
      </c>
      <c r="P34" t="n">
        <v>0</v>
      </c>
      <c r="Q34" t="n">
        <v>121952000</v>
      </c>
      <c r="R34" s="67" t="n">
        <v>109756000</v>
      </c>
      <c r="S34" s="67" t="n">
        <v>12196000</v>
      </c>
      <c r="T34" s="147" t="n">
        <v>4.51</v>
      </c>
      <c r="U34" s="147" t="n">
        <v>4.1</v>
      </c>
      <c r="V34" s="169" t="n">
        <v>0.047619</v>
      </c>
      <c r="W34" s="169" t="n">
        <v>0.095238</v>
      </c>
      <c r="X34" s="170" t="inlineStr">
        <is>
          <t>At high</t>
        </is>
      </c>
      <c r="Y34" s="26" t="inlineStr">
        <is>
          <t>RMB</t>
        </is>
      </c>
      <c r="Z34" s="137" t="n">
        <v>1292966000</v>
      </c>
      <c r="AA34" s="137" t="n">
        <v>1454895000</v>
      </c>
      <c r="AB34" s="137" t="n">
        <v>1508505000</v>
      </c>
      <c r="AC34" s="137" t="n">
        <v>957672000</v>
      </c>
      <c r="AD34" s="137" t="n">
        <v>1034101000</v>
      </c>
      <c r="AE34" s="137" t="n">
        <v>1085838000</v>
      </c>
      <c r="AF34" s="137" t="n">
        <v>335294000</v>
      </c>
      <c r="AG34" s="137" t="n">
        <v>420794000</v>
      </c>
      <c r="AH34" s="137" t="n">
        <v>422667000</v>
      </c>
      <c r="AI34" s="137" t="n">
        <v>546128000</v>
      </c>
      <c r="AJ34" s="137" t="n">
        <v>301434000</v>
      </c>
      <c r="AK34" s="137" t="n">
        <v>439932000</v>
      </c>
      <c r="AL34" s="137" t="n">
        <v>173793000</v>
      </c>
      <c r="AM34" s="137" t="n">
        <v>62860000</v>
      </c>
      <c r="AN34" s="137" t="n">
        <v>98227000</v>
      </c>
      <c r="AO34" s="137" t="n">
        <v>154725000</v>
      </c>
      <c r="AP34" s="137" t="n">
        <v>55854000</v>
      </c>
      <c r="AQ34" s="137" t="n">
        <v>88692000</v>
      </c>
      <c r="AR34" s="142" t="n">
        <v>0.03</v>
      </c>
      <c r="AS34" s="142" t="n">
        <v>0.03</v>
      </c>
      <c r="AT34" s="84" t="inlineStr">
        <is>
          <t>NaN</t>
        </is>
      </c>
      <c r="AU34" s="51" t="inlineStr">
        <is>
          <t>Mining - exploration, mining, production and sales of zinc, lead and copper concentrates</t>
        </is>
      </c>
      <c r="AV34" s="51" t="inlineStr">
        <is>
          <t>Main Board of the Stock Exchange</t>
        </is>
      </c>
      <c r="AW34" s="136" t="n">
        <v>45869</v>
      </c>
      <c r="AX34" s="137" t="n">
        <v>25257000</v>
      </c>
      <c r="AY34" s="117" t="n">
        <v>153432000</v>
      </c>
      <c r="AZ34" s="117" t="inlineStr">
        <is>
          <t>NaN</t>
        </is>
      </c>
      <c r="BA34" s="117" t="inlineStr">
        <is>
          <t>NaN</t>
        </is>
      </c>
      <c r="BB34" s="138" t="n">
        <v>0.8169999999999999</v>
      </c>
      <c r="BC34" s="139" t="n">
        <v>0.583333</v>
      </c>
      <c r="BD34" s="80" t="inlineStr">
        <is>
          <t>NaN</t>
        </is>
      </c>
      <c r="BE34" s="161" t="inlineStr">
        <is>
          <t>NaN</t>
        </is>
      </c>
      <c r="BF34" s="161" t="inlineStr">
        <is>
          <t>NaN</t>
        </is>
      </c>
      <c r="BG34" s="161" t="inlineStr">
        <is>
          <t>NaN</t>
        </is>
      </c>
      <c r="BH34" s="161" t="n">
        <v>1</v>
      </c>
      <c r="BI34" s="161" t="inlineStr">
        <is>
          <t>NaN</t>
        </is>
      </c>
      <c r="BJ34" s="162" t="inlineStr">
        <is>
          <t>Xizang Shengyuan Mineral Group Co., Ltd.</t>
        </is>
      </c>
      <c r="BK34" s="163" t="n">
        <v>0.4428</v>
      </c>
      <c r="BL34" s="161" t="n">
        <v>1</v>
      </c>
      <c r="BM34" s="164" t="inlineStr">
        <is>
          <t>Capital increase in 2020 by Xizang Shengyuan</t>
        </is>
      </c>
      <c r="BN34" s="165" t="n">
        <v>5.41</v>
      </c>
      <c r="BO34" s="51" t="inlineStr">
        <is>
          <t>Natural persons acting in concert (Ms. Fan, Ms. He and Mr. Lv)</t>
        </is>
      </c>
      <c r="BP34" s="135" t="n">
        <v>0.4179</v>
      </c>
      <c r="BQ34" s="135" t="n">
        <v>0.4179</v>
      </c>
      <c r="BR34" s="137" t="n">
        <v>94610000</v>
      </c>
      <c r="BS34" s="51" t="inlineStr">
        <is>
          <t>Commercial operation</t>
        </is>
      </c>
      <c r="BT34" s="142" t="n">
        <v>0.07000000000000001</v>
      </c>
      <c r="BU34" s="60" t="inlineStr">
        <is>
          <t>Main Board</t>
        </is>
      </c>
      <c r="BV34" s="89" t="inlineStr">
        <is>
          <t>H Shares</t>
        </is>
      </c>
      <c r="BW34" s="61" t="n">
        <v>0</v>
      </c>
      <c r="BX34" s="77" t="n">
        <v>0</v>
      </c>
      <c r="BY34" s="77" t="n">
        <v>0</v>
      </c>
      <c r="BZ34" s="78" t="n">
        <v>0</v>
      </c>
      <c r="CA34" s="60" t="inlineStr">
        <is>
          <t>052040</t>
        </is>
      </c>
      <c r="CB34" s="76" t="inlineStr">
        <is>
          <t>HSICS (Hang Seng Industry Classification System) 2026</t>
        </is>
      </c>
      <c r="CC34" s="140" t="n">
        <v>41606</v>
      </c>
      <c r="CD34" s="171" t="n">
        <v>12.06</v>
      </c>
      <c r="CE34" s="76" t="inlineStr">
        <is>
          <t>PRC</t>
        </is>
      </c>
      <c r="CF34" s="89" t="inlineStr">
        <is>
          <t>Nagqu, Xizang, PRC</t>
        </is>
      </c>
      <c r="CG34" s="91" t="n"/>
      <c r="CH34" s="60" t="inlineStr">
        <is>
          <t>IFRS Accounting Standards</t>
        </is>
      </c>
      <c r="CI34" s="141" t="n">
        <v>44927</v>
      </c>
      <c r="CJ34" s="141" t="n">
        <v>45291</v>
      </c>
      <c r="CK34" s="141" t="n">
        <v>45292</v>
      </c>
      <c r="CL34" s="141" t="n">
        <v>45657</v>
      </c>
      <c r="CM34" s="141" t="n">
        <v>45658</v>
      </c>
      <c r="CN34" s="64" t="n">
        <v>256627000</v>
      </c>
      <c r="CO34" s="64" t="n">
        <v>57299083</v>
      </c>
      <c r="CP34" s="64" t="n">
        <v>51737000</v>
      </c>
      <c r="CQ34" s="141" t="n">
        <v>46002</v>
      </c>
      <c r="CR34" s="141" t="n">
        <v>46007</v>
      </c>
      <c r="CS34" s="63" t="n">
        <v>121952000</v>
      </c>
      <c r="CT34" s="64" t="n">
        <v>85738000</v>
      </c>
      <c r="CU34" s="64" t="n">
        <v>56900000</v>
      </c>
      <c r="CV34" s="59" t="inlineStr">
        <is>
          <t>Unqualified opinion</t>
        </is>
      </c>
      <c r="CW34" s="64" t="n">
        <v>53800000</v>
      </c>
      <c r="CX34" s="51" t="inlineStr">
        <is>
          <t>Sparky International Company Limited; GIGA Industries Limited; Poly Platinum Enterprises Limited</t>
        </is>
      </c>
      <c r="CY34" s="142" t="n">
        <v>0.4078</v>
      </c>
      <c r="CZ34" s="136" t="n">
        <v>46192</v>
      </c>
      <c r="DA34" s="143" t="n">
        <v>5248.15</v>
      </c>
      <c r="DB34" s="63" t="n">
        <v>177542</v>
      </c>
      <c r="DC34" s="63" t="n">
        <v>64006413000</v>
      </c>
      <c r="DD34" s="59" t="inlineStr">
        <is>
          <t>Subscription level 5,248.15 times</t>
        </is>
      </c>
      <c r="DE34" s="141" t="n">
        <v>46008</v>
      </c>
      <c r="DF34" s="141" t="n">
        <v>46009</v>
      </c>
      <c r="DG34" s="63" t="n">
        <v>121952000</v>
      </c>
      <c r="DH34" s="63" t="n">
        <v>12196000</v>
      </c>
      <c r="DI34" s="63" t="n">
        <v>109756000</v>
      </c>
      <c r="DJ34" s="63" t="n">
        <v>0</v>
      </c>
      <c r="DK34" s="169" t="n">
        <v>0</v>
      </c>
      <c r="DL34" s="59" t="inlineStr">
        <is>
          <t>Claw-back triggered: Nil</t>
        </is>
      </c>
      <c r="DM34" s="144" t="n">
        <v>495100000</v>
      </c>
      <c r="DN34" s="142" t="n">
        <v>0.25</v>
      </c>
      <c r="DO34" s="51" t="n">
        <v>487805659</v>
      </c>
      <c r="DP34" s="142" t="n">
        <v>0.1481</v>
      </c>
      <c r="DQ34" s="59" t="inlineStr">
        <is>
          <t>total issued share capital of the Company upon completion of the Global Offering</t>
        </is>
      </c>
      <c r="DR34" s="63" t="n">
        <v>487805659</v>
      </c>
      <c r="DS34" s="142" t="n">
        <v>-0.05133031</v>
      </c>
      <c r="DT34" s="80" t="n">
        <v>37</v>
      </c>
      <c r="DU34" s="142" t="n">
        <v>0.0311435</v>
      </c>
      <c r="DV34" s="144" t="n">
        <v>53903000000</v>
      </c>
      <c r="DW34" s="145" t="n">
        <v>8.6</v>
      </c>
      <c r="DX34" s="169" t="n">
        <v>0.906874</v>
      </c>
      <c r="DY34" s="172" t="n">
        <v>498783680</v>
      </c>
      <c r="DZ34" s="146" t="n">
        <v>10.8</v>
      </c>
      <c r="EA34" s="146" t="n">
        <v>10.92</v>
      </c>
      <c r="EB34" s="146" t="n">
        <v>8</v>
      </c>
      <c r="EC34" s="63" t="n">
        <v>30390200</v>
      </c>
      <c r="ED34" s="169" t="n">
        <v>0.249198</v>
      </c>
      <c r="EE34" s="64" t="n"/>
      <c r="EF34" s="60" t="inlineStr">
        <is>
          <t>Mechanism B</t>
        </is>
      </c>
      <c r="EG34" s="59" t="inlineStr">
        <is>
          <t>FINI (from 22/11/2023); 2025-08-04 pricing reform (Mechanism A/B; six-month cornerstone lock-up retained); this IPO: Mechanism B</t>
        </is>
      </c>
      <c r="EH34" t="inlineStr">
        <is>
          <t>西藏智汇矿业股份有限公司</t>
        </is>
      </c>
      <c r="EI34" s="174" t="inlineStr">
        <is>
          <t>Active</t>
        </is>
      </c>
      <c r="EJ34" s="175" t="n">
        <v>9.773</v>
      </c>
      <c r="EK34" s="176" t="n">
        <v>0.152069</v>
      </c>
      <c r="EL34" s="176" t="n">
        <v>1.19685</v>
      </c>
      <c r="EM34" s="176" t="n">
        <v>0.031022</v>
      </c>
      <c r="EN34" s="176" t="n">
        <v>0.037306</v>
      </c>
      <c r="EO34" s="179" t="n">
        <v>1.1174</v>
      </c>
      <c r="EP34" s="179" t="n">
        <v>1.1106</v>
      </c>
      <c r="EQ34" s="178" t="n">
        <v>24810294</v>
      </c>
      <c r="ER34" s="175" t="n">
        <v>14.46</v>
      </c>
      <c r="ES34" s="176" t="n">
        <v>0.704586</v>
      </c>
      <c r="ET34" s="176" t="n">
        <v>2.250429</v>
      </c>
      <c r="EU34" s="176" t="n">
        <v>-0.07481400000000001</v>
      </c>
      <c r="EV34" s="176" t="n">
        <v>-0.16967</v>
      </c>
      <c r="EW34" s="179" t="n">
        <v>1.8424</v>
      </c>
      <c r="EX34" s="179" t="n">
        <v>2.0529</v>
      </c>
      <c r="EY34" s="178" t="n">
        <v>7592798</v>
      </c>
      <c r="EZ34" s="176" t="n">
        <v>0.025691</v>
      </c>
      <c r="FA34" s="176" t="n"/>
      <c r="FB34" s="179" t="n"/>
      <c r="FC34" s="176" t="n"/>
      <c r="FD34" s="179" t="n"/>
      <c r="FE34" s="174" t="inlineStr">
        <is>
          <t>Standard</t>
        </is>
      </c>
      <c r="FF34" s="181" t="n"/>
      <c r="FG34" s="185" t="n"/>
      <c r="FH34" s="183" t="n"/>
      <c r="FI34" s="178" t="n"/>
      <c r="FJ34" s="176" t="n"/>
      <c r="FK34" s="185" t="n"/>
      <c r="FL34" s="178" t="n"/>
      <c r="FM34" s="176" t="n"/>
      <c r="FN34" s="176" t="n"/>
      <c r="FO34" s="176" t="n"/>
      <c r="FP34" s="176" t="n"/>
      <c r="FQ34" s="176" t="n">
        <v>0.109631</v>
      </c>
      <c r="FR34" s="179" t="n">
        <v>1.112</v>
      </c>
      <c r="FS34" s="176" t="n">
        <v>0.152069</v>
      </c>
      <c r="FT34" s="179" t="n">
        <v>1.1174</v>
      </c>
      <c r="FU34" s="176" t="n">
        <v>0.789815</v>
      </c>
      <c r="FV34" s="179" t="n">
        <v>1.8031</v>
      </c>
      <c r="FW34" s="179" t="n">
        <v>1.9628</v>
      </c>
      <c r="FX34" s="178" t="n">
        <v>15901355.25</v>
      </c>
      <c r="FY34" s="186" t="n">
        <v>0.004747016666666667</v>
      </c>
      <c r="FZ34" s="183" t="n">
        <v>0</v>
      </c>
      <c r="GA34" s="176" t="n">
        <v>0.09538034227786703</v>
      </c>
      <c r="GB34" s="176" t="n">
        <v>0.389699</v>
      </c>
      <c r="GC34" s="185" t="n"/>
      <c r="GD34" s="185" t="n"/>
      <c r="GE34" s="176" t="n"/>
      <c r="GF34" s="176" t="n"/>
      <c r="GG34" s="179" t="n"/>
      <c r="GH34" s="181" t="inlineStr">
        <is>
          <t>Sinolink Securities (Hong Kong) Company Limited</t>
        </is>
      </c>
      <c r="GI34" s="183" t="n">
        <v>2</v>
      </c>
      <c r="GJ34" s="183" t="n">
        <v>0</v>
      </c>
      <c r="GK34" s="176" t="n">
        <v>0.03</v>
      </c>
      <c r="GL34" s="176" t="n"/>
      <c r="GM34" s="176" t="n"/>
      <c r="GN34" s="183" t="n">
        <v>3</v>
      </c>
      <c r="GO34" s="183" t="n">
        <v>0</v>
      </c>
      <c r="GP34" s="183" t="n">
        <v>0</v>
      </c>
      <c r="GQ34" s="183" t="n">
        <v>2</v>
      </c>
      <c r="GR34" s="183" t="n">
        <v>1</v>
      </c>
      <c r="GS34" s="181" t="inlineStr">
        <is>
          <t>POST_FINI</t>
        </is>
      </c>
      <c r="GT34" s="181" t="inlineStr">
        <is>
          <t>POST_2025_REFORM</t>
        </is>
      </c>
    </row>
    <row r="35" ht="34" customFormat="1" customHeight="1" s="11">
      <c r="A35" s="43" t="n">
        <v>104</v>
      </c>
      <c r="B35" s="47" t="inlineStr">
        <is>
          <t>3881.HK</t>
        </is>
      </c>
      <c r="C35" s="44" t="inlineStr">
        <is>
          <t>CiDi Inc. - H shares</t>
        </is>
      </c>
      <c r="D35" s="130" t="n">
        <v>46002</v>
      </c>
      <c r="E35" s="48" t="n">
        <v>46010</v>
      </c>
      <c r="F35" s="43" t="inlineStr">
        <is>
          <t>China International Capital Corporation 
Hong Kong Securities Limited/
China Securities (International) 
Corporate Finance Company Limited/
Ping An of China Capital 
(Hong Kong) Company Limited</t>
        </is>
      </c>
      <c r="G35" s="43" t="inlineStr">
        <is>
          <t>BDO Limited</t>
        </is>
      </c>
      <c r="H35" s="43" t="inlineStr">
        <is>
          <t>AVISTA Valuation Advisory Limited</t>
        </is>
      </c>
      <c r="I35" s="131" t="n">
        <v>142230400</v>
      </c>
      <c r="J35" s="148" t="n">
        <v>1280068340</v>
      </c>
      <c r="K35" s="133" t="n">
        <v>263</v>
      </c>
      <c r="L35" t="n">
        <v>43789310</v>
      </c>
      <c r="M35" s="67" t="n">
        <v>5407980</v>
      </c>
      <c r="N35" t="n">
        <v>38381330</v>
      </c>
      <c r="O35" t="n">
        <v>38381330</v>
      </c>
      <c r="P35" t="n">
        <v>0</v>
      </c>
      <c r="Q35" t="n">
        <v>5407980</v>
      </c>
      <c r="R35" s="67" t="n">
        <v>5137580</v>
      </c>
      <c r="S35" s="67" t="n">
        <v>270400</v>
      </c>
      <c r="T35" s="147" t="n">
        <v>263</v>
      </c>
      <c r="U35" s="147" t="n">
        <v>263</v>
      </c>
      <c r="V35" s="169" t="n">
        <v>0</v>
      </c>
      <c r="W35" s="169" t="n">
        <v>0</v>
      </c>
      <c r="X35" s="170" t="inlineStr">
        <is>
          <t>Fixed price</t>
        </is>
      </c>
      <c r="Y35" s="26" t="inlineStr">
        <is>
          <t>RMB</t>
        </is>
      </c>
      <c r="Z35" s="137" t="n">
        <v>1308181000</v>
      </c>
      <c r="AA35" s="137" t="n">
        <v>1243232000</v>
      </c>
      <c r="AB35" s="137" t="n">
        <v>1604456000</v>
      </c>
      <c r="AC35" s="137" t="n">
        <v>-856996000</v>
      </c>
      <c r="AD35" s="137" t="n">
        <v>-1117875000</v>
      </c>
      <c r="AE35" s="137" t="n">
        <v>-1306207000</v>
      </c>
      <c r="AF35" s="137" t="n">
        <v>2165177000</v>
      </c>
      <c r="AG35" s="137" t="n">
        <v>2361107000</v>
      </c>
      <c r="AH35" s="137" t="n">
        <v>2910663000</v>
      </c>
      <c r="AI35" s="137" t="n">
        <v>132604000</v>
      </c>
      <c r="AJ35" s="137" t="n">
        <v>410035000</v>
      </c>
      <c r="AK35" s="137" t="n">
        <v>816072000</v>
      </c>
      <c r="AL35" s="137" t="n">
        <v>-290136000</v>
      </c>
      <c r="AM35" s="137" t="n">
        <v>-609156000</v>
      </c>
      <c r="AN35" s="137" t="n">
        <v>-959690000</v>
      </c>
      <c r="AO35" s="137" t="n">
        <v>-255079000</v>
      </c>
      <c r="AP35" s="137" t="n">
        <v>-580844000</v>
      </c>
      <c r="AQ35" s="137" t="n">
        <v>-910172000</v>
      </c>
      <c r="AR35" s="142" t="n">
        <v>0.03</v>
      </c>
      <c r="AS35" s="142" t="n">
        <v>0.03</v>
      </c>
      <c r="AT35" s="84" t="n">
        <v>0.15</v>
      </c>
      <c r="AU35" s="51" t="inlineStr">
        <is>
          <t>Intelligent driving products and solutions for commercial vehicles</t>
        </is>
      </c>
      <c r="AV35" s="51" t="inlineStr">
        <is>
          <t>Chapter 18C</t>
        </is>
      </c>
      <c r="AW35" s="136" t="n">
        <v>45838</v>
      </c>
      <c r="AX35" s="137" t="n">
        <v>-208210000</v>
      </c>
      <c r="AY35" s="117" t="n">
        <v>186225000</v>
      </c>
      <c r="AZ35" s="117" t="n">
        <v>151317000</v>
      </c>
      <c r="BA35" s="117" t="n">
        <v>0</v>
      </c>
      <c r="BB35" s="138" t="n">
        <v>0.9409999999999999</v>
      </c>
      <c r="BC35" s="139" t="n">
        <v>0.5</v>
      </c>
      <c r="BD35" s="80" t="n">
        <v>1</v>
      </c>
      <c r="BE35" s="161" t="n">
        <v>1</v>
      </c>
      <c r="BF35" s="161" t="n">
        <v>1</v>
      </c>
      <c r="BG35" s="161" t="n">
        <v>1</v>
      </c>
      <c r="BH35" s="161" t="n">
        <v>1</v>
      </c>
      <c r="BI35" s="161" t="n">
        <v>1</v>
      </c>
      <c r="BJ35" s="162" t="inlineStr">
        <is>
          <t>HongShan; Xinding Capital; Founder Hesheng Investment; Legend Holdings; Liangjiang Fund; Xiangjiang State Investment; Ruishi Capital; Baidu; Qinghao Capital; CEL; Guangkong Zhongying; Qingdao Zhenghan; Qiandao Capital; Sanze Capital; Lens Technology; Juncheng Hongxin; Chengdu Technology VC; Chuanghe Huimao; Xingxiang Fangzheng; Xinjun Electronics; Guotou Chuangying; Yunfa Ruichi; Ceyuan Guangyi Digital Fund; Xindiyuan Investors; Baodechang; Jingkai Qitao; Tianjin Shengde; Nanjing Bestway; Hunan Zhibo; Lakeside VC</t>
        </is>
      </c>
      <c r="BK35" s="163" t="n">
        <v>0.5636</v>
      </c>
      <c r="BL35" s="161" t="n">
        <v>1</v>
      </c>
      <c r="BM35" s="164" t="inlineStr">
        <is>
          <t>Series A</t>
        </is>
      </c>
      <c r="BN35" s="165" t="n">
        <v>7.73</v>
      </c>
      <c r="BO35" s="51" t="inlineStr">
        <is>
          <t>自然人</t>
        </is>
      </c>
      <c r="BP35" s="135" t="n">
        <v>0.3825</v>
      </c>
      <c r="BQ35" s="135" t="n">
        <v>0.3825</v>
      </c>
      <c r="BR35" s="137" t="n">
        <v>2344857000</v>
      </c>
      <c r="BS35" s="51" t="inlineStr">
        <is>
          <t>规模商业化</t>
        </is>
      </c>
      <c r="BT35" s="142" t="n">
        <v>0</v>
      </c>
      <c r="BU35" s="60" t="inlineStr">
        <is>
          <t>Main Board</t>
        </is>
      </c>
      <c r="BV35" s="89" t="inlineStr">
        <is>
          <t>H Shares</t>
        </is>
      </c>
      <c r="BW35" s="61" t="n">
        <v>0</v>
      </c>
      <c r="BX35" s="77" t="n">
        <v>0</v>
      </c>
      <c r="BY35" s="77" t="n">
        <v>0</v>
      </c>
      <c r="BZ35" s="78" t="n">
        <v>1</v>
      </c>
      <c r="CA35" s="60" t="inlineStr">
        <is>
          <t>101010</t>
        </is>
      </c>
      <c r="CB35" s="76" t="inlineStr">
        <is>
          <t>HSICS (Hang Seng Industry Classification System) 2026</t>
        </is>
      </c>
      <c r="CC35" s="140" t="n">
        <v>43024</v>
      </c>
      <c r="CD35" s="171" t="n">
        <v>8.18</v>
      </c>
      <c r="CE35" s="76" t="inlineStr">
        <is>
          <t>PRC</t>
        </is>
      </c>
      <c r="CF35" s="89" t="inlineStr">
        <is>
          <t>Changsha, PRC</t>
        </is>
      </c>
      <c r="CG35" s="91" t="n"/>
      <c r="CH35" s="60" t="inlineStr">
        <is>
          <t>IFRS Accounting Standards</t>
        </is>
      </c>
      <c r="CI35" s="141" t="n">
        <v>44927</v>
      </c>
      <c r="CJ35" s="141" t="n">
        <v>45291</v>
      </c>
      <c r="CK35" s="141" t="n">
        <v>45292</v>
      </c>
      <c r="CL35" s="141" t="n">
        <v>45657</v>
      </c>
      <c r="CM35" s="141" t="n">
        <v>45658</v>
      </c>
      <c r="CN35" s="64" t="n">
        <v>408036000</v>
      </c>
      <c r="CO35" s="64" t="n">
        <v>-479845000</v>
      </c>
      <c r="CP35" s="64" t="n">
        <v>-455086000</v>
      </c>
      <c r="CQ35" s="141" t="n">
        <v>46002</v>
      </c>
      <c r="CR35" s="141" t="n">
        <v>46007</v>
      </c>
      <c r="CS35" s="63" t="n">
        <v>42443892</v>
      </c>
      <c r="CT35" s="64" t="n">
        <v>69708000</v>
      </c>
      <c r="CU35" s="64" t="n">
        <v>1770000</v>
      </c>
      <c r="CV35" s="59" t="inlineStr">
        <is>
          <t>Unqualified opinion</t>
        </is>
      </c>
      <c r="CW35" s="64" t="n">
        <v>113300000</v>
      </c>
      <c r="CX35" s="51" t="inlineStr">
        <is>
          <t>Hunan Xiangjiang Zhicheng Industrial Investment Fund Partnership (Limited Partnership); Nanning Zhijia No. 1 Ruiyue Equity Investment Partnership (Limited Partnership); ICBC UBS Asset Management Company Limited; ICBC UBS Asset Management (International) Company Limited; Qianhai Kaiyuan Qunwei QDII Single Asset Management Plan</t>
        </is>
      </c>
      <c r="CY35" s="142" t="n">
        <v>0.3839</v>
      </c>
      <c r="CZ35" s="136" t="n">
        <v>46192</v>
      </c>
      <c r="DA35" s="143" t="n">
        <v>22.55</v>
      </c>
      <c r="DB35" s="63" t="n">
        <v>17353</v>
      </c>
      <c r="DC35" s="63" t="n">
        <v>6096750</v>
      </c>
      <c r="DD35" s="59" t="inlineStr">
        <is>
          <t>Subscription level 22.55 times</t>
        </is>
      </c>
      <c r="DE35" s="141" t="inlineStr">
        <is>
          <t>NA</t>
        </is>
      </c>
      <c r="DF35" s="141" t="n">
        <v>46009</v>
      </c>
      <c r="DG35" s="63" t="n">
        <v>5407980</v>
      </c>
      <c r="DH35" s="63" t="n">
        <v>540800</v>
      </c>
      <c r="DI35" s="63" t="n">
        <v>4867180</v>
      </c>
      <c r="DJ35" s="63" t="n">
        <v>0</v>
      </c>
      <c r="DK35" s="169" t="n">
        <v>0</v>
      </c>
      <c r="DL35" s="59" t="inlineStr">
        <is>
          <t>Clawback triggered: Yes; 270,400 Offer Shares reallocated from the International Offering to the Hong Kong Public Offering</t>
        </is>
      </c>
      <c r="DM35" s="144" t="n">
        <v>1309030000</v>
      </c>
      <c r="DN35" s="142" t="n">
        <v>0.5868</v>
      </c>
      <c r="DO35" s="51" t="n">
        <v>43789310</v>
      </c>
      <c r="DP35" s="142" t="n">
        <v>0.0761</v>
      </c>
      <c r="DQ35" s="59" t="inlineStr">
        <is>
          <t>Free float denominator = total issued shares upon listing (col_CZ); numerator = offer shares minus cornerstone allocation</t>
        </is>
      </c>
      <c r="DR35" s="63" t="n">
        <v>43789310</v>
      </c>
      <c r="DS35" s="142" t="n">
        <v>-0.05133031</v>
      </c>
      <c r="DT35" s="80" t="n">
        <v>37</v>
      </c>
      <c r="DU35" s="142" t="n">
        <v>0.0311435</v>
      </c>
      <c r="DV35" s="144" t="n">
        <v>53903000000</v>
      </c>
      <c r="DW35" s="145" t="n">
        <v>227</v>
      </c>
      <c r="DX35" s="169" t="n">
        <v>-0.136882</v>
      </c>
      <c r="DY35" s="172" t="n">
        <v>-194687280</v>
      </c>
      <c r="DZ35" s="146" t="n">
        <v>263</v>
      </c>
      <c r="EA35" s="146" t="n">
        <v>263</v>
      </c>
      <c r="EB35" s="146" t="n">
        <v>218</v>
      </c>
      <c r="EC35" s="63" t="n">
        <v>811640</v>
      </c>
      <c r="ED35" s="169" t="n">
        <v>0.150082</v>
      </c>
      <c r="EE35" s="64" t="n"/>
      <c r="EF35" s="60" t="inlineStr">
        <is>
          <t>NA</t>
        </is>
      </c>
      <c r="EG35" s="59" t="inlineStr">
        <is>
          <t>FINI (from 22/11/2023); 2025-08-04 pricing reform (Mechanism A/B; six-month cornerstone lock-up retained)</t>
        </is>
      </c>
      <c r="EH35" t="inlineStr">
        <is>
          <t>希迪智驾科技股份有限公司</t>
        </is>
      </c>
      <c r="EI35" s="174" t="inlineStr">
        <is>
          <t>Active</t>
        </is>
      </c>
      <c r="EJ35" s="175" t="n">
        <v>25.52</v>
      </c>
      <c r="EK35" s="176" t="n">
        <v>0.124229</v>
      </c>
      <c r="EL35" s="176" t="n">
        <v>-0.029658</v>
      </c>
      <c r="EM35" s="176" t="n">
        <v>0.031022</v>
      </c>
      <c r="EN35" s="176" t="n">
        <v>0.037306</v>
      </c>
      <c r="EO35" s="179" t="n">
        <v>1.0904</v>
      </c>
      <c r="EP35" s="179" t="n">
        <v>1.0838</v>
      </c>
      <c r="EQ35" s="178" t="n">
        <v>21811471</v>
      </c>
      <c r="ER35" s="175" t="n">
        <v>22.22</v>
      </c>
      <c r="ES35" s="176" t="n">
        <v>-0.021145</v>
      </c>
      <c r="ET35" s="176" t="n">
        <v>-0.155133</v>
      </c>
      <c r="EU35" s="176" t="n">
        <v>-0.07481400000000001</v>
      </c>
      <c r="EV35" s="176" t="n">
        <v>-0.16967</v>
      </c>
      <c r="EW35" s="179" t="n">
        <v>1.058</v>
      </c>
      <c r="EX35" s="179" t="n">
        <v>1.1789</v>
      </c>
      <c r="EY35" s="178" t="n">
        <v>84679577</v>
      </c>
      <c r="EZ35" s="176" t="n">
        <v>0.421667</v>
      </c>
      <c r="FA35" s="176" t="n"/>
      <c r="FB35" s="179" t="n"/>
      <c r="FC35" s="176" t="n"/>
      <c r="FD35" s="179" t="n"/>
      <c r="FE35" s="174" t="inlineStr">
        <is>
          <t>18C (Specialist Tech)</t>
        </is>
      </c>
      <c r="FF35" s="181" t="n"/>
      <c r="FG35" s="185" t="n"/>
      <c r="FH35" s="183" t="n"/>
      <c r="FI35" s="178" t="n"/>
      <c r="FJ35" s="176" t="n"/>
      <c r="FK35" s="185" t="n"/>
      <c r="FL35" s="178" t="n"/>
      <c r="FM35" s="176" t="n"/>
      <c r="FN35" s="176" t="n"/>
      <c r="FO35" s="176" t="n"/>
      <c r="FP35" s="176" t="n"/>
      <c r="FQ35" s="176" t="n">
        <v>0.030837</v>
      </c>
      <c r="FR35" s="179" t="n">
        <v>1.0331</v>
      </c>
      <c r="FS35" s="176" t="n">
        <v>0.124229</v>
      </c>
      <c r="FT35" s="179" t="n">
        <v>1.0904</v>
      </c>
      <c r="FU35" s="176" t="n">
        <v>-0.07489</v>
      </c>
      <c r="FV35" s="179" t="n">
        <v>0.9320000000000001</v>
      </c>
      <c r="FW35" s="179" t="n">
        <v>1.0145</v>
      </c>
      <c r="FX35" s="178" t="n">
        <v>11091043.9</v>
      </c>
      <c r="FY35" s="186" t="n">
        <v>0.004719291666666667</v>
      </c>
      <c r="FZ35" s="183" t="n">
        <v>0</v>
      </c>
      <c r="GA35" s="176" t="n">
        <v>0.1037499802808928</v>
      </c>
      <c r="GB35" s="176" t="n">
        <v>0.579501</v>
      </c>
      <c r="GC35" s="185" t="n"/>
      <c r="GD35" s="185" t="n"/>
      <c r="GE35" s="176" t="n"/>
      <c r="GF35" s="176" t="n"/>
      <c r="GG35" s="179" t="n"/>
      <c r="GH35" s="181" t="inlineStr">
        <is>
          <t>China International Capital Corporation Hong Kong Securities Limited</t>
        </is>
      </c>
      <c r="GI35" s="183" t="n">
        <v>3</v>
      </c>
      <c r="GJ35" s="183" t="n">
        <v>1</v>
      </c>
      <c r="GK35" s="176" t="n">
        <v>0.03</v>
      </c>
      <c r="GL35" s="176" t="n"/>
      <c r="GM35" s="176" t="n"/>
      <c r="GN35" s="183" t="n">
        <v>5</v>
      </c>
      <c r="GO35" s="183" t="n">
        <v>1</v>
      </c>
      <c r="GP35" s="183" t="n">
        <v>0</v>
      </c>
      <c r="GQ35" s="183" t="n">
        <v>30</v>
      </c>
      <c r="GR35" s="183" t="n">
        <v>1</v>
      </c>
      <c r="GS35" s="181" t="inlineStr">
        <is>
          <t>POST_FINI</t>
        </is>
      </c>
      <c r="GT35" s="181" t="inlineStr">
        <is>
          <t>POST_2025_REFORM</t>
        </is>
      </c>
    </row>
    <row r="36" ht="51" customFormat="1" customHeight="1" s="11">
      <c r="A36" s="43" t="n">
        <v>106</v>
      </c>
      <c r="B36" s="47" t="inlineStr">
        <is>
          <t>2396.HK</t>
        </is>
      </c>
      <c r="C36" s="44" t="inlineStr">
        <is>
          <t>B&amp;K CORPORATION LIMITED - B - H shares</t>
        </is>
      </c>
      <c r="D36" s="130" t="n">
        <v>46003</v>
      </c>
      <c r="E36" s="48" t="n">
        <v>46013</v>
      </c>
      <c r="F36" s="43" t="inlineStr">
        <is>
          <t>Huatai Financial Holdings (Hong Kong) Limited / 
CITIC Securities (Hong Kong) Limited</t>
        </is>
      </c>
      <c r="G36" s="43" t="inlineStr">
        <is>
          <t>Ernst &amp; Young</t>
        </is>
      </c>
      <c r="H36" s="43" t="n"/>
      <c r="I36" s="131" t="n">
        <v>67423000</v>
      </c>
      <c r="J36" s="148" t="n">
        <v>606761160</v>
      </c>
      <c r="K36" s="133" t="n">
        <v>38.2</v>
      </c>
      <c r="L36" t="n">
        <v>117657522</v>
      </c>
      <c r="M36" s="67" t="n">
        <v>17648800</v>
      </c>
      <c r="N36" t="n">
        <v>100008722</v>
      </c>
      <c r="O36" t="n">
        <v>100008722</v>
      </c>
      <c r="P36" t="n">
        <v>0</v>
      </c>
      <c r="Q36" t="n">
        <v>17648800</v>
      </c>
      <c r="R36" s="67" t="n">
        <v>15883800</v>
      </c>
      <c r="S36" s="67" t="n">
        <v>1765000</v>
      </c>
      <c r="T36" s="147" t="n">
        <v>51</v>
      </c>
      <c r="U36" s="147" t="n">
        <v>38.2</v>
      </c>
      <c r="V36" s="169" t="n">
        <v>-0.143498</v>
      </c>
      <c r="W36" s="169" t="n">
        <v>0.286996</v>
      </c>
      <c r="X36" s="170" t="inlineStr">
        <is>
          <t>At low</t>
        </is>
      </c>
      <c r="Y36" s="26" t="inlineStr">
        <is>
          <t>RMB</t>
        </is>
      </c>
      <c r="Z36" s="137" t="n">
        <v>263089000</v>
      </c>
      <c r="AA36" s="137" t="n">
        <v>190612000</v>
      </c>
      <c r="AB36" s="137" t="n">
        <v>127956000</v>
      </c>
      <c r="AC36" s="137" t="n">
        <v>-131874000</v>
      </c>
      <c r="AD36" s="137" t="n">
        <v>150535000</v>
      </c>
      <c r="AE36" s="137" t="n">
        <v>84536000</v>
      </c>
      <c r="AF36" s="137" t="n">
        <v>394963000</v>
      </c>
      <c r="AG36" s="137" t="n">
        <v>40077000</v>
      </c>
      <c r="AH36" s="137" t="n">
        <v>43420000</v>
      </c>
      <c r="AI36" s="137" t="n">
        <v>472000</v>
      </c>
      <c r="AJ36" s="137" t="n">
        <v>261000</v>
      </c>
      <c r="AK36" s="137" t="n">
        <v>0</v>
      </c>
      <c r="AL36" s="137" t="n">
        <v>-105188000</v>
      </c>
      <c r="AM36" s="137" t="n">
        <v>-212250000</v>
      </c>
      <c r="AN36" s="137" t="n">
        <v>-179290667</v>
      </c>
      <c r="AO36" s="137" t="n">
        <v>-105188000</v>
      </c>
      <c r="AP36" s="137" t="n">
        <v>-212250000</v>
      </c>
      <c r="AQ36" s="137" t="n">
        <v>-179290667</v>
      </c>
      <c r="AR36" s="142" t="n">
        <v>0.025</v>
      </c>
      <c r="AS36" s="142" t="n">
        <v>0.025</v>
      </c>
      <c r="AT36" s="84" t="n">
        <v>0.15</v>
      </c>
      <c r="AU36" s="51" t="inlineStr">
        <is>
          <t>China-based biopharmaceutical company focused on the discovery, development and commercialization of protein drugs (PDGF) for wound healing</t>
        </is>
      </c>
      <c r="AV36" s="51" t="inlineStr">
        <is>
          <t>Chapter 18A of the Listing Rules (Main Board)</t>
        </is>
      </c>
      <c r="AW36" s="136" t="n">
        <v>45930</v>
      </c>
      <c r="AX36" s="137" t="n">
        <v>-59428000</v>
      </c>
      <c r="AY36" s="117" t="n">
        <v>73794000</v>
      </c>
      <c r="AZ36" s="117" t="n">
        <v>61219000</v>
      </c>
      <c r="BA36" s="117" t="n">
        <v>0</v>
      </c>
      <c r="BB36" s="138" t="inlineStr">
        <is>
          <t>NaN</t>
        </is>
      </c>
      <c r="BC36" s="139" t="n">
        <v>0.75</v>
      </c>
      <c r="BD36" s="80" t="n">
        <v>1</v>
      </c>
      <c r="BE36" s="161" t="inlineStr">
        <is>
          <t>NaN</t>
        </is>
      </c>
      <c r="BF36" s="161" t="n">
        <v>1</v>
      </c>
      <c r="BG36" s="161" t="inlineStr">
        <is>
          <t>NaN</t>
        </is>
      </c>
      <c r="BH36" s="161" t="n">
        <v>1</v>
      </c>
      <c r="BI36" s="161" t="inlineStr">
        <is>
          <t>NaN</t>
        </is>
      </c>
      <c r="BJ36" s="162" t="inlineStr">
        <is>
          <t>Zhang Hong; Qingdao CDH; Jiaxing CDH; Qingdao Hitech</t>
        </is>
      </c>
      <c r="BK36" s="163" t="n">
        <v>0.1392</v>
      </c>
      <c r="BL36" s="161" t="n">
        <v>1</v>
      </c>
      <c r="BM36" s="164" t="inlineStr">
        <is>
          <t>Series Pre-A Financing</t>
        </is>
      </c>
      <c r="BN36" s="165" t="n">
        <v>4.55</v>
      </c>
      <c r="BO36" s="51" t="inlineStr">
        <is>
          <t>Natural persons (four individual Controlling Shareholders acting in concert)</t>
        </is>
      </c>
      <c r="BP36" s="135" t="n">
        <v>0.5694</v>
      </c>
      <c r="BQ36" s="135" t="n">
        <v>0.5694</v>
      </c>
      <c r="BR36" s="137" t="n">
        <v>3257000</v>
      </c>
      <c r="BS36" s="51" t="inlineStr">
        <is>
          <t>Clinical-stage biopharmaceutical company: no product has been commercialized; core products in Phase II/IIb clinical trials</t>
        </is>
      </c>
      <c r="BT36" s="142" t="n">
        <v>0</v>
      </c>
      <c r="BU36" s="60" t="inlineStr">
        <is>
          <t>Main Board</t>
        </is>
      </c>
      <c r="BV36" s="89" t="inlineStr">
        <is>
          <t>H Shares</t>
        </is>
      </c>
      <c r="BW36" s="61" t="n">
        <v>0</v>
      </c>
      <c r="BX36" s="77" t="n">
        <v>0</v>
      </c>
      <c r="BY36" s="77" t="n">
        <v>1</v>
      </c>
      <c r="BZ36" s="78" t="n">
        <v>0</v>
      </c>
      <c r="CA36" s="60" t="inlineStr">
        <is>
          <t>281020</t>
        </is>
      </c>
      <c r="CB36" s="76" t="inlineStr">
        <is>
          <t>HSICS (Hang Seng Industry Classification System) 2026</t>
        </is>
      </c>
      <c r="CC36" s="140" t="n">
        <v>41023</v>
      </c>
      <c r="CD36" s="171" t="n">
        <v>13.66</v>
      </c>
      <c r="CE36" s="76" t="inlineStr">
        <is>
          <t>PRC</t>
        </is>
      </c>
      <c r="CF36" s="89" t="inlineStr">
        <is>
          <t>Qingdao, Shandong Province, PRC</t>
        </is>
      </c>
      <c r="CG36" s="91" t="n"/>
      <c r="CH36" s="60" t="inlineStr">
        <is>
          <t>IFRS Accounting Standards</t>
        </is>
      </c>
      <c r="CI36" s="141" t="n">
        <v>44927</v>
      </c>
      <c r="CJ36" s="141" t="n">
        <v>45291</v>
      </c>
      <c r="CK36" s="141" t="n">
        <v>45292</v>
      </c>
      <c r="CL36" s="141" t="n">
        <v>45657</v>
      </c>
      <c r="CM36" s="141" t="n">
        <v>45658</v>
      </c>
      <c r="CN36" s="64" t="n">
        <v>0</v>
      </c>
      <c r="CO36" s="64" t="n">
        <v>-134468000</v>
      </c>
      <c r="CP36" s="64" t="n">
        <v>-134468000</v>
      </c>
      <c r="CQ36" s="141" t="n">
        <v>46003</v>
      </c>
      <c r="CR36" s="141" t="n">
        <v>46008</v>
      </c>
      <c r="CS36" s="63" t="n">
        <v>83022145</v>
      </c>
      <c r="CT36" s="64" t="n">
        <v>0</v>
      </c>
      <c r="CU36" s="64" t="n">
        <v>2893000</v>
      </c>
      <c r="CV36" s="59" t="inlineStr">
        <is>
          <t>Unqualified opinion</t>
        </is>
      </c>
      <c r="CW36" s="64" t="n">
        <v>78300000</v>
      </c>
      <c r="CX36" s="51" t="inlineStr">
        <is>
          <t>NA</t>
        </is>
      </c>
      <c r="CY36" s="142" t="n">
        <v>0</v>
      </c>
      <c r="CZ36" s="136" t="inlineStr">
        <is>
          <t>NA</t>
        </is>
      </c>
      <c r="DA36" s="143" t="n">
        <v>791.95</v>
      </c>
      <c r="DB36" s="63" t="n">
        <v>146647</v>
      </c>
      <c r="DC36" s="63" t="n">
        <v>1397787200</v>
      </c>
      <c r="DD36" s="59" t="inlineStr">
        <is>
          <t>Subscription level 791.95 times</t>
        </is>
      </c>
      <c r="DE36" s="141" t="n">
        <v>46009</v>
      </c>
      <c r="DF36" s="141" t="n">
        <v>46010</v>
      </c>
      <c r="DG36" s="63" t="n">
        <v>17648800</v>
      </c>
      <c r="DH36" s="63" t="n">
        <v>1765000</v>
      </c>
      <c r="DI36" s="63" t="n">
        <v>15883800</v>
      </c>
      <c r="DJ36" s="63" t="n">
        <v>0</v>
      </c>
      <c r="DK36" s="169" t="n">
        <v>0</v>
      </c>
      <c r="DL36" s="59" t="inlineStr">
        <is>
          <t>Claw-back triggered: N/A; the final Hong Kong Public Offering shares equal the 1,765,000 initially available, i.e. no clawback/reallocation was made</t>
        </is>
      </c>
      <c r="DM36" s="144" t="n">
        <v>599820000</v>
      </c>
      <c r="DN36" s="142" t="n">
        <v>0.256</v>
      </c>
      <c r="DO36" s="51" t="n">
        <v>117657522</v>
      </c>
      <c r="DP36" s="142" t="n">
        <v>0.15</v>
      </c>
      <c r="DQ36" s="59" t="inlineStr">
        <is>
          <t>Free float numerator = the 17,648,800 Offer Shares under the Global Offering; denominator = the 117,657,522 issued Shares upon Listing</t>
        </is>
      </c>
      <c r="DR36" s="63" t="n">
        <v>117657522</v>
      </c>
      <c r="DS36" s="142" t="n">
        <v>-0.05697623</v>
      </c>
      <c r="DT36" s="80" t="n">
        <v>38</v>
      </c>
      <c r="DU36" s="142" t="n">
        <v>0.0313387</v>
      </c>
      <c r="DV36" s="144" t="n">
        <v>53903000000</v>
      </c>
      <c r="DW36" s="145" t="n">
        <v>27</v>
      </c>
      <c r="DX36" s="169" t="n">
        <v>-0.293194</v>
      </c>
      <c r="DY36" s="172" t="n">
        <v>-197666560</v>
      </c>
      <c r="DZ36" s="146" t="n">
        <v>33.8</v>
      </c>
      <c r="EA36" s="146" t="n">
        <v>37.2</v>
      </c>
      <c r="EB36" s="146" t="n">
        <v>27</v>
      </c>
      <c r="EC36" s="63" t="n">
        <v>4989600</v>
      </c>
      <c r="ED36" s="169" t="n">
        <v>0.282716</v>
      </c>
      <c r="EE36" s="64" t="n"/>
      <c r="EF36" s="60" t="inlineStr">
        <is>
          <t>Mechanism B</t>
        </is>
      </c>
      <c r="EG36" s="59" t="inlineStr">
        <is>
          <t>FINI (from 22/11/2023); 2025-08-04 pricing reform (Mechanism A/B; six-month cornerstone lock-up retained); this IPO: Mechanism B</t>
        </is>
      </c>
      <c r="EH36" t="inlineStr">
        <is>
          <t>华芢生物科技（青岛）股份有限公司</t>
        </is>
      </c>
      <c r="EI36" s="174" t="inlineStr">
        <is>
          <t>Active</t>
        </is>
      </c>
      <c r="EJ36" s="175" t="n">
        <v>10.97</v>
      </c>
      <c r="EK36" s="176" t="n">
        <v>-0.593704</v>
      </c>
      <c r="EL36" s="176" t="n">
        <v>-0.712827</v>
      </c>
      <c r="EM36" s="176" t="n">
        <v>0.030358</v>
      </c>
      <c r="EN36" s="176" t="n">
        <v>0.03971</v>
      </c>
      <c r="EO36" s="179" t="n">
        <v>0.3943</v>
      </c>
      <c r="EP36" s="179" t="n">
        <v>0.3908</v>
      </c>
      <c r="EQ36" s="178" t="n">
        <v>17048065</v>
      </c>
      <c r="ER36" s="175" t="n">
        <v>4.6</v>
      </c>
      <c r="ES36" s="176" t="n">
        <v>-0.82963</v>
      </c>
      <c r="ET36" s="176" t="n">
        <v>-0.8795809999999999</v>
      </c>
      <c r="EU36" s="176" t="n">
        <v>-0.078803</v>
      </c>
      <c r="EV36" s="176" t="n">
        <v>-0.17685</v>
      </c>
      <c r="EW36" s="179" t="n">
        <v>0.1849</v>
      </c>
      <c r="EX36" s="179" t="n">
        <v>0.207</v>
      </c>
      <c r="EY36" s="178" t="n">
        <v>155265</v>
      </c>
      <c r="EZ36" s="176" t="n">
        <v>0.000822</v>
      </c>
      <c r="FA36" s="176" t="n"/>
      <c r="FB36" s="179" t="n"/>
      <c r="FC36" s="176" t="n"/>
      <c r="FD36" s="179" t="n"/>
      <c r="FE36" s="174" t="inlineStr">
        <is>
          <t>18A (Biotech / B-tag)</t>
        </is>
      </c>
      <c r="FF36" s="181" t="n"/>
      <c r="FG36" s="185" t="n"/>
      <c r="FH36" s="183" t="n"/>
      <c r="FI36" s="178" t="n"/>
      <c r="FJ36" s="176" t="n"/>
      <c r="FK36" s="185" t="n"/>
      <c r="FL36" s="178" t="n"/>
      <c r="FM36" s="176" t="n"/>
      <c r="FN36" s="176" t="n"/>
      <c r="FO36" s="176" t="n"/>
      <c r="FP36" s="176" t="n"/>
      <c r="FQ36" s="176" t="n">
        <v>-0.336667</v>
      </c>
      <c r="FR36" s="179" t="n">
        <v>0.662</v>
      </c>
      <c r="FS36" s="176" t="n">
        <v>-0.593704</v>
      </c>
      <c r="FT36" s="179" t="n">
        <v>0.3943</v>
      </c>
      <c r="FU36" s="176" t="n">
        <v>-0.734815</v>
      </c>
      <c r="FV36" s="179" t="n">
        <v>0.2806</v>
      </c>
      <c r="FW36" s="179" t="n">
        <v>0.311</v>
      </c>
      <c r="FX36" s="178" t="n">
        <v>6063698.33</v>
      </c>
      <c r="FY36" s="186" t="n">
        <v>0.1419773865546219</v>
      </c>
      <c r="FZ36" s="183" t="n">
        <v>0</v>
      </c>
      <c r="GA36" s="176" t="n">
        <v>0.04943151566222424</v>
      </c>
      <c r="GB36" s="176" t="n">
        <v>0.894086</v>
      </c>
      <c r="GC36" s="185" t="n"/>
      <c r="GD36" s="185" t="n"/>
      <c r="GE36" s="176" t="n"/>
      <c r="GF36" s="176" t="n"/>
      <c r="GG36" s="179" t="n"/>
      <c r="GH36" s="181" t="inlineStr">
        <is>
          <t>Huatai Financial Holdings (Hong Kong) Limited</t>
        </is>
      </c>
      <c r="GI36" s="183" t="n">
        <v>2</v>
      </c>
      <c r="GJ36" s="183" t="n">
        <v>0</v>
      </c>
      <c r="GK36" s="176" t="n">
        <v>0.025</v>
      </c>
      <c r="GL36" s="176" t="n"/>
      <c r="GM36" s="176" t="n"/>
      <c r="GN36" s="183" t="n">
        <v>0</v>
      </c>
      <c r="GO36" s="183" t="n">
        <v>0</v>
      </c>
      <c r="GP36" s="183" t="n">
        <v>0</v>
      </c>
      <c r="GQ36" s="183" t="n">
        <v>4</v>
      </c>
      <c r="GR36" s="183" t="n">
        <v>1</v>
      </c>
      <c r="GS36" s="181" t="inlineStr">
        <is>
          <t>POST_FINI</t>
        </is>
      </c>
      <c r="GT36" s="181" t="inlineStr">
        <is>
          <t>POST_2025_REFORM</t>
        </is>
      </c>
    </row>
    <row r="37" ht="34" customFormat="1" customHeight="1" s="12">
      <c r="A37" s="43" t="n">
        <v>107</v>
      </c>
      <c r="B37" s="47" t="inlineStr">
        <is>
          <t>2581.HK</t>
        </is>
      </c>
      <c r="C37" s="44" t="inlineStr">
        <is>
          <t>BenQ BM Holding Cayman Corp.</t>
        </is>
      </c>
      <c r="D37" s="130" t="n">
        <v>46003</v>
      </c>
      <c r="E37" s="48" t="n">
        <v>46013</v>
      </c>
      <c r="F37" s="43" t="inlineStr">
        <is>
          <t>China International Capital Corporation 
Hong Kong Securities Limited / 
Citigroup Global Markets Asia Limited</t>
        </is>
      </c>
      <c r="G37" s="43" t="inlineStr">
        <is>
          <t>KPMG</t>
        </is>
      </c>
      <c r="H37" s="43" t="inlineStr">
        <is>
          <t>Cushman &amp; Wakefield Limited</t>
        </is>
      </c>
      <c r="I37" s="131" t="n">
        <v>62578000</v>
      </c>
      <c r="J37" s="148" t="n">
        <v>563202000</v>
      </c>
      <c r="K37" s="133" t="n">
        <v>9.34</v>
      </c>
      <c r="L37" t="n">
        <v>311945001</v>
      </c>
      <c r="M37" s="67" t="n">
        <v>67000000</v>
      </c>
      <c r="N37" t="n">
        <v>244945001</v>
      </c>
      <c r="O37" t="n">
        <v>244945001</v>
      </c>
      <c r="P37" t="n">
        <v>0</v>
      </c>
      <c r="Q37" t="n">
        <v>67000000</v>
      </c>
      <c r="R37" s="67" t="n">
        <v>60300000</v>
      </c>
      <c r="S37" s="67" t="n">
        <v>6700000</v>
      </c>
      <c r="T37" s="147" t="n">
        <v>11.68</v>
      </c>
      <c r="U37" s="147" t="n">
        <v>9.34</v>
      </c>
      <c r="V37" s="169" t="n">
        <v>-0.111323</v>
      </c>
      <c r="W37" s="169" t="n">
        <v>0.222645</v>
      </c>
      <c r="X37" s="170" t="inlineStr">
        <is>
          <t>At low</t>
        </is>
      </c>
      <c r="Y37" s="26" t="inlineStr">
        <is>
          <t>RMB</t>
        </is>
      </c>
      <c r="Z37" s="137" t="n">
        <v>2912385000</v>
      </c>
      <c r="AA37" s="137" t="n">
        <v>3101309000</v>
      </c>
      <c r="AB37" s="137" t="n">
        <v>3254841000</v>
      </c>
      <c r="AC37" s="137" t="n">
        <v>1502180000</v>
      </c>
      <c r="AD37" s="137" t="n">
        <v>1615883000</v>
      </c>
      <c r="AE37" s="137" t="n">
        <v>1666031000</v>
      </c>
      <c r="AF37" s="137" t="n">
        <v>1410205000</v>
      </c>
      <c r="AG37" s="137" t="n">
        <v>1485426000</v>
      </c>
      <c r="AH37" s="137" t="n">
        <v>1588810000</v>
      </c>
      <c r="AI37" s="137" t="n">
        <v>2687613000</v>
      </c>
      <c r="AJ37" s="137" t="n">
        <v>2658973000</v>
      </c>
      <c r="AK37" s="137" t="n">
        <v>2624632000</v>
      </c>
      <c r="AL37" s="137" t="n">
        <v>234096000</v>
      </c>
      <c r="AM37" s="137" t="n">
        <v>168034000</v>
      </c>
      <c r="AN37" s="137" t="n">
        <v>140856000</v>
      </c>
      <c r="AO37" s="137" t="n">
        <v>167450000</v>
      </c>
      <c r="AP37" s="137" t="n">
        <v>108922000</v>
      </c>
      <c r="AQ37" s="137" t="n">
        <v>97408000</v>
      </c>
      <c r="AR37" s="142" t="n">
        <v>0.03</v>
      </c>
      <c r="AS37" s="142" t="n">
        <v>0.03</v>
      </c>
      <c r="AT37" s="84" t="inlineStr">
        <is>
          <t>NaN</t>
        </is>
      </c>
      <c r="AU37" s="51" t="inlineStr">
        <is>
          <t>Private for-profit general hospital group in mainland China</t>
        </is>
      </c>
      <c r="AV37" s="51" t="inlineStr">
        <is>
          <t>Main Board listing under the Listing Rules (Chapter 8); no Chapter 18A/18C specialist regime disclosed</t>
        </is>
      </c>
      <c r="AW37" s="136" t="n">
        <v>45838</v>
      </c>
      <c r="AX37" s="137" t="n">
        <v>80129000</v>
      </c>
      <c r="AY37" s="117" t="n">
        <v>117157000</v>
      </c>
      <c r="AZ37" s="117" t="inlineStr">
        <is>
          <t>NaN</t>
        </is>
      </c>
      <c r="BA37" s="117" t="inlineStr">
        <is>
          <t>NaN</t>
        </is>
      </c>
      <c r="BB37" s="138" t="n">
        <v>0.01</v>
      </c>
      <c r="BC37" s="139" t="n">
        <v>0.5</v>
      </c>
      <c r="BD37" s="80" t="n">
        <v>1</v>
      </c>
      <c r="BE37" s="161" t="inlineStr">
        <is>
          <t>NaN</t>
        </is>
      </c>
      <c r="BF37" s="161" t="inlineStr">
        <is>
          <t>NaN</t>
        </is>
      </c>
      <c r="BG37" s="161" t="n">
        <v>1</v>
      </c>
      <c r="BH37" s="161" t="inlineStr">
        <is>
          <t>NaN</t>
        </is>
      </c>
      <c r="BI37" s="161" t="inlineStr">
        <is>
          <t>NaN</t>
        </is>
      </c>
      <c r="BJ37" s="162" t="inlineStr">
        <is>
          <t>Mr. TSAI Chiang-Hai; Leader International Biomedicine Limited; ShareHope Medical Co., Ltd.</t>
        </is>
      </c>
      <c r="BK37" s="163" t="n">
        <v>0.0243</v>
      </c>
      <c r="BL37" s="161" t="inlineStr">
        <is>
          <t>NaN</t>
        </is>
      </c>
      <c r="BM37" s="164" t="inlineStr">
        <is>
          <t>Pre-IPO investment upon establishment in January 2009 (Mr. Tsai and Leader International)</t>
        </is>
      </c>
      <c r="BN37" s="165" t="n">
        <v>16.93</v>
      </c>
      <c r="BO37" s="51" t="inlineStr">
        <is>
          <t>Listed corporation (Qisda Corporation, TWSE: 2352) through a group of controlling shareholder entities</t>
        </is>
      </c>
      <c r="BP37" s="135" t="n">
        <v>0.7461</v>
      </c>
      <c r="BQ37" s="135" t="n">
        <v>0.7461</v>
      </c>
      <c r="BR37" s="137" t="n">
        <v>794347000</v>
      </c>
      <c r="BS37" s="51" t="inlineStr">
        <is>
          <t>Commercialised / matured operation (two general hospitals in operation since 2008 and 2013)</t>
        </is>
      </c>
      <c r="BT37" s="142" t="n">
        <v>0</v>
      </c>
      <c r="BU37" s="60" t="inlineStr">
        <is>
          <t>Main Board</t>
        </is>
      </c>
      <c r="BV37" s="89" t="inlineStr">
        <is>
          <t>Ordinary Shares</t>
        </is>
      </c>
      <c r="BW37" s="61" t="n">
        <v>0</v>
      </c>
      <c r="BX37" s="77" t="n">
        <v>0</v>
      </c>
      <c r="BY37" s="77" t="n">
        <v>0</v>
      </c>
      <c r="BZ37" s="78" t="n">
        <v>0</v>
      </c>
      <c r="CA37" s="60" t="inlineStr">
        <is>
          <t>282020</t>
        </is>
      </c>
      <c r="CB37" s="76" t="inlineStr">
        <is>
          <t>HSICS (Hang Seng Industry Classification System) 2026</t>
        </is>
      </c>
      <c r="CC37" s="140" t="n">
        <v>39818</v>
      </c>
      <c r="CD37" s="171" t="n">
        <v>16.96</v>
      </c>
      <c r="CE37" s="76" t="inlineStr">
        <is>
          <t>Cayman Islands</t>
        </is>
      </c>
      <c r="CF37" s="89" t="inlineStr">
        <is>
          <t>Nanjing, Jiangsu Province, PRC; place of business in Hong Kong at Causeway Bay, Hong Kong</t>
        </is>
      </c>
      <c r="CG37" s="91" t="n">
        <v>1000</v>
      </c>
      <c r="CH37" s="60" t="inlineStr">
        <is>
          <t>IFRS Accounting Standards</t>
        </is>
      </c>
      <c r="CI37" s="141" t="n">
        <v>44927</v>
      </c>
      <c r="CJ37" s="141" t="n">
        <v>45291</v>
      </c>
      <c r="CK37" s="141" t="n">
        <v>45292</v>
      </c>
      <c r="CL37" s="141" t="n">
        <v>45657</v>
      </c>
      <c r="CM37" s="141" t="n">
        <v>45658</v>
      </c>
      <c r="CN37" s="64" t="n">
        <v>1312316000</v>
      </c>
      <c r="CO37" s="64" t="n">
        <v>70428000</v>
      </c>
      <c r="CP37" s="64" t="n">
        <v>48704000</v>
      </c>
      <c r="CQ37" s="141" t="n">
        <v>46003</v>
      </c>
      <c r="CR37" s="141" t="n">
        <v>46008</v>
      </c>
      <c r="CS37" s="63" t="n">
        <v>311945001</v>
      </c>
      <c r="CT37" s="64" t="n">
        <v>208633000</v>
      </c>
      <c r="CU37" s="64" t="n">
        <v>165456000</v>
      </c>
      <c r="CV37" s="59" t="inlineStr">
        <is>
          <t>Unqualified opinion</t>
        </is>
      </c>
      <c r="CW37" s="64" t="n">
        <v>78100000</v>
      </c>
      <c r="CX37" s="51" t="inlineStr">
        <is>
          <t>Heron Neutron Medical Corp.; Cowealth Medical China Co., Ltd.; Suzhou Zhanxingtou Industrial Fund Partnership (Limited Partnership)</t>
        </is>
      </c>
      <c r="CY37" s="142" t="n">
        <v>0.4963</v>
      </c>
      <c r="CZ37" s="136" t="n">
        <v>46195</v>
      </c>
      <c r="DA37" s="143" t="n">
        <v>6.28</v>
      </c>
      <c r="DB37" s="63" t="n">
        <v>9291</v>
      </c>
      <c r="DC37" s="63" t="n">
        <v>42059500</v>
      </c>
      <c r="DD37" s="59" t="inlineStr">
        <is>
          <t>Subscription level 6.28 times</t>
        </is>
      </c>
      <c r="DE37" s="141" t="n">
        <v>46009</v>
      </c>
      <c r="DF37" s="141" t="n">
        <v>46010</v>
      </c>
      <c r="DG37" s="63" t="n">
        <v>67000000</v>
      </c>
      <c r="DH37" s="63" t="n">
        <v>6700000</v>
      </c>
      <c r="DI37" s="63" t="n">
        <v>60300000</v>
      </c>
      <c r="DJ37" s="63" t="n">
        <v>0</v>
      </c>
      <c r="DK37" s="169" t="n">
        <v>0</v>
      </c>
      <c r="DL37" s="59" t="inlineStr">
        <is>
          <t>Claw-back triggered: N/A (no reallocation of Offer Shares between the International Offering and the Hong Kong Public Offering)</t>
        </is>
      </c>
      <c r="DM37" s="144" t="n">
        <v>554500000</v>
      </c>
      <c r="DN37" s="142" t="n">
        <v>0.2514</v>
      </c>
      <c r="DO37" s="51" t="n">
        <v>311945001</v>
      </c>
      <c r="DP37" s="142" t="n">
        <v>0.1082</v>
      </c>
      <c r="DQ37" s="59" t="inlineStr">
        <is>
          <t>Free float denominator = total issued shares upon listing (311,945,001 Shares); numerator = Offer Shares minus cornerstone allocation</t>
        </is>
      </c>
      <c r="DR37" s="63" t="n">
        <v>311945001</v>
      </c>
      <c r="DS37" s="142" t="n">
        <v>-0.05697623</v>
      </c>
      <c r="DT37" s="80" t="n">
        <v>38</v>
      </c>
      <c r="DU37" s="142" t="n">
        <v>0.0313387</v>
      </c>
      <c r="DV37" s="144" t="n">
        <v>53903000000</v>
      </c>
      <c r="DW37" s="145" t="n">
        <v>4.72</v>
      </c>
      <c r="DX37" s="169" t="n">
        <v>-0.494647</v>
      </c>
      <c r="DY37" s="172" t="n">
        <v>-309540000</v>
      </c>
      <c r="DZ37" s="146" t="n">
        <v>6.5</v>
      </c>
      <c r="EA37" s="146" t="n">
        <v>6.5</v>
      </c>
      <c r="EB37" s="146" t="n">
        <v>4.72</v>
      </c>
      <c r="EC37" s="63" t="n">
        <v>7845000</v>
      </c>
      <c r="ED37" s="169" t="n">
        <v>0.11709</v>
      </c>
      <c r="EE37" s="64" t="n"/>
      <c r="EF37" s="60" t="inlineStr">
        <is>
          <t>Mechanism B</t>
        </is>
      </c>
      <c r="EG37" s="59" t="inlineStr">
        <is>
          <t>FINI (from 22/11/2023); 2025-08-04 pricing reform (Mechanism A/B; six-month cornerstone lock-up retained); this IPO: Mechanism B</t>
        </is>
      </c>
      <c r="EH37" t="inlineStr">
        <is>
          <t>明基医院集团股份有限公司</t>
        </is>
      </c>
      <c r="EI37" s="174" t="inlineStr">
        <is>
          <t>Active</t>
        </is>
      </c>
      <c r="EJ37" s="175" t="n">
        <v>4.08</v>
      </c>
      <c r="EK37" s="176" t="n">
        <v>-0.135593</v>
      </c>
      <c r="EL37" s="176" t="n">
        <v>-0.563169</v>
      </c>
      <c r="EM37" s="176" t="n">
        <v>0.030358</v>
      </c>
      <c r="EN37" s="176" t="n">
        <v>0.03971</v>
      </c>
      <c r="EO37" s="179" t="n">
        <v>0.8389</v>
      </c>
      <c r="EP37" s="179" t="n">
        <v>0.8314</v>
      </c>
      <c r="EQ37" s="178" t="n">
        <v>4889720</v>
      </c>
      <c r="ER37" s="175" t="n">
        <v>2.5</v>
      </c>
      <c r="ES37" s="176" t="n">
        <v>-0.470339</v>
      </c>
      <c r="ET37" s="176" t="n">
        <v>-0.732334</v>
      </c>
      <c r="EU37" s="176" t="n">
        <v>-0.078803</v>
      </c>
      <c r="EV37" s="176" t="n">
        <v>-0.17685</v>
      </c>
      <c r="EW37" s="179" t="n">
        <v>0.575</v>
      </c>
      <c r="EX37" s="179" t="n">
        <v>0.6435</v>
      </c>
      <c r="EY37" s="178" t="n">
        <v>1038255</v>
      </c>
      <c r="EZ37" s="176" t="n">
        <v>0.022828</v>
      </c>
      <c r="FA37" s="176" t="n"/>
      <c r="FB37" s="179" t="n"/>
      <c r="FC37" s="176" t="n"/>
      <c r="FD37" s="179" t="n"/>
      <c r="FE37" s="174" t="inlineStr">
        <is>
          <t>Standard</t>
        </is>
      </c>
      <c r="FF37" s="181" t="n"/>
      <c r="FG37" s="185" t="n"/>
      <c r="FH37" s="183" t="n"/>
      <c r="FI37" s="178" t="n"/>
      <c r="FJ37" s="176" t="n"/>
      <c r="FK37" s="185" t="n"/>
      <c r="FL37" s="178" t="n"/>
      <c r="FM37" s="176" t="n"/>
      <c r="FN37" s="176" t="n"/>
      <c r="FO37" s="176" t="n"/>
      <c r="FP37" s="176" t="n"/>
      <c r="FQ37" s="176" t="n">
        <v>-0.112288</v>
      </c>
      <c r="FR37" s="179" t="n">
        <v>0.8859</v>
      </c>
      <c r="FS37" s="176" t="n">
        <v>-0.135593</v>
      </c>
      <c r="FT37" s="179" t="n">
        <v>0.8389</v>
      </c>
      <c r="FU37" s="176" t="n">
        <v>-0.269068</v>
      </c>
      <c r="FV37" s="179" t="n">
        <v>0.7735</v>
      </c>
      <c r="FW37" s="179" t="n">
        <v>0.8572</v>
      </c>
      <c r="FX37" s="178" t="n">
        <v>2019421.67</v>
      </c>
      <c r="FY37" s="186" t="n">
        <v>0.04310059663865546</v>
      </c>
      <c r="FZ37" s="183" t="n">
        <v>0</v>
      </c>
      <c r="GA37" s="176" t="n">
        <v>0.05007934952126769</v>
      </c>
      <c r="GB37" s="176" t="n">
        <v>0.630769</v>
      </c>
      <c r="GC37" s="185" t="n"/>
      <c r="GD37" s="185" t="n"/>
      <c r="GE37" s="176" t="n"/>
      <c r="GF37" s="176" t="n"/>
      <c r="GG37" s="179" t="n"/>
      <c r="GH37" s="181" t="inlineStr">
        <is>
          <t>China International Capital Corporation Hong Kong Securities Limited</t>
        </is>
      </c>
      <c r="GI37" s="183" t="n">
        <v>2</v>
      </c>
      <c r="GJ37" s="183" t="n">
        <v>1</v>
      </c>
      <c r="GK37" s="176" t="n">
        <v>0.03</v>
      </c>
      <c r="GL37" s="176" t="n"/>
      <c r="GM37" s="176" t="n"/>
      <c r="GN37" s="183" t="n">
        <v>4</v>
      </c>
      <c r="GO37" s="183" t="n">
        <v>1</v>
      </c>
      <c r="GP37" s="183" t="n">
        <v>0</v>
      </c>
      <c r="GQ37" s="183" t="n">
        <v>4</v>
      </c>
      <c r="GR37" s="183" t="n">
        <v>0</v>
      </c>
      <c r="GS37" s="181" t="inlineStr">
        <is>
          <t>POST_FINI</t>
        </is>
      </c>
      <c r="GT37" s="181" t="inlineStr">
        <is>
          <t>POST_2025_REFORM</t>
        </is>
      </c>
    </row>
    <row r="38" ht="34" customFormat="1" customHeight="1" s="12">
      <c r="A38" s="43" t="n">
        <v>109</v>
      </c>
      <c r="B38" s="47" t="inlineStr">
        <is>
          <t>2691.HK</t>
        </is>
      </c>
      <c r="C38" s="44" t="inlineStr">
        <is>
          <t>Nanhua Futures Co., Ltd. - H shares</t>
        </is>
      </c>
      <c r="D38" s="130" t="n">
        <v>46003</v>
      </c>
      <c r="E38" s="48" t="n">
        <v>46013</v>
      </c>
      <c r="F38" s="43" t="inlineStr">
        <is>
          <t>CITIC Securities (Hong Kong) Limited</t>
        </is>
      </c>
      <c r="G38" s="43" t="inlineStr">
        <is>
          <t>Confucius International CPA Limited</t>
        </is>
      </c>
      <c r="H38" s="43" t="n"/>
      <c r="I38" s="131" t="n">
        <v>193782000</v>
      </c>
      <c r="J38" s="148" t="n">
        <v>1098126000</v>
      </c>
      <c r="K38" s="133" t="n">
        <v>12</v>
      </c>
      <c r="L38" t="n">
        <v>717724893</v>
      </c>
      <c r="M38" s="67" t="n">
        <v>107659000</v>
      </c>
      <c r="N38" t="n">
        <v>610065893</v>
      </c>
      <c r="O38" t="n">
        <v>610065893</v>
      </c>
      <c r="P38" t="n">
        <v>0</v>
      </c>
      <c r="Q38" t="n">
        <v>107659000</v>
      </c>
      <c r="R38" s="67" t="n">
        <v>96893000</v>
      </c>
      <c r="S38" s="67" t="n">
        <v>10766000</v>
      </c>
      <c r="T38" s="147" t="n">
        <v>16</v>
      </c>
      <c r="U38" s="147" t="n">
        <v>12</v>
      </c>
      <c r="V38" s="169" t="n">
        <v>-0.142857</v>
      </c>
      <c r="W38" s="169" t="n">
        <v>0.285714</v>
      </c>
      <c r="X38" s="170" t="inlineStr">
        <is>
          <t>At low</t>
        </is>
      </c>
      <c r="Y38" s="26" t="inlineStr">
        <is>
          <t>RMB</t>
        </is>
      </c>
      <c r="Z38" s="137" t="n">
        <v>36325522000</v>
      </c>
      <c r="AA38" s="137" t="n">
        <v>48863397000</v>
      </c>
      <c r="AB38" s="137" t="n">
        <v>46878161000</v>
      </c>
      <c r="AC38" s="137" t="n">
        <v>3712919000</v>
      </c>
      <c r="AD38" s="137" t="n">
        <v>4124840000</v>
      </c>
      <c r="AE38" s="137" t="n">
        <v>4291857000</v>
      </c>
      <c r="AF38" s="137" t="n">
        <v>32612603000</v>
      </c>
      <c r="AG38" s="137" t="n">
        <v>44738557000</v>
      </c>
      <c r="AH38" s="137" t="n">
        <v>42586304000</v>
      </c>
      <c r="AI38" s="137" t="n">
        <v>1292872000</v>
      </c>
      <c r="AJ38" s="137" t="n">
        <v>1354843000</v>
      </c>
      <c r="AK38" s="137" t="n">
        <v>1186262000</v>
      </c>
      <c r="AL38" s="137" t="n">
        <v>448437000</v>
      </c>
      <c r="AM38" s="137" t="n">
        <v>521659000</v>
      </c>
      <c r="AN38" s="137" t="n">
        <v>514898000</v>
      </c>
      <c r="AO38" s="137" t="n">
        <v>402822000</v>
      </c>
      <c r="AP38" s="137" t="n">
        <v>458037000</v>
      </c>
      <c r="AQ38" s="137" t="n">
        <v>462654000</v>
      </c>
      <c r="AR38" s="142" t="n">
        <v>0.025</v>
      </c>
      <c r="AS38" s="142" t="n">
        <v>0.025</v>
      </c>
      <c r="AT38" s="84" t="n">
        <v>0.15</v>
      </c>
      <c r="AU38" s="51" t="inlineStr">
        <is>
          <t>Futures and derivatives services (PRC futures brokerage, PRC risk management services, PRC wealth management, overseas financial services)</t>
        </is>
      </c>
      <c r="AV38" s="51" t="inlineStr">
        <is>
          <t>Main Board; Chapter 19A PRC issuer with other listed shares (A+H)</t>
        </is>
      </c>
      <c r="AW38" s="136" t="n">
        <v>45838</v>
      </c>
      <c r="AX38" s="137" t="n">
        <v>-442036000</v>
      </c>
      <c r="AY38" s="117" t="n">
        <v>1238117000</v>
      </c>
      <c r="AZ38" s="117" t="inlineStr">
        <is>
          <t>NaN</t>
        </is>
      </c>
      <c r="BA38" s="117" t="inlineStr">
        <is>
          <t>NaN</t>
        </is>
      </c>
      <c r="BB38" s="138" t="n">
        <v>0.05</v>
      </c>
      <c r="BC38" s="139" t="n">
        <v>0.5</v>
      </c>
      <c r="BD38" s="80" t="n">
        <v>1</v>
      </c>
      <c r="BE38" s="161" t="n">
        <v>1</v>
      </c>
      <c r="BF38" s="161" t="n">
        <v>1</v>
      </c>
      <c r="BG38" s="161" t="n">
        <v>1</v>
      </c>
      <c r="BH38" s="161" t="inlineStr">
        <is>
          <t>NaN</t>
        </is>
      </c>
      <c r="BI38" s="161" t="inlineStr">
        <is>
          <t>NaN</t>
        </is>
      </c>
      <c r="BJ38" s="162" t="inlineStr">
        <is>
          <t>Shenzhen Jianyin Nanshan Investment Co., LTD; Hengdian Import and Export; Hengdian DMEGC Magnetics; Wuxi Lingfeng Copper Co., Ltd.; Dongyang Zhongchao Investment Co., LTD; Zhejiang Lingqing Venture Capital Co., LTD; Shanghai Shanheng Investment Management Co., LTD; Gansu Fuxiang Materials Co., LTD; Shanghai Dawei Freight Co., LTD; Everbright Financial Holding (Tianjin) Venture Capital Co., LTD</t>
        </is>
      </c>
      <c r="BK38" s="163" t="inlineStr">
        <is>
          <t>NaN</t>
        </is>
      </c>
      <c r="BL38" s="161" t="inlineStr">
        <is>
          <t>NaN</t>
        </is>
      </c>
      <c r="BM38" s="164" t="inlineStr">
        <is>
          <t>December 2012 capital increase</t>
        </is>
      </c>
      <c r="BN38" s="165" t="n">
        <v>13.01</v>
      </c>
      <c r="BO38" s="51" t="inlineStr">
        <is>
          <t>Collective economic association-led controlling shareholder group (no single natural person controller)</t>
        </is>
      </c>
      <c r="BP38" s="135" t="n">
        <v>0.6543</v>
      </c>
      <c r="BQ38" s="135" t="n">
        <v>0.6543</v>
      </c>
      <c r="BR38" s="137" t="n">
        <v>1114225000</v>
      </c>
      <c r="BS38" s="51" t="inlineStr">
        <is>
          <t>NA</t>
        </is>
      </c>
      <c r="BT38" s="142" t="n">
        <v>0</v>
      </c>
      <c r="BU38" s="60" t="inlineStr">
        <is>
          <t>Main Board</t>
        </is>
      </c>
      <c r="BV38" s="89" t="inlineStr">
        <is>
          <t>H Shares</t>
        </is>
      </c>
      <c r="BW38" s="61" t="n">
        <v>1</v>
      </c>
      <c r="BX38" s="77" t="n">
        <v>0</v>
      </c>
      <c r="BY38" s="77" t="n">
        <v>0</v>
      </c>
      <c r="BZ38" s="78" t="n">
        <v>0</v>
      </c>
      <c r="CA38" s="60" t="inlineStr">
        <is>
          <t>503010</t>
        </is>
      </c>
      <c r="CB38" s="76" t="inlineStr">
        <is>
          <t>HSICS (Hang Seng Industry Classification System) 2026</t>
        </is>
      </c>
      <c r="CC38" s="140" t="n">
        <v>35213</v>
      </c>
      <c r="CD38" s="171" t="n">
        <v>29.57</v>
      </c>
      <c r="CE38" s="76" t="inlineStr">
        <is>
          <t>PRC</t>
        </is>
      </c>
      <c r="CF38" s="89" t="inlineStr">
        <is>
          <t>Hangzhou, Zhejiang Province, PRC</t>
        </is>
      </c>
      <c r="CG38" s="91" t="n">
        <v>1000</v>
      </c>
      <c r="CH38" s="60" t="inlineStr">
        <is>
          <t>IFRS Accounting Standards</t>
        </is>
      </c>
      <c r="CI38" s="141" t="n">
        <v>44927</v>
      </c>
      <c r="CJ38" s="141" t="n">
        <v>45291</v>
      </c>
      <c r="CK38" s="141" t="n">
        <v>45292</v>
      </c>
      <c r="CL38" s="141" t="n">
        <v>45657</v>
      </c>
      <c r="CM38" s="141" t="n">
        <v>45658</v>
      </c>
      <c r="CN38" s="64" t="n">
        <v>593131000</v>
      </c>
      <c r="CO38" s="64" t="n">
        <v>257449000</v>
      </c>
      <c r="CP38" s="64" t="n">
        <v>231327000</v>
      </c>
      <c r="CQ38" s="141" t="n">
        <v>46003</v>
      </c>
      <c r="CR38" s="141" t="n">
        <v>46008</v>
      </c>
      <c r="CS38" s="63" t="n">
        <v>107659000</v>
      </c>
      <c r="CT38" s="64" t="inlineStr">
        <is>
          <t>NaN</t>
        </is>
      </c>
      <c r="CU38" s="64" t="n">
        <v>15800000</v>
      </c>
      <c r="CV38" s="59" t="inlineStr">
        <is>
          <t>Unqualified opinion</t>
        </is>
      </c>
      <c r="CW38" s="64" t="n">
        <v>97600000</v>
      </c>
      <c r="CX38" s="51" t="inlineStr">
        <is>
          <t>NA</t>
        </is>
      </c>
      <c r="CY38" s="142" t="n">
        <v>0</v>
      </c>
      <c r="CZ38" s="136" t="inlineStr">
        <is>
          <t>NA</t>
        </is>
      </c>
      <c r="DA38" s="143" t="n">
        <v>1.91</v>
      </c>
      <c r="DB38" s="63" t="n">
        <v>7479</v>
      </c>
      <c r="DC38" s="63" t="n">
        <v>20599500</v>
      </c>
      <c r="DD38" s="59" t="inlineStr">
        <is>
          <t>Subscription level 1.91 times (Hong Kong Public Offering); Subscription Level 0.99 times (International Offering)</t>
        </is>
      </c>
      <c r="DE38" s="141" t="n">
        <v>46009</v>
      </c>
      <c r="DF38" s="141" t="n">
        <v>46010</v>
      </c>
      <c r="DG38" s="63" t="n">
        <v>107659000</v>
      </c>
      <c r="DH38" s="63" t="n">
        <v>16148500</v>
      </c>
      <c r="DI38" s="63" t="n">
        <v>91510500</v>
      </c>
      <c r="DJ38" s="63" t="n">
        <v>0</v>
      </c>
      <c r="DK38" s="169" t="n">
        <v>0</v>
      </c>
      <c r="DL38" s="59" t="inlineStr">
        <is>
          <t>No. of Offer Shares reallocated from the International Offering: 5,382,500; Final no. of Offer Shares under the Hong Kong Public Offering: 16,148,500 (15% of the Global Offering)</t>
        </is>
      </c>
      <c r="DM38" s="144" t="n">
        <v>1202950000</v>
      </c>
      <c r="DN38" s="142" t="n">
        <v>0.15</v>
      </c>
      <c r="DO38" s="51" t="n">
        <v>717724893</v>
      </c>
      <c r="DP38" s="142" t="inlineStr">
        <is>
          <t>NaN</t>
        </is>
      </c>
      <c r="DQ38" s="59" t="inlineStr">
        <is>
          <t>Free float denominator = total number of issued Shares upon Listing (col_CZ 717,724,893), the base used for the 15.00% public-float statement; the announcement's Rule 19A.13C(2)(b) free float is struck on the ex-treasury base 717,724,893 - 5,681,234 = 712,043,659. Numerator = H Shares held by the public and not subject to lock-up = at least 53,829,500 Shares (&gt;=50% of the 107,659,000 Offer Shares; HK$645,954,000 / HK$12.00), i.e. at least 7.56% on the ex-treasury base (0.0750 on col_CZ); the remaining Offer Shares are subject to lock-up.</t>
        </is>
      </c>
      <c r="DR38" s="63" t="n">
        <v>717724893</v>
      </c>
      <c r="DS38" s="142" t="n">
        <v>-0.05697623</v>
      </c>
      <c r="DT38" s="80" t="n">
        <v>38</v>
      </c>
      <c r="DU38" s="142" t="n">
        <v>0.0313387</v>
      </c>
      <c r="DV38" s="144" t="n">
        <v>53903000000</v>
      </c>
      <c r="DW38" s="145" t="n">
        <v>9.1</v>
      </c>
      <c r="DX38" s="169" t="n">
        <v>-0.241667</v>
      </c>
      <c r="DY38" s="172" t="n">
        <v>-312211100</v>
      </c>
      <c r="DZ38" s="146" t="n">
        <v>9.130000000000001</v>
      </c>
      <c r="EA38" s="146" t="n">
        <v>10.4</v>
      </c>
      <c r="EB38" s="146" t="n">
        <v>8.699999999999999</v>
      </c>
      <c r="EC38" s="63" t="n">
        <v>7945500</v>
      </c>
      <c r="ED38" s="169" t="n">
        <v>0.07380200000000001</v>
      </c>
      <c r="EE38" s="64" t="n"/>
      <c r="EF38" s="60" t="inlineStr">
        <is>
          <t>Mechanism B</t>
        </is>
      </c>
      <c r="EG38" s="59" t="inlineStr">
        <is>
          <t>FINI (from 22/11/2023); 2025-08-04 pricing reform (Mechanism A/B; six-month cornerstone lock-up retained); this IPO: Mechanism B</t>
        </is>
      </c>
      <c r="EH38" t="inlineStr">
        <is>
          <t>南华期货股份有限公司</t>
        </is>
      </c>
      <c r="EI38" s="174" t="inlineStr">
        <is>
          <t>Active</t>
        </is>
      </c>
      <c r="EJ38" s="175" t="n">
        <v>7.256</v>
      </c>
      <c r="EK38" s="176" t="n">
        <v>0.166372</v>
      </c>
      <c r="EL38" s="176" t="n">
        <v>-0.115501</v>
      </c>
      <c r="EM38" s="176" t="n">
        <v>0.030358</v>
      </c>
      <c r="EN38" s="176" t="n">
        <v>0.03971</v>
      </c>
      <c r="EO38" s="179" t="n">
        <v>1.132</v>
      </c>
      <c r="EP38" s="179" t="n">
        <v>1.1218</v>
      </c>
      <c r="EQ38" s="178" t="n">
        <v>23416837</v>
      </c>
      <c r="ER38" s="175" t="n">
        <v>6.4</v>
      </c>
      <c r="ES38" s="176" t="n">
        <v>0.028774</v>
      </c>
      <c r="ET38" s="176" t="n">
        <v>-0.219847</v>
      </c>
      <c r="EU38" s="176" t="n">
        <v>-0.078803</v>
      </c>
      <c r="EV38" s="176" t="n">
        <v>-0.17685</v>
      </c>
      <c r="EW38" s="179" t="n">
        <v>1.1168</v>
      </c>
      <c r="EX38" s="179" t="n">
        <v>1.2498</v>
      </c>
      <c r="EY38" s="178" t="n">
        <v>18235528</v>
      </c>
      <c r="EZ38" s="176" t="n">
        <v>0.231575</v>
      </c>
      <c r="FA38" s="176" t="n"/>
      <c r="FB38" s="179" t="n"/>
      <c r="FC38" s="176" t="n"/>
      <c r="FD38" s="179" t="n"/>
      <c r="FE38" s="174" t="inlineStr">
        <is>
          <t>Standard</t>
        </is>
      </c>
      <c r="FF38" s="181" t="n"/>
      <c r="FG38" s="185" t="n"/>
      <c r="FH38" s="183" t="n"/>
      <c r="FI38" s="178" t="n"/>
      <c r="FJ38" s="176" t="n"/>
      <c r="FK38" s="185" t="n"/>
      <c r="FL38" s="178" t="n"/>
      <c r="FM38" s="176" t="n"/>
      <c r="FN38" s="176" t="n"/>
      <c r="FO38" s="176" t="n"/>
      <c r="FP38" s="176" t="n"/>
      <c r="FQ38" s="176" t="n">
        <v>0.083106</v>
      </c>
      <c r="FR38" s="179" t="n">
        <v>1.0809</v>
      </c>
      <c r="FS38" s="176" t="n">
        <v>0.166372</v>
      </c>
      <c r="FT38" s="179" t="n">
        <v>1.132</v>
      </c>
      <c r="FU38" s="176" t="n">
        <v>0.266034</v>
      </c>
      <c r="FV38" s="179" t="n">
        <v>1.3397</v>
      </c>
      <c r="FW38" s="179" t="n">
        <v>1.4848</v>
      </c>
      <c r="FX38" s="178" t="n">
        <v>29289739.33</v>
      </c>
      <c r="FY38" s="186" t="n">
        <v>0.002772495798319328</v>
      </c>
      <c r="FZ38" s="183" t="n">
        <v>0</v>
      </c>
      <c r="GA38" s="176" t="n">
        <v>0.05760208941971531</v>
      </c>
      <c r="GB38" s="176" t="n">
        <v>0.326533</v>
      </c>
      <c r="GC38" s="185" t="n"/>
      <c r="GD38" s="185" t="n"/>
      <c r="GE38" s="176" t="n"/>
      <c r="GF38" s="176" t="n"/>
      <c r="GG38" s="179" t="n"/>
      <c r="GH38" s="181" t="inlineStr">
        <is>
          <t>CITIC Securities (Hong Kong) Limited</t>
        </is>
      </c>
      <c r="GI38" s="183" t="n">
        <v>1</v>
      </c>
      <c r="GJ38" s="183" t="n">
        <v>0</v>
      </c>
      <c r="GK38" s="176" t="n">
        <v>0.025</v>
      </c>
      <c r="GL38" s="176" t="n"/>
      <c r="GM38" s="176" t="n"/>
      <c r="GN38" s="183" t="n">
        <v>0</v>
      </c>
      <c r="GO38" s="183" t="n">
        <v>0</v>
      </c>
      <c r="GP38" s="183" t="n">
        <v>0</v>
      </c>
      <c r="GQ38" s="183" t="n">
        <v>18</v>
      </c>
      <c r="GR38" s="183" t="n">
        <v>1</v>
      </c>
      <c r="GS38" s="181" t="inlineStr">
        <is>
          <t>POST_FINI</t>
        </is>
      </c>
      <c r="GT38" s="181" t="inlineStr">
        <is>
          <t>POST_2025_REFORM</t>
        </is>
      </c>
    </row>
    <row r="39" ht="51" customFormat="1" customHeight="1" s="12">
      <c r="A39" s="43" t="n">
        <v>108</v>
      </c>
      <c r="B39" s="47" t="inlineStr">
        <is>
          <t>2695.HK</t>
        </is>
      </c>
      <c r="C39" s="44" t="inlineStr">
        <is>
          <t>Impression Dahongpao Co., Ltd. - H shares</t>
        </is>
      </c>
      <c r="D39" s="130" t="n">
        <v>46003</v>
      </c>
      <c r="E39" s="48" t="n">
        <v>46013</v>
      </c>
      <c r="F39" s="43" t="inlineStr">
        <is>
          <t>China Industrial Securities International 
Capital Limited /
 Halcyon Capital Limited</t>
        </is>
      </c>
      <c r="G39" s="43" t="inlineStr">
        <is>
          <t>Grant Thornton Hong Kong Limited</t>
        </is>
      </c>
      <c r="H39" s="43" t="n"/>
      <c r="I39" s="131" t="n">
        <v>12996000</v>
      </c>
      <c r="J39" s="148" t="n">
        <v>116964000</v>
      </c>
      <c r="K39" s="133" t="n">
        <v>3.6</v>
      </c>
      <c r="L39" t="n">
        <v>144170000</v>
      </c>
      <c r="M39" s="67" t="n">
        <v>36100000</v>
      </c>
      <c r="N39" t="n">
        <v>108070000</v>
      </c>
      <c r="O39" t="n">
        <v>108070000</v>
      </c>
      <c r="P39" t="n">
        <v>0</v>
      </c>
      <c r="Q39" t="n">
        <v>36100000</v>
      </c>
      <c r="R39" s="67" t="n">
        <v>32490000</v>
      </c>
      <c r="S39" s="67" t="n">
        <v>3610000</v>
      </c>
      <c r="T39" s="147" t="n">
        <v>4.1</v>
      </c>
      <c r="U39" s="147" t="n">
        <v>3.47</v>
      </c>
      <c r="V39" s="169" t="n">
        <v>-0.048877</v>
      </c>
      <c r="W39" s="169" t="n">
        <v>0.166446</v>
      </c>
      <c r="X39" s="170" t="inlineStr">
        <is>
          <t>Within range</t>
        </is>
      </c>
      <c r="Y39" s="26" t="inlineStr">
        <is>
          <t>RMB</t>
        </is>
      </c>
      <c r="Z39" s="137" t="n">
        <v>294275000</v>
      </c>
      <c r="AA39" s="137" t="n">
        <v>316965000</v>
      </c>
      <c r="AB39" s="137" t="n">
        <v>428667000</v>
      </c>
      <c r="AC39" s="137" t="n">
        <v>233531000</v>
      </c>
      <c r="AD39" s="137" t="n">
        <v>255919000</v>
      </c>
      <c r="AE39" s="137" t="n">
        <v>257627000</v>
      </c>
      <c r="AF39" s="137" t="n">
        <v>60744000</v>
      </c>
      <c r="AG39" s="137" t="n">
        <v>61046000</v>
      </c>
      <c r="AH39" s="137" t="n">
        <v>171040000</v>
      </c>
      <c r="AI39" s="137" t="n">
        <v>143887000</v>
      </c>
      <c r="AJ39" s="137" t="n">
        <v>137200000</v>
      </c>
      <c r="AK39" s="137" t="n">
        <v>111768000</v>
      </c>
      <c r="AL39" s="137" t="n">
        <v>62687000</v>
      </c>
      <c r="AM39" s="137" t="n">
        <v>58916000</v>
      </c>
      <c r="AN39" s="137" t="n">
        <v>20200000</v>
      </c>
      <c r="AO39" s="137" t="n">
        <v>47504000</v>
      </c>
      <c r="AP39" s="137" t="n">
        <v>42809000</v>
      </c>
      <c r="AQ39" s="137" t="n">
        <v>13550000</v>
      </c>
      <c r="AR39" s="142" t="n">
        <v>0.02</v>
      </c>
      <c r="AS39" s="142" t="n">
        <v>0.02</v>
      </c>
      <c r="AT39" s="84" t="n">
        <v>0.15</v>
      </c>
      <c r="AU39" s="51" t="inlineStr">
        <is>
          <t>Cultural tourism performance and services (state-owned cultural tourism service provider under Mount Wuyi / Nanping SASAC)</t>
        </is>
      </c>
      <c r="AV39" s="51" t="inlineStr">
        <is>
          <t>Main Board</t>
        </is>
      </c>
      <c r="AW39" s="136" t="n">
        <v>45838</v>
      </c>
      <c r="AX39" s="137" t="n">
        <v>16438000</v>
      </c>
      <c r="AY39" s="117" t="n">
        <v>64133000</v>
      </c>
      <c r="AZ39" s="117" t="inlineStr">
        <is>
          <t>NaN</t>
        </is>
      </c>
      <c r="BA39" s="117" t="inlineStr">
        <is>
          <t>NaN</t>
        </is>
      </c>
      <c r="BB39" s="138" t="n">
        <v>0.177</v>
      </c>
      <c r="BC39" s="139" t="n">
        <v>0.5</v>
      </c>
      <c r="BD39" s="80" t="inlineStr">
        <is>
          <t>NaN</t>
        </is>
      </c>
      <c r="BE39" s="161" t="inlineStr">
        <is>
          <t>NaN</t>
        </is>
      </c>
      <c r="BF39" s="161" t="inlineStr">
        <is>
          <t>NaN</t>
        </is>
      </c>
      <c r="BG39" s="161" t="inlineStr">
        <is>
          <t>NaN</t>
        </is>
      </c>
      <c r="BH39" s="161" t="n">
        <v>1</v>
      </c>
      <c r="BI39" s="161" t="inlineStr">
        <is>
          <t>NaN</t>
        </is>
      </c>
      <c r="BJ39" s="162" t="inlineStr">
        <is>
          <t>NA</t>
        </is>
      </c>
      <c r="BK39" s="163" t="inlineStr">
        <is>
          <t>NaN</t>
        </is>
      </c>
      <c r="BL39" s="161" t="inlineStr">
        <is>
          <t>NaN</t>
        </is>
      </c>
      <c r="BM39" s="164" t="inlineStr">
        <is>
          <t>NA</t>
        </is>
      </c>
      <c r="BN39" s="165" t="inlineStr">
        <is>
          <t>NaN</t>
        </is>
      </c>
      <c r="BO39" s="51" t="inlineStr">
        <is>
          <t>国资委 (local-government SASAC)</t>
        </is>
      </c>
      <c r="BP39" s="135" t="n">
        <v>0.586</v>
      </c>
      <c r="BQ39" s="135" t="n">
        <v>0.586</v>
      </c>
      <c r="BR39" s="137" t="n">
        <v>106360000</v>
      </c>
      <c r="BS39" s="51" t="inlineStr">
        <is>
          <t>NA</t>
        </is>
      </c>
      <c r="BT39" s="142" t="n">
        <v>0</v>
      </c>
      <c r="BU39" s="60" t="inlineStr">
        <is>
          <t>Main Board</t>
        </is>
      </c>
      <c r="BV39" s="89" t="inlineStr">
        <is>
          <t>H Shares</t>
        </is>
      </c>
      <c r="BW39" s="61" t="n">
        <v>0</v>
      </c>
      <c r="BX39" s="77" t="n">
        <v>0</v>
      </c>
      <c r="BY39" s="77" t="n">
        <v>0</v>
      </c>
      <c r="BZ39" s="78" t="n">
        <v>0</v>
      </c>
      <c r="CA39" s="60" t="inlineStr">
        <is>
          <t>234070</t>
        </is>
      </c>
      <c r="CB39" s="76" t="inlineStr">
        <is>
          <t>HSICS (Hang Seng Industry Classification System) 2026</t>
        </is>
      </c>
      <c r="CC39" s="140" t="n">
        <v>39834</v>
      </c>
      <c r="CD39" s="171" t="n">
        <v>16.92</v>
      </c>
      <c r="CE39" s="76" t="inlineStr">
        <is>
          <t>PRC</t>
        </is>
      </c>
      <c r="CF39" s="89" t="inlineStr">
        <is>
          <t>Mount Wuyi City, Fujian Province, PRC</t>
        </is>
      </c>
      <c r="CG39" s="91" t="n"/>
      <c r="CH39" s="60" t="inlineStr">
        <is>
          <t>HKFRS (Hong Kong Financial Reporting Standards)</t>
        </is>
      </c>
      <c r="CI39" s="141" t="n">
        <v>44927</v>
      </c>
      <c r="CJ39" s="141" t="n">
        <v>45291</v>
      </c>
      <c r="CK39" s="141" t="n">
        <v>45292</v>
      </c>
      <c r="CL39" s="141" t="n">
        <v>45657</v>
      </c>
      <c r="CM39" s="141" t="n">
        <v>45658</v>
      </c>
      <c r="CN39" s="64" t="n">
        <v>55884000</v>
      </c>
      <c r="CO39" s="64" t="n">
        <v>10100000</v>
      </c>
      <c r="CP39" s="64" t="n">
        <v>6775000</v>
      </c>
      <c r="CQ39" s="141" t="n">
        <v>46003</v>
      </c>
      <c r="CR39" s="141" t="n">
        <v>46008</v>
      </c>
      <c r="CS39" s="63" t="n">
        <v>36100000</v>
      </c>
      <c r="CT39" s="64" t="n">
        <v>23753000</v>
      </c>
      <c r="CU39" s="64" t="n">
        <v>17586000</v>
      </c>
      <c r="CV39" s="59" t="inlineStr">
        <is>
          <t>Unqualified opinion (true and fair view)</t>
        </is>
      </c>
      <c r="CW39" s="64" t="n">
        <v>26400000</v>
      </c>
      <c r="CX39" s="51" t="inlineStr">
        <is>
          <t>NA</t>
        </is>
      </c>
      <c r="CY39" s="142" t="n">
        <v>0</v>
      </c>
      <c r="CZ39" s="136" t="inlineStr">
        <is>
          <t>NA</t>
        </is>
      </c>
      <c r="DA39" s="143" t="n">
        <v>3397.48</v>
      </c>
      <c r="DB39" s="63" t="n">
        <v>114610</v>
      </c>
      <c r="DC39" s="63" t="n">
        <v>12264907000</v>
      </c>
      <c r="DD39" s="59" t="inlineStr">
        <is>
          <t>Subscription level 3,397.48 times</t>
        </is>
      </c>
      <c r="DE39" s="141" t="n">
        <v>46009</v>
      </c>
      <c r="DF39" s="141" t="n">
        <v>46010</v>
      </c>
      <c r="DG39" s="63" t="n">
        <v>36100000</v>
      </c>
      <c r="DH39" s="63" t="n">
        <v>3610000</v>
      </c>
      <c r="DI39" s="63" t="n">
        <v>32490000</v>
      </c>
      <c r="DJ39" s="63" t="n">
        <v>0</v>
      </c>
      <c r="DK39" s="169" t="n">
        <v>0</v>
      </c>
      <c r="DL39" s="59" t="inlineStr">
        <is>
          <t>Claw-back triggered: No; Reallocation: No</t>
        </is>
      </c>
      <c r="DM39" s="144" t="n">
        <v>103640000</v>
      </c>
      <c r="DN39" s="142" t="n">
        <v>0.2504</v>
      </c>
      <c r="DO39" s="51" t="n">
        <v>144170000</v>
      </c>
      <c r="DP39" s="142" t="n">
        <v>0.2504</v>
      </c>
      <c r="DQ39" s="59" t="inlineStr">
        <is>
          <t>Total issued shares of the Company upon Listing (144,170,000 Shares)</t>
        </is>
      </c>
      <c r="DR39" s="63" t="n">
        <v>144170000</v>
      </c>
      <c r="DS39" s="142" t="n">
        <v>-0.05697623</v>
      </c>
      <c r="DT39" s="80" t="n">
        <v>38</v>
      </c>
      <c r="DU39" s="142" t="n">
        <v>0.0313387</v>
      </c>
      <c r="DV39" s="144" t="n">
        <v>53903000000</v>
      </c>
      <c r="DW39" s="145" t="n">
        <v>2.33</v>
      </c>
      <c r="DX39" s="169" t="n">
        <v>-0.352778</v>
      </c>
      <c r="DY39" s="172" t="n">
        <v>-45847000</v>
      </c>
      <c r="DZ39" s="146" t="n">
        <v>3.26</v>
      </c>
      <c r="EA39" s="146" t="n">
        <v>3.4</v>
      </c>
      <c r="EB39" s="146" t="n">
        <v>2.33</v>
      </c>
      <c r="EC39" s="63" t="n">
        <v>42683000</v>
      </c>
      <c r="ED39" s="169" t="n">
        <v>1.182355</v>
      </c>
      <c r="EE39" s="64" t="n"/>
      <c r="EF39" s="60" t="inlineStr">
        <is>
          <t>Mechanism B</t>
        </is>
      </c>
      <c r="EG39" s="59" t="inlineStr">
        <is>
          <t>FINI (from 22/11/2023); 2025-08-04 pricing reform (Mechanism A/B; six-month cornerstone lock-up retained); this IPO: Mechanism B</t>
        </is>
      </c>
      <c r="EH39" t="inlineStr">
        <is>
          <t>印象大红袍股份有限公司</t>
        </is>
      </c>
      <c r="EI39" s="174" t="inlineStr">
        <is>
          <t>Active</t>
        </is>
      </c>
      <c r="EJ39" s="175" t="n">
        <v>2.1</v>
      </c>
      <c r="EK39" s="176" t="n">
        <v>0.004785</v>
      </c>
      <c r="EL39" s="176" t="n">
        <v>-0.349681</v>
      </c>
      <c r="EM39" s="176" t="n">
        <v>0.030358</v>
      </c>
      <c r="EN39" s="176" t="n">
        <v>0.03971</v>
      </c>
      <c r="EO39" s="179" t="n">
        <v>0.9752</v>
      </c>
      <c r="EP39" s="179" t="n">
        <v>0.9664</v>
      </c>
      <c r="EQ39" s="178" t="n">
        <v>12244217.5</v>
      </c>
      <c r="ER39" s="175" t="n">
        <v>1.7</v>
      </c>
      <c r="ES39" s="176" t="n">
        <v>-0.186603</v>
      </c>
      <c r="ET39" s="176" t="n">
        <v>-0.473551</v>
      </c>
      <c r="EU39" s="176" t="n">
        <v>-0.078803</v>
      </c>
      <c r="EV39" s="176" t="n">
        <v>-0.17685</v>
      </c>
      <c r="EW39" s="179" t="n">
        <v>0.883</v>
      </c>
      <c r="EX39" s="179" t="n">
        <v>0.9882</v>
      </c>
      <c r="EY39" s="178" t="n">
        <v>512532.5</v>
      </c>
      <c r="EZ39" s="176" t="n">
        <v>0.003487</v>
      </c>
      <c r="FA39" s="176" t="n"/>
      <c r="FB39" s="179" t="n"/>
      <c r="FC39" s="176" t="n"/>
      <c r="FD39" s="179" t="n"/>
      <c r="FE39" s="174" t="inlineStr">
        <is>
          <t>Standard</t>
        </is>
      </c>
      <c r="FF39" s="181" t="n"/>
      <c r="FG39" s="185" t="n"/>
      <c r="FH39" s="183" t="n"/>
      <c r="FI39" s="178" t="n"/>
      <c r="FJ39" s="176" t="n"/>
      <c r="FK39" s="185" t="n"/>
      <c r="FL39" s="178" t="n"/>
      <c r="FM39" s="176" t="n"/>
      <c r="FN39" s="176" t="n"/>
      <c r="FO39" s="176" t="n"/>
      <c r="FP39" s="176" t="n"/>
      <c r="FQ39" s="176" t="n">
        <v>-0.157895</v>
      </c>
      <c r="FR39" s="179" t="n">
        <v>0.8404</v>
      </c>
      <c r="FS39" s="176" t="n">
        <v>0.004785</v>
      </c>
      <c r="FT39" s="179" t="n">
        <v>0.9752</v>
      </c>
      <c r="FU39" s="176" t="n">
        <v>-0.23445</v>
      </c>
      <c r="FV39" s="179" t="n">
        <v>0.8101</v>
      </c>
      <c r="FW39" s="179" t="n">
        <v>0.8978</v>
      </c>
      <c r="FX39" s="178" t="n">
        <v>5056777.67</v>
      </c>
      <c r="FY39" s="186" t="n">
        <v>0.0325418487394958</v>
      </c>
      <c r="FZ39" s="183" t="n">
        <v>0</v>
      </c>
      <c r="GA39" s="176" t="n">
        <v>0.05223854229013347</v>
      </c>
      <c r="GB39" s="176" t="n">
        <v>0.585443</v>
      </c>
      <c r="GC39" s="185" t="n"/>
      <c r="GD39" s="185" t="n"/>
      <c r="GE39" s="176" t="n"/>
      <c r="GF39" s="176" t="n"/>
      <c r="GG39" s="179" t="n"/>
      <c r="GH39" s="181" t="inlineStr">
        <is>
          <t>China Industrial Securities International Capital Limited</t>
        </is>
      </c>
      <c r="GI39" s="183" t="n">
        <v>2</v>
      </c>
      <c r="GJ39" s="183" t="n">
        <v>0</v>
      </c>
      <c r="GK39" s="176" t="n">
        <v>0.02</v>
      </c>
      <c r="GL39" s="176" t="n"/>
      <c r="GM39" s="176" t="n"/>
      <c r="GN39" s="183" t="n">
        <v>0</v>
      </c>
      <c r="GO39" s="183" t="n"/>
      <c r="GP39" s="183" t="n"/>
      <c r="GQ39" s="183" t="n"/>
      <c r="GR39" s="183" t="n"/>
      <c r="GS39" s="181" t="inlineStr">
        <is>
          <t>POST_FINI</t>
        </is>
      </c>
      <c r="GT39" s="181" t="inlineStr">
        <is>
          <t>POST_2025_REFORM</t>
        </is>
      </c>
    </row>
    <row r="40" ht="17.25" customFormat="1" customHeight="1" s="12">
      <c r="A40" s="60" t="n">
        <v>111</v>
      </c>
      <c r="B40" s="93" t="inlineStr">
        <is>
          <t>2635.HK</t>
        </is>
      </c>
      <c r="C40" s="59" t="inlineStr">
        <is>
          <t>Nuobikan Artificial Intelligence Technology (Chengdu) Co., Ltd. - H shares</t>
        </is>
      </c>
      <c r="D40" s="149" t="n">
        <v>46006</v>
      </c>
      <c r="E40" s="95" t="n">
        <v>46014</v>
      </c>
      <c r="F40" s="60" t="inlineStr">
        <is>
          <t>China International Capital Corporation
Hong Kong Securities Limited</t>
        </is>
      </c>
      <c r="G40" s="60" t="inlineStr">
        <is>
          <t>Ernst &amp; Young</t>
        </is>
      </c>
      <c r="H40" s="60" t="n"/>
      <c r="I40" s="150" t="n">
        <v>30296000</v>
      </c>
      <c r="J40" s="148" t="n">
        <v>272632000</v>
      </c>
      <c r="K40" s="151" t="n">
        <v>80</v>
      </c>
      <c r="L40" t="n">
        <v>37866600</v>
      </c>
      <c r="M40" s="98" t="n">
        <v>3786600</v>
      </c>
      <c r="N40" t="n">
        <v>34080000</v>
      </c>
      <c r="O40" t="n">
        <v>34080000</v>
      </c>
      <c r="P40" t="n">
        <v>0</v>
      </c>
      <c r="Q40" t="n">
        <v>3786600</v>
      </c>
      <c r="R40" s="98" t="n">
        <v>3407900</v>
      </c>
      <c r="S40" s="98" t="n">
        <v>378700</v>
      </c>
      <c r="T40" s="152" t="n">
        <v>106</v>
      </c>
      <c r="U40" s="152" t="n">
        <v>80</v>
      </c>
      <c r="V40" s="169" t="n">
        <v>-0.139785</v>
      </c>
      <c r="W40" s="169" t="n">
        <v>0.27957</v>
      </c>
      <c r="X40" s="170" t="inlineStr">
        <is>
          <t>At low</t>
        </is>
      </c>
      <c r="Y40" s="26" t="inlineStr">
        <is>
          <t>RMB</t>
        </is>
      </c>
      <c r="Z40" s="137" t="n">
        <v>538105000</v>
      </c>
      <c r="AA40" s="137" t="n">
        <v>836195000</v>
      </c>
      <c r="AB40" s="137" t="n">
        <v>1007681000</v>
      </c>
      <c r="AC40" s="137" t="n">
        <v>398267000</v>
      </c>
      <c r="AD40" s="137" t="n">
        <v>639721000</v>
      </c>
      <c r="AE40" s="137" t="n">
        <v>679802000</v>
      </c>
      <c r="AF40" s="137" t="n">
        <v>139838000</v>
      </c>
      <c r="AG40" s="137" t="n">
        <v>196474000</v>
      </c>
      <c r="AH40" s="137" t="n">
        <v>327879000</v>
      </c>
      <c r="AI40" s="137" t="n">
        <v>363699000</v>
      </c>
      <c r="AJ40" s="137" t="n">
        <v>402640000</v>
      </c>
      <c r="AK40" s="137" t="n">
        <v>463142000</v>
      </c>
      <c r="AL40" s="137" t="n">
        <v>96860000</v>
      </c>
      <c r="AM40" s="137" t="n">
        <v>126104000</v>
      </c>
      <c r="AN40" s="137" t="n">
        <v>88664000</v>
      </c>
      <c r="AO40" s="137" t="n">
        <v>88566000</v>
      </c>
      <c r="AP40" s="137" t="n">
        <v>115368000</v>
      </c>
      <c r="AQ40" s="137" t="n">
        <v>80162000</v>
      </c>
      <c r="AR40" s="153" t="n">
        <v>0.035</v>
      </c>
      <c r="AS40" s="153" t="n">
        <v>0.035</v>
      </c>
      <c r="AT40" s="101" t="n">
        <v>0.15</v>
      </c>
      <c r="AU40" s="102" t="inlineStr">
        <is>
          <t>AI-enabled monitoring and inspection products and solutions for railway operation, power grid and other urban management verticals</t>
        </is>
      </c>
      <c r="AV40" s="102" t="inlineStr">
        <is>
          <t>Main Board listing (general admission route of the Listing Rules, Chapter 8); PRC H-share issuer; Over-allotment Option of 15% granted to the International Underwriters</t>
        </is>
      </c>
      <c r="AW40" s="154" t="n">
        <v>45838</v>
      </c>
      <c r="AX40" s="137" t="n">
        <v>84398000</v>
      </c>
      <c r="AY40" s="117" t="n">
        <v>337821000</v>
      </c>
      <c r="AZ40" s="117" t="n">
        <v>22728000</v>
      </c>
      <c r="BA40" s="117" t="n">
        <v>253000</v>
      </c>
      <c r="BB40" s="155" t="n">
        <v>0.742</v>
      </c>
      <c r="BC40" s="139" t="n">
        <v>0.5</v>
      </c>
      <c r="BD40" s="80" t="n">
        <v>1</v>
      </c>
      <c r="BE40" t="n">
        <v>1</v>
      </c>
      <c r="BF40" t="n">
        <v>1</v>
      </c>
      <c r="BG40" t="inlineStr">
        <is>
          <t>NaN</t>
        </is>
      </c>
      <c r="BH40" t="n">
        <v>1</v>
      </c>
      <c r="BI40" t="inlineStr">
        <is>
          <t>NaN</t>
        </is>
      </c>
      <c r="BJ40" t="inlineStr">
        <is>
          <t>Bojiang Furui; Bojiang Chuangfu; Fan Zhihe; Wei Wenyan; Bojiang Xingyi; Bojiang Tech Innovation; Pufeng Investment; Bojiang Yueheng; Yayi Innovation Investment; Hainan Wangzhong; Rongchuang Zibo; Wangzhong Mingxin; Bojiang Hongda; Bojiang Junjing; Bojiang Dingsheng; Gao Hejian; Zhao Dandan; Wu Shuang; Chengyu Fund; Chengdu Wutongshu; Chengdu Wufa; Chengdu Tongchuang; Chongqing Jiangjin; Jiaxing Jiuqian; Peikun Investment</t>
        </is>
      </c>
      <c r="BK40" t="n">
        <v>0.315</v>
      </c>
      <c r="BL40" t="n">
        <v>1</v>
      </c>
      <c r="BM40" t="inlineStr">
        <is>
          <t>Series A Financing</t>
        </is>
      </c>
      <c r="BN40" t="n">
        <v>6.06</v>
      </c>
      <c r="BO40" s="102" t="inlineStr">
        <is>
          <t>自然人</t>
        </is>
      </c>
      <c r="BP40" s="156" t="n">
        <v>0.4602</v>
      </c>
      <c r="BQ40" s="156" t="n">
        <v>0.4602</v>
      </c>
      <c r="BR40" s="137" t="n">
        <v>184081000</v>
      </c>
      <c r="BS40" s="102" t="inlineStr">
        <is>
          <t>commercialised with mature applications in rail transit and electricity; newer verticals at trial-run/preparation stage</t>
        </is>
      </c>
      <c r="BT40" s="153" t="n">
        <v>0</v>
      </c>
      <c r="BU40" s="60" t="inlineStr">
        <is>
          <t>Main Board</t>
        </is>
      </c>
      <c r="BV40" s="89" t="inlineStr">
        <is>
          <t>H Shares</t>
        </is>
      </c>
      <c r="BW40" s="61" t="n">
        <v>0</v>
      </c>
      <c r="BX40" s="77" t="n">
        <v>0</v>
      </c>
      <c r="BY40" s="77" t="n">
        <v>0</v>
      </c>
      <c r="BZ40" s="78" t="n">
        <v>0</v>
      </c>
      <c r="CA40" s="60" t="inlineStr">
        <is>
          <t>702015</t>
        </is>
      </c>
      <c r="CB40" s="76" t="inlineStr">
        <is>
          <t>HSICS (Hang Seng Industry Classification System) 2026</t>
        </is>
      </c>
      <c r="CC40" s="140" t="n">
        <v>42069</v>
      </c>
      <c r="CD40" s="171" t="n">
        <v>10.8</v>
      </c>
      <c r="CE40" s="76" t="inlineStr">
        <is>
          <t>PRC</t>
        </is>
      </c>
      <c r="CF40" s="89" t="inlineStr">
        <is>
          <t>Chengdu, Sichuan Province, PRC</t>
        </is>
      </c>
      <c r="CG40" s="91" t="n"/>
      <c r="CH40" s="60" t="inlineStr">
        <is>
          <t>HKFRSs (Hong Kong Financial Reporting Standards)</t>
        </is>
      </c>
      <c r="CI40" s="141" t="n">
        <v>44927</v>
      </c>
      <c r="CJ40" s="141" t="n">
        <v>45291</v>
      </c>
      <c r="CK40" s="141" t="n">
        <v>45292</v>
      </c>
      <c r="CL40" s="141" t="n">
        <v>45657</v>
      </c>
      <c r="CM40" s="141" t="n">
        <v>45658</v>
      </c>
      <c r="CN40" s="64" t="n">
        <v>231571000</v>
      </c>
      <c r="CO40" s="64" t="n">
        <v>44332000</v>
      </c>
      <c r="CP40" s="64" t="n">
        <v>40081000</v>
      </c>
      <c r="CQ40" s="141" t="n">
        <v>46006</v>
      </c>
      <c r="CR40" s="141" t="n">
        <v>46009</v>
      </c>
      <c r="CS40" s="63" t="n">
        <v>30434578</v>
      </c>
      <c r="CT40" s="64" t="n">
        <v>90801000</v>
      </c>
      <c r="CU40" s="64" t="n">
        <v>280000</v>
      </c>
      <c r="CV40" s="59" t="inlineStr">
        <is>
          <t>Unqualified opinion (true and fair view)</t>
        </is>
      </c>
      <c r="CW40" s="64" t="n">
        <v>45500000</v>
      </c>
      <c r="CX40" s="102" t="inlineStr">
        <is>
          <t>NA</t>
        </is>
      </c>
      <c r="CY40" s="153" t="n">
        <v>0</v>
      </c>
      <c r="CZ40" s="154" t="inlineStr">
        <is>
          <t>NA</t>
        </is>
      </c>
      <c r="DA40" s="143" t="n">
        <v>188.74</v>
      </c>
      <c r="DB40" s="63" t="n">
        <v>33051</v>
      </c>
      <c r="DC40" s="63" t="n">
        <v>71476838</v>
      </c>
      <c r="DD40" s="59" t="inlineStr">
        <is>
          <t>Subscription level 188.74 times</t>
        </is>
      </c>
      <c r="DE40" s="141" t="n">
        <v>46010</v>
      </c>
      <c r="DF40" s="141" t="n">
        <v>46013</v>
      </c>
      <c r="DG40" s="63" t="n">
        <v>3786600</v>
      </c>
      <c r="DH40" s="63" t="n">
        <v>378700</v>
      </c>
      <c r="DI40" s="63" t="n">
        <v>3407900</v>
      </c>
      <c r="DJ40" s="63" t="n">
        <v>0</v>
      </c>
      <c r="DK40" s="169" t="n">
        <v>0</v>
      </c>
      <c r="DL40" s="59" t="inlineStr">
        <is>
          <t>No claw-back/reallocation: 'Claw-back triggered No'; final Hong Kong Public Offering shares unchanged at 378,700 (10% of the Global Offering) and the International Offering unchanged at 3,407,900 (90%)</t>
        </is>
      </c>
      <c r="DM40" s="157" t="n">
        <v>257430000</v>
      </c>
      <c r="DN40" s="153" t="n">
        <v>0.317</v>
      </c>
      <c r="DO40" s="102" t="n">
        <v>37866600</v>
      </c>
      <c r="DP40" s="153" t="n">
        <v>0.1</v>
      </c>
      <c r="DQ40" s="59" t="inlineStr">
        <is>
          <t>Free float numerator = Offer Shares allotted to investors who are not core connected persons and are not subject to any disposal restrictions (no cornerstone investors, so the whole 3,786,600-share Global Offering); denominator = total issued Shares upon completion of the Global Offering (37,866,600). All existing Shareholders' shares are excluded because under PRC law they are locked up for twelve months from the Listing Date.</t>
        </is>
      </c>
      <c r="DR40" s="63" t="n">
        <v>37866600</v>
      </c>
      <c r="DS40" s="153" t="n">
        <v>-0.02241689</v>
      </c>
      <c r="DT40" s="80" t="n">
        <v>38</v>
      </c>
      <c r="DU40" s="153" t="n">
        <v>0.0303952</v>
      </c>
      <c r="DV40" s="157" t="n">
        <v>53903000000</v>
      </c>
      <c r="DW40" s="158" t="n">
        <v>371</v>
      </c>
      <c r="DX40" s="169" t="n">
        <v>3.6375</v>
      </c>
      <c r="DY40" s="172" t="n">
        <v>1101900600</v>
      </c>
      <c r="DZ40" s="146" t="n">
        <v>319.8</v>
      </c>
      <c r="EA40" s="146" t="n">
        <v>371</v>
      </c>
      <c r="EB40" s="146" t="n">
        <v>310</v>
      </c>
      <c r="EC40" s="63" t="n">
        <v>868750</v>
      </c>
      <c r="ED40" s="169" t="n">
        <v>0.229427</v>
      </c>
      <c r="EE40" s="64" t="n"/>
      <c r="EF40" s="60" t="inlineStr">
        <is>
          <t>Mechanism B</t>
        </is>
      </c>
      <c r="EG40" s="59" t="inlineStr">
        <is>
          <t>FINI (from 22/11/2023); 2025-08-04 pricing reform (Mechanism A/B; six-month cornerstone lock-up retained); this IPO: Mechanism B</t>
        </is>
      </c>
      <c r="EH40" t="inlineStr">
        <is>
          <t>诺比侃人工智能科技（成都）股份有限公司</t>
        </is>
      </c>
      <c r="EI40" s="174" t="inlineStr">
        <is>
          <t>Active</t>
        </is>
      </c>
      <c r="EJ40" s="175" t="n">
        <v>38.02</v>
      </c>
      <c r="EK40" s="176" t="n">
        <v>0.024798</v>
      </c>
      <c r="EL40" s="176" t="n">
        <v>3.7525</v>
      </c>
      <c r="EM40" s="176" t="n">
        <v>0.033205</v>
      </c>
      <c r="EN40" s="176" t="n">
        <v>0.049837</v>
      </c>
      <c r="EO40" s="179" t="n">
        <v>0.9919</v>
      </c>
      <c r="EP40" s="179" t="n">
        <v>0.9761</v>
      </c>
      <c r="EQ40" s="178" t="n">
        <v>33430765</v>
      </c>
      <c r="ER40" s="175" t="n">
        <v>13.9</v>
      </c>
      <c r="ES40" s="176" t="n">
        <v>-0.625337</v>
      </c>
      <c r="ET40" s="176" t="n">
        <v>0.7375</v>
      </c>
      <c r="EU40" s="176" t="n">
        <v>-0.094586</v>
      </c>
      <c r="EV40" s="176" t="n">
        <v>-0.198523</v>
      </c>
      <c r="EW40" s="179" t="n">
        <v>0.4138</v>
      </c>
      <c r="EX40" s="179" t="n">
        <v>0.4675</v>
      </c>
      <c r="EY40" s="178" t="n">
        <v>272414490</v>
      </c>
      <c r="EZ40" s="176" t="n">
        <v>1.213936</v>
      </c>
      <c r="FA40" s="176" t="n"/>
      <c r="FB40" s="179" t="n"/>
      <c r="FC40" s="176" t="n"/>
      <c r="FD40" s="179" t="n"/>
      <c r="FE40" s="174" t="inlineStr">
        <is>
          <t>Standard</t>
        </is>
      </c>
      <c r="FF40" s="181" t="n"/>
      <c r="FG40" s="185" t="n"/>
      <c r="FH40" s="183" t="n"/>
      <c r="FI40" s="178" t="n"/>
      <c r="FJ40" s="176" t="n"/>
      <c r="FK40" s="185" t="n"/>
      <c r="FL40" s="178" t="n"/>
      <c r="FM40" s="176" t="n"/>
      <c r="FN40" s="176" t="n"/>
      <c r="FO40" s="176" t="n"/>
      <c r="FP40" s="176" t="n"/>
      <c r="FQ40" s="176" t="n">
        <v>0.008085999999999999</v>
      </c>
      <c r="FR40" s="179" t="n">
        <v>1.0137</v>
      </c>
      <c r="FS40" s="176" t="n">
        <v>0.024798</v>
      </c>
      <c r="FT40" s="179" t="n">
        <v>0.9919</v>
      </c>
      <c r="FU40" s="176" t="n">
        <v>0.384097</v>
      </c>
      <c r="FV40" s="179" t="n">
        <v>1.4631</v>
      </c>
      <c r="FW40" s="179" t="n">
        <v>1.6121</v>
      </c>
      <c r="FX40" s="178" t="n">
        <v>36865958.14</v>
      </c>
      <c r="FY40" s="186" t="n">
        <v>0.001401798319327731</v>
      </c>
      <c r="FZ40" s="183" t="n">
        <v>0</v>
      </c>
      <c r="GA40" s="176" t="n">
        <v>0.09591063931818225</v>
      </c>
      <c r="GB40" s="176" t="n">
        <v>0.832933</v>
      </c>
      <c r="GC40" s="185" t="n"/>
      <c r="GD40" s="185" t="n"/>
      <c r="GE40" s="176" t="n"/>
      <c r="GF40" s="176" t="n"/>
      <c r="GG40" s="179" t="n"/>
      <c r="GH40" s="181" t="inlineStr">
        <is>
          <t>China International Capital Corporation Hong Kong Securities Limited</t>
        </is>
      </c>
      <c r="GI40" s="183" t="n">
        <v>1</v>
      </c>
      <c r="GJ40" s="183" t="n">
        <v>0</v>
      </c>
      <c r="GK40" s="176" t="n">
        <v>0.035</v>
      </c>
      <c r="GL40" s="176" t="n"/>
      <c r="GM40" s="176" t="n"/>
      <c r="GN40" s="183" t="n">
        <v>0</v>
      </c>
      <c r="GO40" s="183" t="n">
        <v>0</v>
      </c>
      <c r="GP40" s="183" t="n">
        <v>0</v>
      </c>
      <c r="GQ40" s="183" t="n">
        <v>25</v>
      </c>
      <c r="GR40" s="183" t="n">
        <v>1</v>
      </c>
      <c r="GS40" s="181" t="inlineStr">
        <is>
          <t>POST_FINI</t>
        </is>
      </c>
      <c r="GT40" s="181" t="inlineStr">
        <is>
          <t>POST_2025_REFORM</t>
        </is>
      </c>
    </row>
    <row r="41" ht="31.5" customFormat="1" customHeight="1" s="12">
      <c r="A41" s="60" t="n">
        <v>112</v>
      </c>
      <c r="B41" s="93" t="inlineStr">
        <is>
          <t>2661.HK</t>
        </is>
      </c>
      <c r="C41" s="59" t="inlineStr">
        <is>
          <t>QingSong Health Corporation</t>
        </is>
      </c>
      <c r="D41" s="149" t="n">
        <v>46006</v>
      </c>
      <c r="E41" s="95" t="n">
        <v>46014</v>
      </c>
      <c r="F41" s="60" t="inlineStr">
        <is>
          <t>China International Capital Corporation
Hong Kong Securities Limited /
China Merchants Securities (HK) Co., Limited</t>
        </is>
      </c>
      <c r="G41" s="60" t="inlineStr">
        <is>
          <t>Deloitte Touche Tohmatsu</t>
        </is>
      </c>
      <c r="H41" s="60" t="n"/>
      <c r="I41" s="150" t="n">
        <v>60192720</v>
      </c>
      <c r="J41" s="148" t="n">
        <v>541734480</v>
      </c>
      <c r="K41" s="151" t="n">
        <v>22.68</v>
      </c>
      <c r="L41" t="n">
        <v>206374209</v>
      </c>
      <c r="M41" s="98" t="n">
        <v>26540000</v>
      </c>
      <c r="N41" t="n">
        <v>179834209</v>
      </c>
      <c r="O41" t="n">
        <v>179834209</v>
      </c>
      <c r="P41" t="n">
        <v>0</v>
      </c>
      <c r="Q41" t="n">
        <v>26540000</v>
      </c>
      <c r="R41" s="98" t="n">
        <v>23886000</v>
      </c>
      <c r="S41" s="98" t="n">
        <v>2654000</v>
      </c>
      <c r="T41" s="152" t="n">
        <v>22.68</v>
      </c>
      <c r="U41" s="152" t="n">
        <v>22.68</v>
      </c>
      <c r="V41" s="169" t="n">
        <v>0</v>
      </c>
      <c r="W41" s="169" t="n">
        <v>0</v>
      </c>
      <c r="X41" s="170" t="inlineStr">
        <is>
          <t>Fixed price</t>
        </is>
      </c>
      <c r="Y41" s="26" t="inlineStr">
        <is>
          <t>RMB</t>
        </is>
      </c>
      <c r="Z41" s="137" t="n">
        <v>706428000</v>
      </c>
      <c r="AA41" s="137" t="n">
        <v>689229000</v>
      </c>
      <c r="AB41" s="137" t="n">
        <v>636623000</v>
      </c>
      <c r="AC41" s="137" t="n">
        <v>-1197920000</v>
      </c>
      <c r="AD41" s="137" t="n">
        <v>-1218546000</v>
      </c>
      <c r="AE41" s="137" t="n">
        <v>-1131297000</v>
      </c>
      <c r="AF41" s="137" t="n">
        <v>1904348000</v>
      </c>
      <c r="AG41" s="137" t="n">
        <v>1907775000</v>
      </c>
      <c r="AH41" s="137" t="n">
        <v>1767920000</v>
      </c>
      <c r="AI41" s="137" t="n">
        <v>489961000</v>
      </c>
      <c r="AJ41" s="137" t="n">
        <v>945006000</v>
      </c>
      <c r="AK41" s="137" t="n">
        <v>1312178000</v>
      </c>
      <c r="AL41" s="137" t="n">
        <v>104535000</v>
      </c>
      <c r="AM41" s="137" t="n">
        <v>7380000</v>
      </c>
      <c r="AN41" s="137" t="n">
        <v>173548000</v>
      </c>
      <c r="AO41" s="137" t="n">
        <v>73616000</v>
      </c>
      <c r="AP41" s="137" t="n">
        <v>10398000</v>
      </c>
      <c r="AQ41" s="137" t="n">
        <v>172090000</v>
      </c>
      <c r="AR41" s="153" t="n">
        <v>0.035</v>
      </c>
      <c r="AS41" s="153" t="n">
        <v>0.035</v>
      </c>
      <c r="AT41" s="101" t="n">
        <v>0.15</v>
      </c>
      <c r="AU41" s="102" t="inlineStr">
        <is>
          <t>Healthcare-related and insurance-related solutions in China (digital integrated healthcare and health insurance services)</t>
        </is>
      </c>
      <c r="AV41" s="102" t="inlineStr">
        <is>
          <t>Main Board (general eligibility; no Chapter 18A/18C specialist regime disclosed)</t>
        </is>
      </c>
      <c r="AW41" s="154" t="n">
        <v>45838</v>
      </c>
      <c r="AX41" s="137" t="n">
        <v>52446000</v>
      </c>
      <c r="AY41" s="117" t="n">
        <v>315335000</v>
      </c>
      <c r="AZ41" s="117" t="n">
        <v>35370000</v>
      </c>
      <c r="BA41" s="117" t="inlineStr">
        <is>
          <t>NaN</t>
        </is>
      </c>
      <c r="BB41" s="155" t="n">
        <v>0.659</v>
      </c>
      <c r="BC41" s="139" t="n">
        <v>0.5</v>
      </c>
      <c r="BD41" s="80" t="n">
        <v>1</v>
      </c>
      <c r="BE41" t="n">
        <v>1</v>
      </c>
      <c r="BF41" t="n">
        <v>1</v>
      </c>
      <c r="BG41" t="n">
        <v>1</v>
      </c>
      <c r="BH41" t="inlineStr">
        <is>
          <t>NaN</t>
        </is>
      </c>
      <c r="BI41" t="n">
        <v>1</v>
      </c>
      <c r="BJ41" t="inlineStr">
        <is>
          <t>IDG China Media Fund II L.P.; IDG China Capital Fund III L.P.; IDG China Capital III Investors L.P.; Sunshine Life Insurance Corporation Limited; DT Global Consumer Investment Company Limited; TDH Venture Capital Investment Limited; Genesis Premium Holdings Limited; Grand Path Ventures Limited; CE FINTECH I LIMITED PARTNERSHIP; Chinese Rose Investment Limited</t>
        </is>
      </c>
      <c r="BK41" t="n">
        <v>0.5548</v>
      </c>
      <c r="BL41" t="n">
        <v>1</v>
      </c>
      <c r="BM41" t="inlineStr">
        <is>
          <t>Series A Investments</t>
        </is>
      </c>
      <c r="BN41" t="n">
        <v>10.69</v>
      </c>
      <c r="BO41" s="102" t="inlineStr">
        <is>
          <t>Natural person (Ms. YANG Yin, founder and ultimate controlling shareholder)</t>
        </is>
      </c>
      <c r="BP41" s="156" t="n">
        <v>0.2085</v>
      </c>
      <c r="BQ41" s="156" t="n">
        <v>0.3394</v>
      </c>
      <c r="BR41" s="137" t="n">
        <v>1628902000</v>
      </c>
      <c r="BS41" s="102" t="inlineStr">
        <is>
          <t>Commercialised (AIcare technology stack deployed across healthcare and insurance services)</t>
        </is>
      </c>
      <c r="BT41" s="153" t="n">
        <v>0</v>
      </c>
      <c r="BU41" s="60" t="inlineStr">
        <is>
          <t>Main Board</t>
        </is>
      </c>
      <c r="BV41" s="89" t="inlineStr">
        <is>
          <t>Ordinary Shares</t>
        </is>
      </c>
      <c r="BW41" s="61" t="n">
        <v>0</v>
      </c>
      <c r="BX41" s="77" t="n">
        <v>0</v>
      </c>
      <c r="BY41" s="77" t="n">
        <v>0</v>
      </c>
      <c r="BZ41" s="78" t="n">
        <v>0</v>
      </c>
      <c r="CA41" s="60" t="inlineStr">
        <is>
          <t>235010</t>
        </is>
      </c>
      <c r="CB41" s="76" t="inlineStr">
        <is>
          <t>HSICS (Hang Seng Industry Classification System) 2026</t>
        </is>
      </c>
      <c r="CC41" s="140" t="n">
        <v>41955</v>
      </c>
      <c r="CD41" s="171" t="n">
        <v>11.11</v>
      </c>
      <c r="CE41" s="76" t="inlineStr">
        <is>
          <t>Cayman Islands</t>
        </is>
      </c>
      <c r="CF41" s="89" t="inlineStr">
        <is>
          <t>Beijing, PRC</t>
        </is>
      </c>
      <c r="CG41" s="91" t="n"/>
      <c r="CH41" s="60" t="inlineStr">
        <is>
          <t>IFRS Accounting Standards</t>
        </is>
      </c>
      <c r="CI41" s="141" t="n">
        <v>44927</v>
      </c>
      <c r="CJ41" s="141" t="n">
        <v>45291</v>
      </c>
      <c r="CK41" s="141" t="n">
        <v>45292</v>
      </c>
      <c r="CL41" s="141" t="n">
        <v>45657</v>
      </c>
      <c r="CM41" s="141" t="n">
        <v>45658</v>
      </c>
      <c r="CN41" s="64" t="n">
        <v>656089000</v>
      </c>
      <c r="CO41" s="64" t="n">
        <v>86774000</v>
      </c>
      <c r="CP41" s="64" t="n">
        <v>86045000</v>
      </c>
      <c r="CQ41" s="141" t="n">
        <v>46006</v>
      </c>
      <c r="CR41" s="141" t="n">
        <v>46009</v>
      </c>
      <c r="CS41" s="63" t="n">
        <v>206374209</v>
      </c>
      <c r="CT41" s="64" t="n">
        <v>213215000</v>
      </c>
      <c r="CU41" s="64" t="n">
        <v>153000</v>
      </c>
      <c r="CV41" s="59" t="inlineStr">
        <is>
          <t>Unqualified opinion</t>
        </is>
      </c>
      <c r="CW41" s="64" t="n">
        <v>88500000</v>
      </c>
      <c r="CX41" s="102" t="inlineStr">
        <is>
          <t>Guangdong-Macao In-Depth Cooperation Zone In Hengqin Aoqin Heming Investment Partnership (Limited Partnership)</t>
        </is>
      </c>
      <c r="CY41" s="153" t="n">
        <v>0.1809</v>
      </c>
      <c r="CZ41" s="154" t="n">
        <v>46196</v>
      </c>
      <c r="DA41" s="143" t="n">
        <v>1421.47</v>
      </c>
      <c r="DB41" s="63" t="n">
        <v>111894</v>
      </c>
      <c r="DC41" s="63" t="n">
        <v>3772577400</v>
      </c>
      <c r="DD41" s="59" t="inlineStr">
        <is>
          <t>Subscription level 1,421.47 times</t>
        </is>
      </c>
      <c r="DE41" s="141" t="inlineStr">
        <is>
          <t>NA</t>
        </is>
      </c>
      <c r="DF41" s="141" t="n">
        <v>46013</v>
      </c>
      <c r="DG41" s="63" t="n">
        <v>26540000</v>
      </c>
      <c r="DH41" s="63" t="n">
        <v>2654000</v>
      </c>
      <c r="DI41" s="63" t="n">
        <v>23886000</v>
      </c>
      <c r="DJ41" s="63" t="n">
        <v>0</v>
      </c>
      <c r="DK41" s="169" t="n">
        <v>0</v>
      </c>
      <c r="DL41" s="59" t="inlineStr">
        <is>
          <t>No Offer Shares reallocated from the International Offering to the Hong Kong Public Offering (reallocation 0); Hong Kong Public Offering remained at its initial 2,654,000 Offer Shares (10% of the Global Offering).</t>
        </is>
      </c>
      <c r="DM41" s="157" t="n">
        <v>513420000</v>
      </c>
      <c r="DN41" s="153" t="n">
        <v>0.3794</v>
      </c>
      <c r="DO41" s="102" t="n">
        <v>206374209</v>
      </c>
      <c r="DP41" s="153" t="n">
        <v>0.1053</v>
      </c>
      <c r="DQ41" s="59" t="inlineStr">
        <is>
          <t>Free float denominator = total issued shares upon listing (col_CZ); numerator = offer shares minus cornerstone allocation</t>
        </is>
      </c>
      <c r="DR41" s="63" t="n">
        <v>206374209</v>
      </c>
      <c r="DS41" s="153" t="n">
        <v>-0.02241689</v>
      </c>
      <c r="DT41" s="80" t="n">
        <v>38</v>
      </c>
      <c r="DU41" s="153" t="n">
        <v>0.0303952</v>
      </c>
      <c r="DV41" s="157" t="n">
        <v>53903000000</v>
      </c>
      <c r="DW41" s="158" t="n">
        <v>58.7</v>
      </c>
      <c r="DX41" s="169" t="n">
        <v>1.588183</v>
      </c>
      <c r="DY41" s="172" t="n">
        <v>955970800</v>
      </c>
      <c r="DZ41" s="146" t="n">
        <v>50</v>
      </c>
      <c r="EA41" s="146" t="n">
        <v>59.8</v>
      </c>
      <c r="EB41" s="146" t="n">
        <v>49</v>
      </c>
      <c r="EC41" s="63" t="n">
        <v>6239600</v>
      </c>
      <c r="ED41" s="169" t="n">
        <v>0.235102</v>
      </c>
      <c r="EE41" s="64" t="n"/>
      <c r="EF41" s="60" t="inlineStr">
        <is>
          <t>Mechanism B</t>
        </is>
      </c>
      <c r="EG41" s="59" t="inlineStr">
        <is>
          <t>FINI (from 22/11/2023); 2025-08-04 pricing reform (Mechanism A/B; six-month cornerstone lock-up retained); this IPO: Mechanism B</t>
        </is>
      </c>
      <c r="EH41" t="inlineStr">
        <is>
          <t>轻松健康集团</t>
        </is>
      </c>
      <c r="EI41" s="174" t="inlineStr">
        <is>
          <t>Active</t>
        </is>
      </c>
      <c r="EJ41" s="175" t="n">
        <v>106.7</v>
      </c>
      <c r="EK41" s="176" t="n">
        <v>0.817717</v>
      </c>
      <c r="EL41" s="176" t="n">
        <v>3.704586</v>
      </c>
      <c r="EM41" s="176" t="n">
        <v>0.033205</v>
      </c>
      <c r="EN41" s="176" t="n">
        <v>0.049837</v>
      </c>
      <c r="EO41" s="179" t="n">
        <v>1.7593</v>
      </c>
      <c r="EP41" s="179" t="n">
        <v>1.7314</v>
      </c>
      <c r="EQ41" s="178" t="n">
        <v>53202150</v>
      </c>
      <c r="ER41" s="175" t="n">
        <v>13.96</v>
      </c>
      <c r="ES41" s="176" t="n">
        <v>-0.762181</v>
      </c>
      <c r="ET41" s="176" t="n">
        <v>-0.38448</v>
      </c>
      <c r="EU41" s="176" t="n">
        <v>-0.094586</v>
      </c>
      <c r="EV41" s="176" t="n">
        <v>-0.198523</v>
      </c>
      <c r="EW41" s="179" t="n">
        <v>0.2627</v>
      </c>
      <c r="EX41" s="179" t="n">
        <v>0.2967</v>
      </c>
      <c r="EY41" s="178" t="n">
        <v>207055405</v>
      </c>
      <c r="EZ41" s="176" t="n">
        <v>0.646712</v>
      </c>
      <c r="FA41" s="176" t="n"/>
      <c r="FB41" s="179" t="n"/>
      <c r="FC41" s="176" t="n"/>
      <c r="FD41" s="179" t="n"/>
      <c r="FE41" s="174" t="inlineStr">
        <is>
          <t>Standard</t>
        </is>
      </c>
      <c r="FF41" s="181" t="n"/>
      <c r="FG41" s="185" t="n"/>
      <c r="FH41" s="183" t="n"/>
      <c r="FI41" s="178" t="n"/>
      <c r="FJ41" s="176" t="n"/>
      <c r="FK41" s="185" t="n"/>
      <c r="FL41" s="178" t="n"/>
      <c r="FM41" s="176" t="n"/>
      <c r="FN41" s="176" t="n"/>
      <c r="FO41" s="176" t="n"/>
      <c r="FP41" s="176" t="n"/>
      <c r="FQ41" s="176" t="n">
        <v>0.167802</v>
      </c>
      <c r="FR41" s="179" t="n">
        <v>1.1743</v>
      </c>
      <c r="FS41" s="176" t="n">
        <v>0.817717</v>
      </c>
      <c r="FT41" s="179" t="n">
        <v>1.7593</v>
      </c>
      <c r="FU41" s="176" t="n">
        <v>1.459966</v>
      </c>
      <c r="FV41" s="179" t="n">
        <v>2.6004</v>
      </c>
      <c r="FW41" s="179" t="n">
        <v>2.8653</v>
      </c>
      <c r="FX41" s="178" t="n">
        <v>49985313.56</v>
      </c>
      <c r="FY41" s="186" t="n">
        <v>0.0008532941176470588</v>
      </c>
      <c r="FZ41" s="183" t="n">
        <v>0</v>
      </c>
      <c r="GA41" s="176" t="n">
        <v>0.1718465663008416</v>
      </c>
      <c r="GB41" s="176" t="n">
        <v>0.927597</v>
      </c>
      <c r="GC41" s="185" t="n"/>
      <c r="GD41" s="185" t="n"/>
      <c r="GE41" s="176" t="n"/>
      <c r="GF41" s="176" t="n"/>
      <c r="GG41" s="179" t="n"/>
      <c r="GH41" s="181" t="inlineStr">
        <is>
          <t>China International Capital Corporation Hong Kong Securities Limited</t>
        </is>
      </c>
      <c r="GI41" s="183" t="n">
        <v>2</v>
      </c>
      <c r="GJ41" s="183" t="n">
        <v>0</v>
      </c>
      <c r="GK41" s="176" t="n">
        <v>0.035</v>
      </c>
      <c r="GL41" s="176" t="n"/>
      <c r="GM41" s="176" t="n"/>
      <c r="GN41" s="183" t="n">
        <v>1</v>
      </c>
      <c r="GO41" s="183" t="n">
        <v>1</v>
      </c>
      <c r="GP41" s="183" t="n">
        <v>0</v>
      </c>
      <c r="GQ41" s="183" t="n">
        <v>10</v>
      </c>
      <c r="GR41" s="183" t="n">
        <v>1</v>
      </c>
      <c r="GS41" s="181" t="inlineStr">
        <is>
          <t>POST_FINI</t>
        </is>
      </c>
      <c r="GT41" s="181" t="inlineStr">
        <is>
          <t>POST_2025_REFORM</t>
        </is>
      </c>
    </row>
    <row r="42" ht="17.25" customFormat="1" customHeight="1" s="12">
      <c r="A42" s="60" t="n">
        <v>110</v>
      </c>
      <c r="B42" s="93" t="inlineStr">
        <is>
          <t>3378.HK</t>
        </is>
      </c>
      <c r="C42" s="59" t="inlineStr">
        <is>
          <t>Hanx Biopharmaceuticals (Wuhan) Co., Ltd.
- B - H shares</t>
        </is>
      </c>
      <c r="D42" s="149" t="n">
        <v>46006</v>
      </c>
      <c r="E42" s="95" t="n">
        <v>46014</v>
      </c>
      <c r="F42" s="60" t="inlineStr">
        <is>
          <t>ICBC International Capital Limited</t>
        </is>
      </c>
      <c r="G42" s="60" t="inlineStr">
        <is>
          <t>Ernst &amp; Young</t>
        </is>
      </c>
      <c r="H42" s="60" t="n"/>
      <c r="I42" s="150" t="n">
        <v>58627200</v>
      </c>
      <c r="J42" s="148" t="n">
        <v>527644800</v>
      </c>
      <c r="K42" s="151" t="n">
        <v>32</v>
      </c>
      <c r="L42" t="n">
        <v>136218830</v>
      </c>
      <c r="M42" s="98" t="n">
        <v>18321000</v>
      </c>
      <c r="N42" t="n">
        <v>117897830</v>
      </c>
      <c r="O42" t="n">
        <v>117897830</v>
      </c>
      <c r="P42" t="n">
        <v>0</v>
      </c>
      <c r="Q42" t="n">
        <v>18321000</v>
      </c>
      <c r="R42" s="98" t="n">
        <v>16488900</v>
      </c>
      <c r="S42" s="98" t="n">
        <v>1832100</v>
      </c>
      <c r="T42" s="152" t="n">
        <v>32</v>
      </c>
      <c r="U42" s="152" t="n">
        <v>28</v>
      </c>
      <c r="V42" s="169" t="n">
        <v>0.066667</v>
      </c>
      <c r="W42" s="169" t="n">
        <v>0.133333</v>
      </c>
      <c r="X42" s="170" t="inlineStr">
        <is>
          <t>At high</t>
        </is>
      </c>
      <c r="Y42" s="26" t="inlineStr">
        <is>
          <t>RMB</t>
        </is>
      </c>
      <c r="Z42" s="137" t="n">
        <v>586240000</v>
      </c>
      <c r="AA42" s="137" t="n">
        <v>501471000</v>
      </c>
      <c r="AB42" s="137" t="n">
        <v>444298000</v>
      </c>
      <c r="AC42" s="137" t="n">
        <v>319581000</v>
      </c>
      <c r="AD42" s="137" t="n">
        <v>216604000</v>
      </c>
      <c r="AE42" s="137" t="n">
        <v>144791000</v>
      </c>
      <c r="AF42" s="137" t="n">
        <v>266659000</v>
      </c>
      <c r="AG42" s="137" t="n">
        <v>284867000</v>
      </c>
      <c r="AH42" s="137" t="n">
        <v>299507000</v>
      </c>
      <c r="AI42" s="137" t="n">
        <v>0</v>
      </c>
      <c r="AJ42" s="137" t="n">
        <v>0</v>
      </c>
      <c r="AK42" s="137" t="n">
        <v>0</v>
      </c>
      <c r="AL42" s="137" t="n">
        <v>-93423000</v>
      </c>
      <c r="AM42" s="137" t="n">
        <v>-122820000</v>
      </c>
      <c r="AN42" s="137" t="n">
        <v>-149899500</v>
      </c>
      <c r="AO42" s="137" t="n">
        <v>-85160000</v>
      </c>
      <c r="AP42" s="137" t="n">
        <v>-116922000</v>
      </c>
      <c r="AQ42" s="137" t="n">
        <v>-131157000</v>
      </c>
      <c r="AR42" s="153" t="n">
        <v>0.024</v>
      </c>
      <c r="AS42" s="153" t="n">
        <v>0.024</v>
      </c>
      <c r="AT42" s="101" t="n">
        <v>0.15</v>
      </c>
      <c r="AU42" s="102" t="inlineStr">
        <is>
          <t>Innovative biotech company developing next-generation immunotherapeutics (immuno-oncology); pipeline incl. Core Product HX009, HX301 and HX044; no products approved for commercial sale</t>
        </is>
      </c>
      <c r="AV42" s="102" t="inlineStr">
        <is>
          <t>Main Board, Chapter 18A of the Listing Rules (biotech company)</t>
        </is>
      </c>
      <c r="AW42" s="154" t="n">
        <v>45900</v>
      </c>
      <c r="AX42" s="137" t="n">
        <v>-59390000</v>
      </c>
      <c r="AY42" s="117" t="n">
        <v>150000000</v>
      </c>
      <c r="AZ42" s="117" t="n">
        <v>56178000</v>
      </c>
      <c r="BA42" s="117" t="n">
        <v>0</v>
      </c>
      <c r="BB42" s="155" t="inlineStr">
        <is>
          <t>NaN</t>
        </is>
      </c>
      <c r="BC42" s="139" t="n">
        <v>0.666667</v>
      </c>
      <c r="BD42" s="80" t="n">
        <v>1</v>
      </c>
      <c r="BE42" t="n">
        <v>1</v>
      </c>
      <c r="BF42" t="n">
        <v>1</v>
      </c>
      <c r="BG42" t="inlineStr">
        <is>
          <t>NaN</t>
        </is>
      </c>
      <c r="BH42" t="n">
        <v>1</v>
      </c>
      <c r="BI42" t="inlineStr">
        <is>
          <t>NaN</t>
        </is>
      </c>
      <c r="BJ42" t="inlineStr">
        <is>
          <t>Beijing Lapam Biopharmaceutical Venture Capital Center (Limited Partnership); Hangzhou Hongye Ruiji Investment Partnership (Limited Partnership); Betta Pharmaceuticals Co., Ltd.; Wuhan Donggaorensi Equity Investment Partnership (Limited Partnership); Hangzhou Taikun Equity Investment Fund Partnership (Limited Partnership); Tibet Lapam Small and Medium Enterprise Development Fund Equity Investment Partnership (Limited Partnership); Lapam Capital HK Co., Limited; Hainan Yangtze; Yangtze Hong Kong; Xiao Jieyu; Liao Tong; Zou Zhiyong</t>
        </is>
      </c>
      <c r="BK42" t="n">
        <v>0.4324</v>
      </c>
      <c r="BL42" t="n">
        <v>1</v>
      </c>
      <c r="BM42" t="inlineStr">
        <is>
          <t>Series A</t>
        </is>
      </c>
      <c r="BN42" t="n">
        <v>8.94</v>
      </c>
      <c r="BO42" s="102" t="inlineStr">
        <is>
          <t>Natural person (Dr. Zhang Faming)</t>
        </is>
      </c>
      <c r="BP42" s="156" t="n">
        <v>0.5575</v>
      </c>
      <c r="BQ42" s="156" t="n">
        <v>0.5575</v>
      </c>
      <c r="BR42" s="137" t="n">
        <v>199147000</v>
      </c>
      <c r="BS42" s="102" t="inlineStr">
        <is>
          <t>Clinical stage development; no products approved for commercial sale</t>
        </is>
      </c>
      <c r="BT42" s="153" t="n">
        <v>0</v>
      </c>
      <c r="BU42" s="60" t="inlineStr">
        <is>
          <t>Main Board</t>
        </is>
      </c>
      <c r="BV42" s="89" t="inlineStr">
        <is>
          <t>H Shares</t>
        </is>
      </c>
      <c r="BW42" s="61" t="n">
        <v>0</v>
      </c>
      <c r="BX42" s="77" t="n">
        <v>0</v>
      </c>
      <c r="BY42" s="77" t="n">
        <v>1</v>
      </c>
      <c r="BZ42" s="78" t="n">
        <v>0</v>
      </c>
      <c r="CA42" s="60" t="inlineStr">
        <is>
          <t>281020</t>
        </is>
      </c>
      <c r="CB42" s="76" t="inlineStr">
        <is>
          <t>HSICS (Hang Seng Industry Classification System) 2026</t>
        </is>
      </c>
      <c r="CC42" s="140" t="n">
        <v>41992</v>
      </c>
      <c r="CD42" s="171" t="n">
        <v>11.01</v>
      </c>
      <c r="CE42" s="76" t="inlineStr">
        <is>
          <t>PRC</t>
        </is>
      </c>
      <c r="CF42" s="89" t="inlineStr">
        <is>
          <t>Wuhan, Hubei Province, the PRC</t>
        </is>
      </c>
      <c r="CG42" s="91" t="n"/>
      <c r="CH42" s="60" t="inlineStr">
        <is>
          <t>HKFRSs (Hong Kong Financial Reporting Standards)</t>
        </is>
      </c>
      <c r="CI42" s="141" t="n">
        <v>44927</v>
      </c>
      <c r="CJ42" s="141" t="n">
        <v>45291</v>
      </c>
      <c r="CK42" s="141" t="n">
        <v>45292</v>
      </c>
      <c r="CL42" s="141" t="n">
        <v>45657</v>
      </c>
      <c r="CM42" s="141" t="n">
        <v>45658</v>
      </c>
      <c r="CN42" s="64" t="n">
        <v>0</v>
      </c>
      <c r="CO42" s="64" t="n">
        <v>-99933000</v>
      </c>
      <c r="CP42" s="64" t="n">
        <v>-87438000</v>
      </c>
      <c r="CQ42" s="141" t="n">
        <v>46006</v>
      </c>
      <c r="CR42" s="141" t="n">
        <v>46009</v>
      </c>
      <c r="CS42" s="63" t="n">
        <v>136218830</v>
      </c>
      <c r="CT42" s="64" t="inlineStr">
        <is>
          <t>NaN</t>
        </is>
      </c>
      <c r="CU42" s="64" t="n">
        <v>464000</v>
      </c>
      <c r="CV42" s="59" t="inlineStr">
        <is>
          <t>Unqualified opinion</t>
        </is>
      </c>
      <c r="CW42" s="64" t="n">
        <v>53500000</v>
      </c>
      <c r="CX42" s="102" t="inlineStr">
        <is>
          <t>Fund Resources Investment Holding Group Company Limited; Sage Partners Master Fund; Guotai Junan Investments (Hong Kong) Limited (in connection with the Kunyang OTC Swaps); TFI Investment Fund SPC (acting for and on behalf of its segregated portfolio, TFI Lakeside SP); Main Source Capital Limited; YStem Holding Limited; Awaken Thunder Capital Limited</t>
        </is>
      </c>
      <c r="CY42" s="153" t="n">
        <v>0.1593</v>
      </c>
      <c r="CZ42" s="154" t="n">
        <v>46196</v>
      </c>
      <c r="DA42" s="143" t="n">
        <v>3074.09</v>
      </c>
      <c r="DB42" s="63" t="n">
        <v>139704</v>
      </c>
      <c r="DC42" s="63" t="n">
        <v>5632031400</v>
      </c>
      <c r="DD42" s="59" t="inlineStr">
        <is>
          <t>Subscription level 3,074.09 times</t>
        </is>
      </c>
      <c r="DE42" s="141" t="n">
        <v>46010</v>
      </c>
      <c r="DF42" s="141" t="n">
        <v>46013</v>
      </c>
      <c r="DG42" s="63" t="n">
        <v>18321000</v>
      </c>
      <c r="DH42" s="63" t="n">
        <v>1832100</v>
      </c>
      <c r="DI42" s="63" t="n">
        <v>16488900</v>
      </c>
      <c r="DJ42" s="63" t="n">
        <v>0</v>
      </c>
      <c r="DK42" s="169" t="n">
        <v>0</v>
      </c>
      <c r="DL42" s="59" t="inlineStr">
        <is>
          <t>Claw-back triggered: Nil; the final Hong Kong Public Offering remained at the initial 1,832,100 Offer Shares (10.00% of the Global Offering)</t>
        </is>
      </c>
      <c r="DM42" s="157" t="n">
        <v>531300000</v>
      </c>
      <c r="DN42" s="153" t="n">
        <v>0.3334</v>
      </c>
      <c r="DO42" s="102" t="n">
        <v>136218830</v>
      </c>
      <c r="DP42" s="153" t="n">
        <v>0.1131</v>
      </c>
      <c r="DQ42" s="59" t="inlineStr">
        <is>
          <t>Free float denominator = total number of 136,218,830 H Shares in issue upon Listing (col_CZ); numerator = global offering shares 18,321,000 minus cornerstone allocation 2,917,800</t>
        </is>
      </c>
      <c r="DR42" s="63" t="n">
        <v>136218830</v>
      </c>
      <c r="DS42" s="153" t="n">
        <v>-0.02241689</v>
      </c>
      <c r="DT42" s="80" t="n">
        <v>38</v>
      </c>
      <c r="DU42" s="153" t="n">
        <v>0.0303952</v>
      </c>
      <c r="DV42" s="157" t="n">
        <v>53903000000</v>
      </c>
      <c r="DW42" s="158" t="n">
        <v>17.2</v>
      </c>
      <c r="DX42" s="169" t="n">
        <v>-0.4625</v>
      </c>
      <c r="DY42" s="172" t="n">
        <v>-271150800</v>
      </c>
      <c r="DZ42" s="146" t="n">
        <v>28.9</v>
      </c>
      <c r="EA42" s="146" t="n">
        <v>29.48</v>
      </c>
      <c r="EB42" s="146" t="n">
        <v>17.2</v>
      </c>
      <c r="EC42" s="63" t="n">
        <v>9903100</v>
      </c>
      <c r="ED42" s="169" t="n">
        <v>0.540533</v>
      </c>
      <c r="EE42" s="64" t="n"/>
      <c r="EF42" s="60" t="inlineStr">
        <is>
          <t>Mechanism B</t>
        </is>
      </c>
      <c r="EG42" s="59" t="inlineStr">
        <is>
          <t>FINI (from 22/11/2023); 2025-08-04 pricing reform (Mechanism A/B; six-month cornerstone lock-up retained); this IPO: Mechanism B</t>
        </is>
      </c>
      <c r="EH42" t="inlineStr">
        <is>
          <t>翰思艾泰生物医药科技(武汉)股份有限公司</t>
        </is>
      </c>
      <c r="EI42" s="174" t="inlineStr">
        <is>
          <t>Active</t>
        </is>
      </c>
      <c r="EJ42" s="175" t="n">
        <v>17.1</v>
      </c>
      <c r="EK42" s="176" t="n">
        <v>-0.005814</v>
      </c>
      <c r="EL42" s="176" t="n">
        <v>-0.465625</v>
      </c>
      <c r="EM42" s="176" t="n">
        <v>0.033205</v>
      </c>
      <c r="EN42" s="176" t="n">
        <v>0.049837</v>
      </c>
      <c r="EO42" s="179" t="n">
        <v>0.9622000000000001</v>
      </c>
      <c r="EP42" s="179" t="n">
        <v>0.947</v>
      </c>
      <c r="EQ42" s="178" t="n">
        <v>17296890</v>
      </c>
      <c r="ER42" s="175" t="n">
        <v>26.62</v>
      </c>
      <c r="ES42" s="176" t="n">
        <v>0.547674</v>
      </c>
      <c r="ET42" s="176" t="n">
        <v>-0.168125</v>
      </c>
      <c r="EU42" s="176" t="n">
        <v>-0.094586</v>
      </c>
      <c r="EV42" s="176" t="n">
        <v>-0.198523</v>
      </c>
      <c r="EW42" s="179" t="n">
        <v>1.7094</v>
      </c>
      <c r="EX42" s="179" t="n">
        <v>1.931</v>
      </c>
      <c r="EY42" s="178" t="n">
        <v>2421138.5</v>
      </c>
      <c r="EZ42" s="176" t="n">
        <v>0.010443</v>
      </c>
      <c r="FA42" s="176" t="n"/>
      <c r="FB42" s="179" t="n"/>
      <c r="FC42" s="176" t="n"/>
      <c r="FD42" s="179" t="n"/>
      <c r="FE42" s="174" t="inlineStr">
        <is>
          <t>18A (Biotech / B-tag)</t>
        </is>
      </c>
      <c r="FF42" s="181" t="n"/>
      <c r="FG42" s="185" t="n"/>
      <c r="FH42" s="183" t="n"/>
      <c r="FI42" s="178" t="n"/>
      <c r="FJ42" s="176" t="n"/>
      <c r="FK42" s="185" t="n"/>
      <c r="FL42" s="178" t="n"/>
      <c r="FM42" s="176" t="n"/>
      <c r="FN42" s="176" t="n"/>
      <c r="FO42" s="176" t="n"/>
      <c r="FP42" s="176" t="n"/>
      <c r="FQ42" s="176" t="n">
        <v>-0.07093000000000001</v>
      </c>
      <c r="FR42" s="179" t="n">
        <v>0.9343</v>
      </c>
      <c r="FS42" s="176" t="n">
        <v>-0.005814</v>
      </c>
      <c r="FT42" s="179" t="n">
        <v>0.9622000000000001</v>
      </c>
      <c r="FU42" s="176" t="n">
        <v>0.461628</v>
      </c>
      <c r="FV42" s="179" t="n">
        <v>1.5451</v>
      </c>
      <c r="FW42" s="179" t="n">
        <v>1.7024</v>
      </c>
      <c r="FX42" s="178" t="n">
        <v>7652409.32</v>
      </c>
      <c r="FY42" s="186" t="n">
        <v>0.009838100840336135</v>
      </c>
      <c r="FZ42" s="183" t="n">
        <v>0</v>
      </c>
      <c r="GA42" s="176" t="n">
        <v>0.05931054951617062</v>
      </c>
      <c r="GB42" s="176" t="n">
        <v>0.506445</v>
      </c>
      <c r="GC42" s="185" t="n"/>
      <c r="GD42" s="185" t="n"/>
      <c r="GE42" s="176" t="n"/>
      <c r="GF42" s="176" t="n"/>
      <c r="GG42" s="179" t="n"/>
      <c r="GH42" s="181" t="inlineStr">
        <is>
          <t>ICBC International Capital Limited</t>
        </is>
      </c>
      <c r="GI42" s="183" t="n">
        <v>1</v>
      </c>
      <c r="GJ42" s="183" t="n">
        <v>1</v>
      </c>
      <c r="GK42" s="176" t="n">
        <v>0.024</v>
      </c>
      <c r="GL42" s="176" t="n"/>
      <c r="GM42" s="176" t="n"/>
      <c r="GN42" s="183" t="n">
        <v>8</v>
      </c>
      <c r="GO42" s="183" t="n">
        <v>1</v>
      </c>
      <c r="GP42" s="183" t="n">
        <v>0</v>
      </c>
      <c r="GQ42" s="183" t="n">
        <v>14</v>
      </c>
      <c r="GR42" s="183" t="n">
        <v>1</v>
      </c>
      <c r="GS42" s="181" t="inlineStr">
        <is>
          <t>POST_FINI</t>
        </is>
      </c>
      <c r="GT42" s="181" t="inlineStr">
        <is>
          <t>POST_2025_REFORM</t>
        </is>
      </c>
    </row>
    <row r="43" ht="17.25" customFormat="1" customHeight="1" s="12">
      <c r="A43" s="60" t="n">
        <v>116</v>
      </c>
      <c r="B43" s="93" t="inlineStr">
        <is>
          <t>2657.HK</t>
        </is>
      </c>
      <c r="C43" s="59" t="inlineStr">
        <is>
          <t>SHANGHAI FOREST CABIN COSMETICS GROUP CO., LTD. - H shares</t>
        </is>
      </c>
      <c r="D43" s="149" t="n">
        <v>46009</v>
      </c>
      <c r="E43" s="95" t="n">
        <v>46021</v>
      </c>
      <c r="F43" s="60" t="inlineStr">
        <is>
          <t>CITIC Securities (Hong Kong) Limited / 
Huatai Financial Holdings (Hong Kong) Limited</t>
        </is>
      </c>
      <c r="G43" s="60" t="inlineStr">
        <is>
          <t>Ernst &amp; Young</t>
        </is>
      </c>
      <c r="H43" s="60" t="n"/>
      <c r="I43" s="150" t="n">
        <v>108617470.5</v>
      </c>
      <c r="J43" s="148" t="n">
        <v>1140477607.5</v>
      </c>
      <c r="K43" s="151" t="n">
        <v>77.77</v>
      </c>
      <c r="L43" t="n">
        <v>139664285</v>
      </c>
      <c r="M43" s="98" t="n">
        <v>13966450</v>
      </c>
      <c r="N43" t="n">
        <v>125697835</v>
      </c>
      <c r="O43" t="n">
        <v>125697835</v>
      </c>
      <c r="P43" t="n">
        <v>0</v>
      </c>
      <c r="Q43" t="n">
        <v>13966450</v>
      </c>
      <c r="R43" s="98" t="n">
        <v>12569800</v>
      </c>
      <c r="S43" s="98" t="n">
        <v>1396650</v>
      </c>
      <c r="T43" s="152" t="n">
        <v>77.77</v>
      </c>
      <c r="U43" s="152" t="n">
        <v>77.77</v>
      </c>
      <c r="V43" s="169" t="n">
        <v>0</v>
      </c>
      <c r="W43" s="169" t="n">
        <v>0</v>
      </c>
      <c r="X43" s="170" t="inlineStr">
        <is>
          <t>Fixed price</t>
        </is>
      </c>
      <c r="Y43" s="26" t="inlineStr">
        <is>
          <t>RMB</t>
        </is>
      </c>
      <c r="Z43" s="137" t="n">
        <v>738752000</v>
      </c>
      <c r="AA43" s="137" t="n">
        <v>1073954000</v>
      </c>
      <c r="AB43" s="137" t="n">
        <v>1239259000</v>
      </c>
      <c r="AC43" s="137" t="n">
        <v>470116000</v>
      </c>
      <c r="AD43" s="137" t="n">
        <v>612074000</v>
      </c>
      <c r="AE43" s="137" t="n">
        <v>799643000</v>
      </c>
      <c r="AF43" s="137" t="n">
        <v>268636000</v>
      </c>
      <c r="AG43" s="137" t="n">
        <v>461880000</v>
      </c>
      <c r="AH43" s="137" t="n">
        <v>439616000</v>
      </c>
      <c r="AI43" s="137" t="n">
        <v>805004000</v>
      </c>
      <c r="AJ43" s="137" t="n">
        <v>1209641000</v>
      </c>
      <c r="AK43" s="137" t="n">
        <v>2103536000</v>
      </c>
      <c r="AL43" s="137" t="n">
        <v>99662000</v>
      </c>
      <c r="AM43" s="137" t="n">
        <v>218293000</v>
      </c>
      <c r="AN43" s="137" t="n">
        <v>425410000</v>
      </c>
      <c r="AO43" s="137" t="n">
        <v>84518000</v>
      </c>
      <c r="AP43" s="137" t="n">
        <v>186833000</v>
      </c>
      <c r="AQ43" s="137" t="n">
        <v>363698000</v>
      </c>
      <c r="AR43" s="153" t="n">
        <v>0.025</v>
      </c>
      <c r="AS43" s="153" t="n">
        <v>0.025</v>
      </c>
      <c r="AT43" s="101" t="n">
        <v>0.15</v>
      </c>
      <c r="AU43" s="102" t="inlineStr">
        <is>
          <t>Skincare / cosmetics (premium domestic skincare brand)</t>
        </is>
      </c>
      <c r="AV43" s="102" t="inlineStr">
        <is>
          <t>Main Board (H Share issuer)</t>
        </is>
      </c>
      <c r="AW43" s="154" t="n">
        <v>45838</v>
      </c>
      <c r="AX43" s="137" t="n">
        <v>37871000</v>
      </c>
      <c r="AY43" s="117" t="n">
        <v>401461000</v>
      </c>
      <c r="AZ43" s="117" t="n">
        <v>18032000</v>
      </c>
      <c r="BA43" s="117" t="n">
        <v>0</v>
      </c>
      <c r="BB43" s="155" t="n">
        <v>0.076</v>
      </c>
      <c r="BC43" s="139" t="n">
        <v>0.5</v>
      </c>
      <c r="BD43" s="80" t="n">
        <v>1</v>
      </c>
      <c r="BE43" t="n">
        <v>1</v>
      </c>
      <c r="BF43" t="n">
        <v>1</v>
      </c>
      <c r="BG43" t="n">
        <v>1</v>
      </c>
      <c r="BH43" t="n">
        <v>1</v>
      </c>
      <c r="BI43" t="inlineStr">
        <is>
          <t>NaN</t>
        </is>
      </c>
      <c r="BJ43" t="inlineStr">
        <is>
          <t>Youngor Fashion; Toutoushidao; Foshan Haiyujia; Top New Development; Hundun Innovation; Xinghan Yanchuang; Shanghai Cathay Beauty &amp; Innovation; Xiamen Womeida; Foshan Huibi No. 2</t>
        </is>
      </c>
      <c r="BK43" t="n">
        <v>0.1974</v>
      </c>
      <c r="BL43" t="inlineStr">
        <is>
          <t>NaN</t>
        </is>
      </c>
      <c r="BM43" t="inlineStr">
        <is>
          <t>Series A</t>
        </is>
      </c>
      <c r="BN43" t="n">
        <v>5.13</v>
      </c>
      <c r="BO43" s="102" t="inlineStr">
        <is>
          <t>Natural person (Mr. Sun Laichun, founder, chairman and controlling shareholder)</t>
        </is>
      </c>
      <c r="BP43" s="156" t="n">
        <v>0.7134</v>
      </c>
      <c r="BQ43" s="156" t="n">
        <v>0.7134</v>
      </c>
      <c r="BR43" s="137" t="n">
        <v>148903000</v>
      </c>
      <c r="BS43" s="102" t="inlineStr">
        <is>
          <t>Commercialised - mass production and sales of skincare products</t>
        </is>
      </c>
      <c r="BT43" s="153" t="n">
        <v>0</v>
      </c>
      <c r="BU43" s="60" t="inlineStr">
        <is>
          <t>Main Board</t>
        </is>
      </c>
      <c r="BV43" s="89" t="inlineStr">
        <is>
          <t>H Shares</t>
        </is>
      </c>
      <c r="BW43" s="61" t="n">
        <v>0</v>
      </c>
      <c r="BX43" s="77" t="n">
        <v>0</v>
      </c>
      <c r="BY43" s="77" t="n">
        <v>0</v>
      </c>
      <c r="BZ43" s="78" t="n">
        <v>0</v>
      </c>
      <c r="CA43" s="60" t="inlineStr">
        <is>
          <t>282040</t>
        </is>
      </c>
      <c r="CB43" s="76" t="inlineStr">
        <is>
          <t>HSICS (Hang Seng Industry Classification System) 2026</t>
        </is>
      </c>
      <c r="CC43" s="140" t="n">
        <v>40899</v>
      </c>
      <c r="CD43" s="171" t="n">
        <v>14.02</v>
      </c>
      <c r="CE43" s="76" t="inlineStr">
        <is>
          <t>PRC</t>
        </is>
      </c>
      <c r="CF43" s="89" t="inlineStr">
        <is>
          <t>Shanghai, PRC</t>
        </is>
      </c>
      <c r="CG43" s="91" t="n"/>
      <c r="CH43" s="60" t="inlineStr">
        <is>
          <t>IFRS Accounting Standards</t>
        </is>
      </c>
      <c r="CI43" s="141" t="n">
        <v>44927</v>
      </c>
      <c r="CJ43" s="141" t="n">
        <v>45291</v>
      </c>
      <c r="CK43" s="141" t="n">
        <v>45292</v>
      </c>
      <c r="CL43" s="141" t="n">
        <v>45657</v>
      </c>
      <c r="CM43" s="141" t="n">
        <v>45658</v>
      </c>
      <c r="CN43" s="64" t="n">
        <v>1051768000</v>
      </c>
      <c r="CO43" s="64" t="n">
        <v>212705000</v>
      </c>
      <c r="CP43" s="64" t="n">
        <v>181849000</v>
      </c>
      <c r="CQ43" s="141" t="n">
        <v>46009</v>
      </c>
      <c r="CR43" s="141" t="n">
        <v>46014</v>
      </c>
      <c r="CS43" s="63" t="n">
        <v>106093627</v>
      </c>
      <c r="CT43" s="64" t="n">
        <v>866206000</v>
      </c>
      <c r="CU43" s="64" t="n">
        <v>40700000</v>
      </c>
      <c r="CV43" s="59" t="inlineStr">
        <is>
          <t>Unqualified opinion</t>
        </is>
      </c>
      <c r="CW43" s="64" t="n">
        <v>89100000</v>
      </c>
      <c r="CX43" s="102" t="inlineStr">
        <is>
          <t>FIL Investment Management (Hong Kong) Limited; Mega Prime Development Limited; Loyal Valley Capital; Duckling Fund, L.P.; SynerSuccess Capital Ltd.; Dajia Life Insurance Co., Ltd.; Yield Royal Investment Holding (Singapore) PTE. LTD.</t>
        </is>
      </c>
      <c r="CY43" s="153" t="n">
        <v>0.4443</v>
      </c>
      <c r="CZ43" s="154" t="n">
        <v>46203</v>
      </c>
      <c r="DA43" s="143" t="n">
        <v>1235.81</v>
      </c>
      <c r="DB43" s="63" t="n">
        <v>169712</v>
      </c>
      <c r="DC43" s="63" t="n">
        <v>1725991200</v>
      </c>
      <c r="DD43" s="59" t="inlineStr">
        <is>
          <t>Subscription level 1,235.81 times</t>
        </is>
      </c>
      <c r="DE43" s="141" t="inlineStr">
        <is>
          <t>NA</t>
        </is>
      </c>
      <c r="DF43" s="141" t="n">
        <v>46020</v>
      </c>
      <c r="DG43" s="63" t="n">
        <v>13966450</v>
      </c>
      <c r="DH43" s="63" t="n">
        <v>1396650</v>
      </c>
      <c r="DI43" s="63" t="n">
        <v>12569800</v>
      </c>
      <c r="DJ43" s="63" t="n">
        <v>2094950</v>
      </c>
      <c r="DK43" s="169" t="n">
        <v>1</v>
      </c>
      <c r="DL43" s="59" t="inlineStr">
        <is>
          <t>No. of Offer Shares reallocated from the International Offer (claw-back) N/A; Final number of Offer Shares under the Hong Kong Public Offering 1,396,650</t>
        </is>
      </c>
      <c r="DM43" s="157" t="n">
        <v>997100000</v>
      </c>
      <c r="DN43" s="153" t="n">
        <v>0.2696</v>
      </c>
      <c r="DO43" s="102" t="n">
        <v>139664285</v>
      </c>
      <c r="DP43" s="153" t="n">
        <v>0.0556</v>
      </c>
      <c r="DQ43" s="59" t="inlineStr">
        <is>
          <t>Free float denominator = total issued shares upon listing (col_CZ); numerator = offer shares minus cornerstone allocation</t>
        </is>
      </c>
      <c r="DR43" s="63" t="n">
        <v>139664285</v>
      </c>
      <c r="DS43" s="153" t="n">
        <v>-0.01400936</v>
      </c>
      <c r="DT43" s="80" t="n">
        <v>38</v>
      </c>
      <c r="DU43" s="153" t="n">
        <v>0.0325381</v>
      </c>
      <c r="DV43" s="157" t="n">
        <v>53926000000</v>
      </c>
      <c r="DW43" s="158" t="n">
        <v>85</v>
      </c>
      <c r="DX43" s="169" t="n">
        <v>0.09296599999999999</v>
      </c>
      <c r="DY43" s="172" t="n">
        <v>100977433.5</v>
      </c>
      <c r="DZ43" s="146" t="n">
        <v>85</v>
      </c>
      <c r="EA43" s="146" t="n">
        <v>91.65000000000001</v>
      </c>
      <c r="EB43" s="146" t="n">
        <v>85</v>
      </c>
      <c r="EC43" s="63" t="n">
        <v>5242564</v>
      </c>
      <c r="ED43" s="169" t="n">
        <v>0.375368</v>
      </c>
      <c r="EE43" s="64" t="n"/>
      <c r="EF43" s="60" t="inlineStr">
        <is>
          <t>Mechanism B</t>
        </is>
      </c>
      <c r="EG43" s="59" t="inlineStr">
        <is>
          <t>FINI (from 22/11/2023); 2025-08-04 pricing reform (Mechanism A/B; six-month cornerstone lock-up retained); this IPO: Mechanism B</t>
        </is>
      </c>
      <c r="EH43" t="inlineStr">
        <is>
          <t>上海林清轩化妆品集团股份有限公司</t>
        </is>
      </c>
      <c r="EI43" s="174" t="inlineStr">
        <is>
          <t>Active</t>
        </is>
      </c>
      <c r="EJ43" s="175" t="n">
        <v>81.78400000000001</v>
      </c>
      <c r="EK43" s="176" t="n">
        <v>-0.007283</v>
      </c>
      <c r="EL43" s="176" t="n">
        <v>0.085006</v>
      </c>
      <c r="EM43" s="176" t="n">
        <v>0.049212</v>
      </c>
      <c r="EN43" s="176" t="n">
        <v>0.031611</v>
      </c>
      <c r="EO43" s="179" t="n">
        <v>0.9462</v>
      </c>
      <c r="EP43" s="179" t="n">
        <v>0.9623</v>
      </c>
      <c r="EQ43" s="178" t="n">
        <v>52489493</v>
      </c>
      <c r="ER43" s="175" t="n">
        <v>32.13</v>
      </c>
      <c r="ES43" s="176" t="n">
        <v>-0.609997</v>
      </c>
      <c r="ET43" s="176" t="n">
        <v>-0.57374</v>
      </c>
      <c r="EU43" s="176" t="n">
        <v>-0.115012</v>
      </c>
      <c r="EV43" s="176" t="n">
        <v>-0.198292</v>
      </c>
      <c r="EW43" s="179" t="n">
        <v>0.4407</v>
      </c>
      <c r="EX43" s="179" t="n">
        <v>0.4865</v>
      </c>
      <c r="EY43" s="178" t="n">
        <v>2415504</v>
      </c>
      <c r="EZ43" s="176" t="n">
        <v>0.00503</v>
      </c>
      <c r="FA43" s="176" t="n"/>
      <c r="FB43" s="179" t="n"/>
      <c r="FC43" s="176" t="n"/>
      <c r="FD43" s="179" t="n"/>
      <c r="FE43" s="174" t="inlineStr">
        <is>
          <t>Standard</t>
        </is>
      </c>
      <c r="FF43" s="181" t="n"/>
      <c r="FG43" s="185" t="n"/>
      <c r="FH43" s="183" t="n"/>
      <c r="FI43" s="178" t="n"/>
      <c r="FJ43" s="176" t="n"/>
      <c r="FK43" s="185" t="n"/>
      <c r="FL43" s="178" t="n"/>
      <c r="FM43" s="176" t="n"/>
      <c r="FN43" s="176" t="n"/>
      <c r="FO43" s="176" t="n"/>
      <c r="FP43" s="176" t="n"/>
      <c r="FQ43" s="176" t="n">
        <v>0.021242</v>
      </c>
      <c r="FR43" s="179" t="n">
        <v>0.9885</v>
      </c>
      <c r="FS43" s="176" t="n">
        <v>-0.007283</v>
      </c>
      <c r="FT43" s="179" t="n">
        <v>0.9462</v>
      </c>
      <c r="FU43" s="176" t="n">
        <v>-0.267042</v>
      </c>
      <c r="FV43" s="179" t="n">
        <v>0.7655999999999999</v>
      </c>
      <c r="FW43" s="179" t="n">
        <v>0.8718</v>
      </c>
      <c r="FX43" s="178" t="n">
        <v>23919653.28</v>
      </c>
      <c r="FY43" s="186" t="n">
        <v>0.008299553719008264</v>
      </c>
      <c r="FZ43" s="183" t="n">
        <v>0</v>
      </c>
      <c r="GA43" s="176" t="n">
        <v>0.0481645075854317</v>
      </c>
      <c r="GB43" s="176" t="n">
        <v>0.710122</v>
      </c>
      <c r="GC43" s="185" t="n"/>
      <c r="GD43" s="185" t="n"/>
      <c r="GE43" s="176" t="n"/>
      <c r="GF43" s="176" t="n"/>
      <c r="GG43" s="179" t="n"/>
      <c r="GH43" s="181" t="inlineStr">
        <is>
          <t>CITIC Securities (Hong Kong) Limited</t>
        </is>
      </c>
      <c r="GI43" s="183" t="n">
        <v>2</v>
      </c>
      <c r="GJ43" s="183" t="n">
        <v>0</v>
      </c>
      <c r="GK43" s="176" t="n">
        <v>0.025</v>
      </c>
      <c r="GL43" s="176" t="n"/>
      <c r="GM43" s="176" t="n"/>
      <c r="GN43" s="183" t="n">
        <v>9</v>
      </c>
      <c r="GO43" s="183" t="n">
        <v>1</v>
      </c>
      <c r="GP43" s="183" t="n">
        <v>0</v>
      </c>
      <c r="GQ43" s="183" t="n">
        <v>9</v>
      </c>
      <c r="GR43" s="183" t="n">
        <v>1</v>
      </c>
      <c r="GS43" s="181" t="inlineStr">
        <is>
          <t>POST_FINI</t>
        </is>
      </c>
      <c r="GT43" s="181" t="inlineStr">
        <is>
          <t>POST_2025_REFORM</t>
        </is>
      </c>
    </row>
    <row r="44" customFormat="1" s="12">
      <c r="A44" s="60" t="n">
        <v>118</v>
      </c>
      <c r="B44" s="93" t="inlineStr">
        <is>
          <t>2671.HK</t>
        </is>
      </c>
      <c r="C44" s="59" t="inlineStr">
        <is>
          <t>USAS Building System (Shanghai) Co., Ltd.
- H shares</t>
        </is>
      </c>
      <c r="D44" s="149" t="n">
        <v>46009</v>
      </c>
      <c r="E44" s="95" t="n">
        <v>46021</v>
      </c>
      <c r="F44" s="60" t="inlineStr">
        <is>
          <t>Shenwan Hongyuan Capital (H.K.) Limited</t>
        </is>
      </c>
      <c r="G44" s="60" t="inlineStr">
        <is>
          <t>BDO Limited</t>
        </is>
      </c>
      <c r="H44" s="60" t="n"/>
      <c r="I44" s="150" t="n">
        <v>17466000</v>
      </c>
      <c r="J44" s="148" t="n">
        <v>157194000</v>
      </c>
      <c r="K44" s="151" t="n">
        <v>7.1</v>
      </c>
      <c r="L44" t="n">
        <v>120550005</v>
      </c>
      <c r="M44" s="98" t="n">
        <v>24600000</v>
      </c>
      <c r="N44" t="n">
        <v>95950005</v>
      </c>
      <c r="O44" t="n">
        <v>95950005</v>
      </c>
      <c r="P44" t="n">
        <v>0</v>
      </c>
      <c r="Q44" t="n">
        <v>24600000</v>
      </c>
      <c r="R44" s="98" t="n">
        <v>22140000</v>
      </c>
      <c r="S44" s="98" t="n">
        <v>2460000</v>
      </c>
      <c r="T44" s="152" t="n">
        <v>9.16</v>
      </c>
      <c r="U44" s="152" t="n">
        <v>7.1</v>
      </c>
      <c r="V44" s="169" t="n">
        <v>-0.126691</v>
      </c>
      <c r="W44" s="169" t="n">
        <v>0.253383</v>
      </c>
      <c r="X44" s="170" t="inlineStr">
        <is>
          <t>At low</t>
        </is>
      </c>
      <c r="Y44" s="26" t="inlineStr">
        <is>
          <t>RMB</t>
        </is>
      </c>
      <c r="Z44" s="137" t="n">
        <v>1211603000</v>
      </c>
      <c r="AA44" s="137" t="n">
        <v>1401806000</v>
      </c>
      <c r="AB44" s="137" t="n">
        <v>1731002000</v>
      </c>
      <c r="AC44" s="137" t="n">
        <v>400089000</v>
      </c>
      <c r="AD44" s="137" t="n">
        <v>471692000</v>
      </c>
      <c r="AE44" s="137" t="n">
        <v>535041000</v>
      </c>
      <c r="AF44" s="137" t="n">
        <v>811514000</v>
      </c>
      <c r="AG44" s="137" t="n">
        <v>930114000</v>
      </c>
      <c r="AH44" s="137" t="n">
        <v>1195961000</v>
      </c>
      <c r="AI44" s="137" t="n">
        <v>1453178000</v>
      </c>
      <c r="AJ44" s="137" t="n">
        <v>1523033000</v>
      </c>
      <c r="AK44" s="137" t="n">
        <v>2848218000</v>
      </c>
      <c r="AL44" s="137" t="n">
        <v>82493000</v>
      </c>
      <c r="AM44" s="137" t="n">
        <v>78700000</v>
      </c>
      <c r="AN44" s="137" t="n">
        <v>152292000</v>
      </c>
      <c r="AO44" s="137" t="n">
        <v>62132000</v>
      </c>
      <c r="AP44" s="137" t="n">
        <v>70783000</v>
      </c>
      <c r="AQ44" s="137" t="n">
        <v>125258000</v>
      </c>
      <c r="AR44" s="153" t="n">
        <v>0.021</v>
      </c>
      <c r="AS44" s="153" t="n">
        <v>0.021</v>
      </c>
      <c r="AT44" s="101" t="n">
        <v>0.15</v>
      </c>
      <c r="AU44" s="102" t="inlineStr">
        <is>
          <t>Integrated prefabricated steel structure (PS) building subcontracting services provider in the industrial sector of the PS building market, offering project design and optimization, procurement, manufacturing and installation; also general contracting services and industrial environmental equipment</t>
        </is>
      </c>
      <c r="AV44" s="102" t="inlineStr">
        <is>
          <t>Main Board listing of H Shares (Chapter 8 of the Listing Rules; no Chapter 18A/18C specialist technology or biotech route)</t>
        </is>
      </c>
      <c r="AW44" s="154" t="n">
        <v>45838</v>
      </c>
      <c r="AX44" s="137" t="n">
        <v>46031000</v>
      </c>
      <c r="AY44" s="117" t="n">
        <v>177542000</v>
      </c>
      <c r="AZ44" s="117" t="n">
        <v>9292000</v>
      </c>
      <c r="BA44" s="117" t="n">
        <v>0</v>
      </c>
      <c r="BB44" s="155" t="n">
        <v>0.84</v>
      </c>
      <c r="BC44" s="139" t="n">
        <v>0.5</v>
      </c>
      <c r="BD44" s="80" t="n">
        <v>1</v>
      </c>
      <c r="BE44" t="n">
        <v>1</v>
      </c>
      <c r="BF44" t="n">
        <v>1</v>
      </c>
      <c r="BG44" t="inlineStr">
        <is>
          <t>NaN</t>
        </is>
      </c>
      <c r="BH44" t="inlineStr">
        <is>
          <t>NaN</t>
        </is>
      </c>
      <c r="BI44" t="inlineStr">
        <is>
          <t>NaN</t>
        </is>
      </c>
      <c r="BJ44" t="inlineStr">
        <is>
          <t>Sunny International Inc. Limited (Asia Investments ARM (AIA) S.A.); Rongke Investment (Shanghai Rongke Investment Management Co., Ltd.); Yingzhe Investment (Shanghai Yingzhe Investment Management Co., Ltd.); Dingyuan Hechuang (Beijing Dingyuan Hechuang Investment Co., Ltd.); Jinxuanniao Investment (Shenzhen Jinxuanniao Investment Management Co., Ltd.); Shanghai Tusui Corporate Management Partnership (Limited Partnership); Shanghai Wuliu Corporate Management Partnership (Limited Partnership); Shanghai Xianglian Corporate Management Partnership (Limited Partnership); Shanghai Jiade Corporate Management Consulting Co., Ltd.; Shanghai Yiguan Corporate Management Center (Limited Partnership); Youling Technology (Zhuhai Youling Technology Center (Limited Partnership)); Shanghai Jianglian Corporate Management (Shanghai) Center (Limited Partnership); Hainan Yuheng Corporate Management Partnership (Limited Partnership); Shenzhen Qianhai Linglian Technology Partnership (Limited Partnership); Shanghai Wagang Chenji Corporate Management Partnership (Limited Partnership)</t>
        </is>
      </c>
      <c r="BK44" t="n">
        <v>0.2477</v>
      </c>
      <c r="BL44" t="inlineStr">
        <is>
          <t>NaN</t>
        </is>
      </c>
      <c r="BM44" t="inlineStr">
        <is>
          <t>2007 Transfer (transfer of equity interest to Sunny International)</t>
        </is>
      </c>
      <c r="BN44" t="n">
        <v>18.06</v>
      </c>
      <c r="BO44" s="102" t="inlineStr">
        <is>
          <t>Natural persons (Mr. Chen and Ms. Chen, acting in concert through Broad Vision and the Employee Shareholding Platforms, are the ultimate controlling parties)</t>
        </is>
      </c>
      <c r="BP44" s="156" t="n">
        <v>0.5987</v>
      </c>
      <c r="BQ44" s="156" t="n">
        <v>0.5987</v>
      </c>
      <c r="BR44" s="137" t="n">
        <v>377561000</v>
      </c>
      <c r="BS44" s="102" t="inlineStr">
        <is>
          <t>Commercially established / mass production stage (revenue-generating PS building subcontracting, general contracting and industrial environmental equipment; APC product line being developed and commercialized)</t>
        </is>
      </c>
      <c r="BT44" s="153" t="n">
        <v>0</v>
      </c>
      <c r="BU44" s="60" t="inlineStr">
        <is>
          <t>Main Board</t>
        </is>
      </c>
      <c r="BV44" s="89" t="inlineStr">
        <is>
          <t>H Shares</t>
        </is>
      </c>
      <c r="BW44" s="61" t="n">
        <v>0</v>
      </c>
      <c r="BX44" s="77" t="n">
        <v>0</v>
      </c>
      <c r="BY44" s="77" t="n">
        <v>0</v>
      </c>
      <c r="BZ44" s="78" t="n">
        <v>0</v>
      </c>
      <c r="CA44" s="60" t="inlineStr">
        <is>
          <t>602010</t>
        </is>
      </c>
      <c r="CB44" s="76" t="inlineStr">
        <is>
          <t>HSICS (Hang Seng Industry Classification System) 2026</t>
        </is>
      </c>
      <c r="CC44" s="140" t="n">
        <v>36267</v>
      </c>
      <c r="CD44" s="171" t="n">
        <v>26.7</v>
      </c>
      <c r="CE44" s="76" t="inlineStr">
        <is>
          <t>PRC</t>
        </is>
      </c>
      <c r="CF44" s="89" t="inlineStr">
        <is>
          <t>Shanghai, PRC</t>
        </is>
      </c>
      <c r="CG44" s="91" t="n"/>
      <c r="CH44" s="60" t="inlineStr">
        <is>
          <t>HKFRS</t>
        </is>
      </c>
      <c r="CI44" s="141" t="n">
        <v>44927</v>
      </c>
      <c r="CJ44" s="141" t="n">
        <v>45291</v>
      </c>
      <c r="CK44" s="141" t="n">
        <v>45292</v>
      </c>
      <c r="CL44" s="141" t="n">
        <v>45657</v>
      </c>
      <c r="CM44" s="141" t="n">
        <v>45658</v>
      </c>
      <c r="CN44" s="64" t="n">
        <v>1424109000</v>
      </c>
      <c r="CO44" s="64" t="n">
        <v>76146000</v>
      </c>
      <c r="CP44" s="64" t="n">
        <v>62629000</v>
      </c>
      <c r="CQ44" s="141" t="n">
        <v>46009</v>
      </c>
      <c r="CR44" s="141" t="n">
        <v>46014</v>
      </c>
      <c r="CS44" s="63" t="n">
        <v>120550005</v>
      </c>
      <c r="CT44" s="64" t="n">
        <v>145270000</v>
      </c>
      <c r="CU44" s="64" t="n">
        <v>6691000</v>
      </c>
      <c r="CV44" s="59" t="inlineStr">
        <is>
          <t>Unqualified opinion</t>
        </is>
      </c>
      <c r="CW44" s="64" t="n">
        <v>35800000</v>
      </c>
      <c r="CX44" s="102" t="inlineStr">
        <is>
          <t>Colorful Cloud Holdings Limited (彩雲控股有限公司); Tiny Jade Holdings (HK) Co., Limited; Wu Xinghua (吳興華); Logic Selective Value Investment Funds SPC</t>
        </is>
      </c>
      <c r="CY44" s="153" t="n">
        <v>0.2948</v>
      </c>
      <c r="CZ44" s="154" t="n">
        <v>46203</v>
      </c>
      <c r="DA44" s="143" t="n">
        <v>146.25</v>
      </c>
      <c r="DB44" s="63" t="n">
        <v>53657</v>
      </c>
      <c r="DC44" s="63" t="n">
        <v>359775000</v>
      </c>
      <c r="DD44" s="59" t="inlineStr">
        <is>
          <t>Subscription level 146.25 times (Hong Kong Public Offering); International Offering Subscription Level 1.48 times</t>
        </is>
      </c>
      <c r="DE44" s="141" t="n">
        <v>46015</v>
      </c>
      <c r="DF44" s="141" t="n">
        <v>46020</v>
      </c>
      <c r="DG44" s="63" t="n">
        <v>24600000</v>
      </c>
      <c r="DH44" s="63" t="n">
        <v>2460000</v>
      </c>
      <c r="DI44" s="63" t="n">
        <v>22140000</v>
      </c>
      <c r="DJ44" s="63" t="n">
        <v>0</v>
      </c>
      <c r="DK44" s="169" t="n">
        <v>0</v>
      </c>
      <c r="DL44" s="59" t="inlineStr">
        <is>
          <t>Claw-back not triggered; no over-allocation of Offer Shares in the placing; final HK Public Offering 2,460,000 = 10.00% and International Offering 22,140,000 = 90.00% (unchanged)</t>
        </is>
      </c>
      <c r="DM44" s="157" t="n">
        <v>139890000</v>
      </c>
      <c r="DN44" s="153" t="n">
        <v>0.251</v>
      </c>
      <c r="DO44" s="102" t="n">
        <v>120550005</v>
      </c>
      <c r="DP44" s="153" t="n">
        <v>0.1439</v>
      </c>
      <c r="DQ44" s="59" t="inlineStr">
        <is>
          <t>Free float denominator = total issued Shares upon completion of the Global Offering (120,550,005); numerator excludes the 7,252,800 cornerstone H Shares (6-month lock-up) and all existing Shareholder H Shares (12-month PRC statutory lock-up)</t>
        </is>
      </c>
      <c r="DR44" s="63" t="n">
        <v>120550005</v>
      </c>
      <c r="DS44" s="153" t="n">
        <v>-0.01400936</v>
      </c>
      <c r="DT44" s="80" t="n">
        <v>38</v>
      </c>
      <c r="DU44" s="153" t="n">
        <v>0.0325381</v>
      </c>
      <c r="DV44" s="157" t="n">
        <v>53926000000</v>
      </c>
      <c r="DW44" s="158" t="n">
        <v>7.64</v>
      </c>
      <c r="DX44" s="169" t="n">
        <v>0.076056</v>
      </c>
      <c r="DY44" s="172" t="n">
        <v>13284000</v>
      </c>
      <c r="DZ44" s="146" t="n">
        <v>8.210000000000001</v>
      </c>
      <c r="EA44" s="146" t="n">
        <v>12</v>
      </c>
      <c r="EB44" s="146" t="n">
        <v>7.4</v>
      </c>
      <c r="EC44" s="63" t="n">
        <v>13859700</v>
      </c>
      <c r="ED44" s="169" t="n">
        <v>0.563402</v>
      </c>
      <c r="EE44" s="64" t="n"/>
      <c r="EF44" s="60" t="inlineStr">
        <is>
          <t>NA</t>
        </is>
      </c>
      <c r="EG44" s="59" t="inlineStr">
        <is>
          <t>FINI (from 22/11/2023); 2025-08-04 pricing reform (Mechanism A/B; six-month cornerstone lock-up retained)</t>
        </is>
      </c>
      <c r="EH44" t="inlineStr">
        <is>
          <t>美联钢结构建筑系统（上海）股份有限公司</t>
        </is>
      </c>
      <c r="EI44" s="174" t="inlineStr">
        <is>
          <t>Active</t>
        </is>
      </c>
      <c r="EJ44" s="175" t="n">
        <v>4.486</v>
      </c>
      <c r="EK44" s="176" t="n">
        <v>-0.378326</v>
      </c>
      <c r="EL44" s="176" t="n">
        <v>-0.331044</v>
      </c>
      <c r="EM44" s="176" t="n">
        <v>0.049212</v>
      </c>
      <c r="EN44" s="176" t="n">
        <v>0.031611</v>
      </c>
      <c r="EO44" s="179" t="n">
        <v>0.5925</v>
      </c>
      <c r="EP44" s="179" t="n">
        <v>0.6026</v>
      </c>
      <c r="EQ44" s="178" t="n">
        <v>11001339.5</v>
      </c>
      <c r="ER44" s="175" t="n">
        <v>3.73</v>
      </c>
      <c r="ES44" s="176" t="n">
        <v>-0.483093</v>
      </c>
      <c r="ET44" s="176" t="n">
        <v>-0.443779</v>
      </c>
      <c r="EU44" s="176" t="n">
        <v>-0.115012</v>
      </c>
      <c r="EV44" s="176" t="n">
        <v>-0.198292</v>
      </c>
      <c r="EW44" s="179" t="n">
        <v>0.5841</v>
      </c>
      <c r="EX44" s="179" t="n">
        <v>0.6448</v>
      </c>
      <c r="EY44" s="178" t="n">
        <v>39713.5</v>
      </c>
      <c r="EZ44" s="176" t="n">
        <v>0.000321</v>
      </c>
      <c r="FA44" s="176" t="n"/>
      <c r="FB44" s="179" t="n"/>
      <c r="FC44" s="176" t="n"/>
      <c r="FD44" s="179" t="n"/>
      <c r="FE44" s="174" t="inlineStr">
        <is>
          <t>Standard</t>
        </is>
      </c>
      <c r="FF44" s="181" t="n"/>
      <c r="FG44" s="185" t="n"/>
      <c r="FH44" s="183" t="n"/>
      <c r="FI44" s="178" t="n"/>
      <c r="FJ44" s="176" t="n"/>
      <c r="FK44" s="185" t="n"/>
      <c r="FL44" s="178" t="n"/>
      <c r="FM44" s="176" t="n"/>
      <c r="FN44" s="176" t="n"/>
      <c r="FO44" s="176" t="n"/>
      <c r="FP44" s="176" t="n"/>
      <c r="FQ44" s="176" t="n">
        <v>0.06929</v>
      </c>
      <c r="FR44" s="179" t="n">
        <v>1.035</v>
      </c>
      <c r="FS44" s="176" t="n">
        <v>-0.378326</v>
      </c>
      <c r="FT44" s="179" t="n">
        <v>0.5925</v>
      </c>
      <c r="FU44" s="176" t="n">
        <v>-0.494734</v>
      </c>
      <c r="FV44" s="179" t="n">
        <v>0.5278</v>
      </c>
      <c r="FW44" s="179" t="n">
        <v>0.601</v>
      </c>
      <c r="FX44" s="178" t="n">
        <v>4184698.36</v>
      </c>
      <c r="FY44" s="186" t="n">
        <v>0.8589142280701755</v>
      </c>
      <c r="FZ44" s="183" t="n">
        <v>7</v>
      </c>
      <c r="GA44" s="176" t="n">
        <v>0.04443644347786124</v>
      </c>
      <c r="GB44" s="176" t="n">
        <v>0.729095</v>
      </c>
      <c r="GC44" s="185" t="n"/>
      <c r="GD44" s="185" t="n"/>
      <c r="GE44" s="176" t="n"/>
      <c r="GF44" s="176" t="n"/>
      <c r="GG44" s="179" t="n"/>
      <c r="GH44" s="181" t="inlineStr">
        <is>
          <t>Shenwan Hongyuan Capital (H.K.) Limited</t>
        </is>
      </c>
      <c r="GI44" s="183" t="n">
        <v>1</v>
      </c>
      <c r="GJ44" s="183" t="n">
        <v>0</v>
      </c>
      <c r="GK44" s="176" t="n">
        <v>0.021</v>
      </c>
      <c r="GL44" s="176" t="n"/>
      <c r="GM44" s="176" t="n"/>
      <c r="GN44" s="183" t="n">
        <v>5</v>
      </c>
      <c r="GO44" s="183" t="n">
        <v>1</v>
      </c>
      <c r="GP44" s="183" t="n">
        <v>0</v>
      </c>
      <c r="GQ44" s="183" t="n">
        <v>20</v>
      </c>
      <c r="GR44" s="183" t="n">
        <v>0</v>
      </c>
      <c r="GS44" s="181" t="inlineStr">
        <is>
          <t>POST_FINI</t>
        </is>
      </c>
      <c r="GT44" s="181" t="inlineStr">
        <is>
          <t>POST_2025_REFORM</t>
        </is>
      </c>
    </row>
    <row r="45" customFormat="1" s="12">
      <c r="A45" s="60" t="n">
        <v>117</v>
      </c>
      <c r="B45" s="93" t="inlineStr">
        <is>
          <t>3317.HK</t>
        </is>
      </c>
      <c r="C45" s="59" t="inlineStr">
        <is>
          <t>Shenzhen Xunce Technology Co., Ltd.- H shares</t>
        </is>
      </c>
      <c r="D45" s="149" t="n">
        <v>46009</v>
      </c>
      <c r="E45" s="95" t="n">
        <v>46021</v>
      </c>
      <c r="F45" s="60" t="inlineStr">
        <is>
          <t>Guotai Junan Capital Limited</t>
        </is>
      </c>
      <c r="G45" s="60" t="inlineStr">
        <is>
          <t>BDO Limited</t>
        </is>
      </c>
      <c r="H45" s="60" t="n"/>
      <c r="I45" s="150" t="n">
        <v>108000000</v>
      </c>
      <c r="J45" s="148" t="n">
        <v>981331200</v>
      </c>
      <c r="K45" s="151" t="n">
        <v>48</v>
      </c>
      <c r="L45" t="n">
        <v>322500000</v>
      </c>
      <c r="M45" s="98" t="n">
        <v>22500000</v>
      </c>
      <c r="N45" t="n">
        <v>300000000</v>
      </c>
      <c r="O45" t="n">
        <v>300000000</v>
      </c>
      <c r="P45" t="n">
        <v>0</v>
      </c>
      <c r="Q45" t="n">
        <v>22500000</v>
      </c>
      <c r="R45" s="98" t="n">
        <v>20250000</v>
      </c>
      <c r="S45" s="98" t="n">
        <v>2250000</v>
      </c>
      <c r="T45" s="152" t="n">
        <v>55</v>
      </c>
      <c r="U45" s="152" t="n">
        <v>48</v>
      </c>
      <c r="V45" s="169" t="n">
        <v>-0.06796099999999999</v>
      </c>
      <c r="W45" s="169" t="n">
        <v>0.135922</v>
      </c>
      <c r="X45" s="170" t="inlineStr">
        <is>
          <t>At low</t>
        </is>
      </c>
      <c r="Y45" s="26" t="inlineStr">
        <is>
          <t>RMB</t>
        </is>
      </c>
      <c r="Z45" s="137" t="n">
        <v>2048893000</v>
      </c>
      <c r="AA45" s="137" t="n">
        <v>1832362000</v>
      </c>
      <c r="AB45" s="137" t="n">
        <v>1761179000</v>
      </c>
      <c r="AC45" s="137" t="n">
        <v>1767429000</v>
      </c>
      <c r="AD45" s="137" t="n">
        <v>1649362000</v>
      </c>
      <c r="AE45" s="137" t="n">
        <v>1543485000</v>
      </c>
      <c r="AF45" s="137" t="n">
        <v>281464000</v>
      </c>
      <c r="AG45" s="137" t="n">
        <v>183000000</v>
      </c>
      <c r="AH45" s="137" t="n">
        <v>217694000</v>
      </c>
      <c r="AI45" s="137" t="n">
        <v>530458000</v>
      </c>
      <c r="AJ45" s="137" t="n">
        <v>631978000</v>
      </c>
      <c r="AK45" s="137" t="n">
        <v>395690000</v>
      </c>
      <c r="AL45" s="137" t="n">
        <v>-63355000</v>
      </c>
      <c r="AM45" s="137" t="n">
        <v>-97708000</v>
      </c>
      <c r="AN45" s="137" t="n">
        <v>-215996000</v>
      </c>
      <c r="AO45" s="137" t="n">
        <v>-63391000</v>
      </c>
      <c r="AP45" s="137" t="n">
        <v>-97845000</v>
      </c>
      <c r="AQ45" s="137" t="n">
        <v>-215996000</v>
      </c>
      <c r="AR45" s="153" t="n">
        <v>0.035</v>
      </c>
      <c r="AS45" s="153" t="n">
        <v>0.035</v>
      </c>
      <c r="AT45" s="101" t="n">
        <v>0.15</v>
      </c>
      <c r="AU45" s="102" t="inlineStr">
        <is>
          <t>Real-time data infrastructure and analytics solutions in China</t>
        </is>
      </c>
      <c r="AV45" s="102" t="inlineStr">
        <is>
          <t>Main Board, Rule 8.05(3) market capitalisation/revenue test</t>
        </is>
      </c>
      <c r="AW45" s="154" t="n">
        <v>45838</v>
      </c>
      <c r="AX45" s="137" t="n">
        <v>-128114000</v>
      </c>
      <c r="AY45" s="117" t="n">
        <v>222333000</v>
      </c>
      <c r="AZ45" s="117" t="n">
        <v>168099000</v>
      </c>
      <c r="BA45" s="117" t="n">
        <v>118000</v>
      </c>
      <c r="BB45" s="155" t="n">
        <v>0.42</v>
      </c>
      <c r="BC45" s="139" t="n">
        <v>0.5</v>
      </c>
      <c r="BD45" s="80" t="n">
        <v>1</v>
      </c>
      <c r="BE45" t="n">
        <v>1</v>
      </c>
      <c r="BF45" t="n">
        <v>1</v>
      </c>
      <c r="BG45" t="n">
        <v>1</v>
      </c>
      <c r="BH45" t="n">
        <v>1</v>
      </c>
      <c r="BI45" t="n">
        <v>1</v>
      </c>
      <c r="BJ45" t="inlineStr">
        <is>
          <t>Yunfeng Xincheng; Shenzhen Saidaren; Wuxi Haiyingjia; Zhongnan Heduo; Xingluo Jingyou; Yunfeng Qitai; Zhongnan Hongyuan; GS PSI; Madison Square; GBA Fund; Shenzhen Tencent; Yuxin Renhui; Shenzhen Zhongtou; Times Fortune; JSL Investment; Shanghai Yiyun; Guangzhou Youshan; Tianjin Weizi; Hop Ka Hongsheng; Guangdong Yuecai; Beijing Zhongguancun; Chuangying Jianke; Yuxin Guoyuan; Beijing Gehua; Tongrui Changying; Taikang Life; Guangxi Tencent; Shanghai Yukai; Yuxin Guochang; Tianjin Xihua; Hangzhou Broadway; CICC Pucheng; Accel Asia Holdings II; Jinke Zhuozhi; Hubei High Quality</t>
        </is>
      </c>
      <c r="BK45" t="n">
        <v>0.4734</v>
      </c>
      <c r="BL45" t="inlineStr">
        <is>
          <t>NaN</t>
        </is>
      </c>
      <c r="BM45" t="inlineStr">
        <is>
          <t>Series A</t>
        </is>
      </c>
      <c r="BN45" t="n">
        <v>8.44</v>
      </c>
      <c r="BO45" s="102" t="inlineStr">
        <is>
          <t>No controlling shareholder</t>
        </is>
      </c>
      <c r="BP45" s="156" t="n">
        <v>0.2684</v>
      </c>
      <c r="BQ45" s="156" t="n">
        <v>0.2684</v>
      </c>
      <c r="BR45" s="137" t="n">
        <v>76249000</v>
      </c>
      <c r="BS45" s="102" t="inlineStr">
        <is>
          <t>Commercialised and deployed (revenue-generating real-time data infrastructure and analytics solutions)</t>
        </is>
      </c>
      <c r="BT45" s="153" t="n">
        <v>0</v>
      </c>
      <c r="BU45" s="60" t="inlineStr">
        <is>
          <t>Main Board</t>
        </is>
      </c>
      <c r="BV45" s="89" t="inlineStr">
        <is>
          <t>H Shares</t>
        </is>
      </c>
      <c r="BW45" s="61" t="n">
        <v>0</v>
      </c>
      <c r="BX45" s="77" t="n">
        <v>0</v>
      </c>
      <c r="BY45" s="77" t="n">
        <v>0</v>
      </c>
      <c r="BZ45" s="78" t="n">
        <v>0</v>
      </c>
      <c r="CA45" s="60" t="inlineStr">
        <is>
          <t>702015</t>
        </is>
      </c>
      <c r="CB45" s="76" t="inlineStr">
        <is>
          <t>HSICS (Hang Seng Industry Classification System) 2026</t>
        </is>
      </c>
      <c r="CC45" s="140" t="n">
        <v>42461</v>
      </c>
      <c r="CD45" s="171" t="n">
        <v>9.75</v>
      </c>
      <c r="CE45" s="76" t="inlineStr">
        <is>
          <t>PRC</t>
        </is>
      </c>
      <c r="CF45" s="89" t="inlineStr">
        <is>
          <t>Shenzhen, Guangdong Province, PRC</t>
        </is>
      </c>
      <c r="CG45" s="91" t="n"/>
      <c r="CH45" s="60" t="inlineStr">
        <is>
          <t>HKFRS Accounting Standards (HKFRSs)</t>
        </is>
      </c>
      <c r="CI45" s="141" t="n">
        <v>44927</v>
      </c>
      <c r="CJ45" s="141" t="n">
        <v>45291</v>
      </c>
      <c r="CK45" s="141" t="n">
        <v>45292</v>
      </c>
      <c r="CL45" s="141" t="n">
        <v>45657</v>
      </c>
      <c r="CM45" s="141" t="n">
        <v>45658</v>
      </c>
      <c r="CN45" s="64" t="n">
        <v>197845000</v>
      </c>
      <c r="CO45" s="64" t="n">
        <v>-107998000</v>
      </c>
      <c r="CP45" s="64" t="n">
        <v>-107998000</v>
      </c>
      <c r="CQ45" s="141" t="n">
        <v>46009</v>
      </c>
      <c r="CR45" s="141" t="n">
        <v>46014</v>
      </c>
      <c r="CS45" s="63" t="n">
        <v>266981106</v>
      </c>
      <c r="CT45" s="64" t="n">
        <v>131882000</v>
      </c>
      <c r="CU45" s="64" t="n">
        <v>1286000</v>
      </c>
      <c r="CV45" s="59" t="inlineStr">
        <is>
          <t>Unqualified opinion</t>
        </is>
      </c>
      <c r="CW45" s="64" t="n">
        <v>118500000</v>
      </c>
      <c r="CX45" s="102" t="inlineStr">
        <is>
          <t>SinoMedia Holding Limited; York House Investment Limited (Alphahill Funds); Wealth Strategy Holdings Limited (WSH); Infini Global Master Fund (Infini); Vered Holdings (Hong Kong) Limited (Vered HK); New Golden Future Limited; Cithara Global Multi-Strategy SPC — Bosideng Industry Investment Fund SP (Cithara Fund); Factorial Master Fund (FMF); Joy Mobile Network Pte. Ltd. (Joy Mobile)</t>
        </is>
      </c>
      <c r="CY45" s="153" t="n">
        <v>0.285</v>
      </c>
      <c r="CZ45" s="154" t="n">
        <v>46203</v>
      </c>
      <c r="DA45" s="143" t="n">
        <v>7.24</v>
      </c>
      <c r="DB45" s="63" t="n">
        <v>9730</v>
      </c>
      <c r="DC45" s="63" t="n">
        <v>16291800</v>
      </c>
      <c r="DD45" s="59" t="inlineStr">
        <is>
          <t>Subscription level 7.24 times</t>
        </is>
      </c>
      <c r="DE45" s="141" t="n">
        <v>46015</v>
      </c>
      <c r="DF45" s="141" t="n">
        <v>46020</v>
      </c>
      <c r="DG45" s="63" t="n">
        <v>22500000</v>
      </c>
      <c r="DH45" s="63" t="n">
        <v>2250000</v>
      </c>
      <c r="DI45" s="63" t="n">
        <v>20250000</v>
      </c>
      <c r="DJ45" s="63" t="n">
        <v>194400</v>
      </c>
      <c r="DK45" s="169" t="n">
        <v>0.0576</v>
      </c>
      <c r="DL45" s="59" t="inlineStr">
        <is>
          <t>Reallocation: No; Number of Offer Shares reallocated from the International Offering: 0</t>
        </is>
      </c>
      <c r="DM45" s="157" t="n">
        <v>965800000</v>
      </c>
      <c r="DN45" s="153" t="n">
        <v>0.5941</v>
      </c>
      <c r="DO45" s="102" t="n">
        <v>322500000</v>
      </c>
      <c r="DP45" s="153" t="n">
        <v>0.0499</v>
      </c>
      <c r="DQ45" s="59" t="inlineStr">
        <is>
          <t>Free float denominator = total issued shares upon listing (322,500,000); numerator = Global Offering shares less cornerstone allocation</t>
        </is>
      </c>
      <c r="DR45" s="63" t="n">
        <v>322500000</v>
      </c>
      <c r="DS45" s="153" t="n">
        <v>-0.01400936</v>
      </c>
      <c r="DT45" s="80" t="n">
        <v>38</v>
      </c>
      <c r="DU45" s="153" t="n">
        <v>0.0325381</v>
      </c>
      <c r="DV45" s="157" t="n">
        <v>53926000000</v>
      </c>
      <c r="DW45" s="158" t="n">
        <v>48.5</v>
      </c>
      <c r="DX45" s="169" t="n">
        <v>0.010417</v>
      </c>
      <c r="DY45" s="172" t="n">
        <v>11250000</v>
      </c>
      <c r="DZ45" s="146" t="n">
        <v>48.02</v>
      </c>
      <c r="EA45" s="146" t="n">
        <v>48.84</v>
      </c>
      <c r="EB45" s="146" t="n">
        <v>38.02</v>
      </c>
      <c r="EC45" s="63" t="n">
        <v>4380600</v>
      </c>
      <c r="ED45" s="169" t="n">
        <v>0.194693</v>
      </c>
      <c r="EE45" s="64" t="n"/>
      <c r="EF45" s="60" t="inlineStr">
        <is>
          <t>Mechanism B</t>
        </is>
      </c>
      <c r="EG45" s="59" t="inlineStr">
        <is>
          <t>FINI (from 22/11/2023); 2025-08-04 pricing reform (Mechanism A/B; six-month cornerstone lock-up retained); this IPO: Mechanism B</t>
        </is>
      </c>
      <c r="EH45" t="inlineStr">
        <is>
          <t>深圳迅策科技股份有限公司</t>
        </is>
      </c>
      <c r="EI45" s="174" t="inlineStr">
        <is>
          <t>Active</t>
        </is>
      </c>
      <c r="EJ45" s="175" t="n">
        <v>60.5</v>
      </c>
      <c r="EK45" s="176" t="n">
        <v>0.247423</v>
      </c>
      <c r="EL45" s="176" t="n">
        <v>0.260417</v>
      </c>
      <c r="EM45" s="176" t="n">
        <v>0.049212</v>
      </c>
      <c r="EN45" s="176" t="n">
        <v>0.031611</v>
      </c>
      <c r="EO45" s="179" t="n">
        <v>1.1889</v>
      </c>
      <c r="EP45" s="179" t="n">
        <v>1.2092</v>
      </c>
      <c r="EQ45" s="178" t="n">
        <v>26572245</v>
      </c>
      <c r="ER45" s="175" t="n">
        <v>121.8</v>
      </c>
      <c r="ES45" s="176" t="n">
        <v>1.51134</v>
      </c>
      <c r="ET45" s="176" t="n">
        <v>1.5375</v>
      </c>
      <c r="EU45" s="176" t="n">
        <v>-0.115012</v>
      </c>
      <c r="EV45" s="176" t="n">
        <v>-0.198292</v>
      </c>
      <c r="EW45" s="179" t="n">
        <v>2.8377</v>
      </c>
      <c r="EX45" s="179" t="n">
        <v>3.1325</v>
      </c>
      <c r="EY45" s="178" t="n">
        <v>356436660</v>
      </c>
      <c r="EZ45" s="176" t="n">
        <v>1.783915</v>
      </c>
      <c r="FA45" s="176" t="n"/>
      <c r="FB45" s="179" t="n"/>
      <c r="FC45" s="176" t="n"/>
      <c r="FD45" s="179" t="n"/>
      <c r="FE45" s="174" t="inlineStr">
        <is>
          <t>Standard</t>
        </is>
      </c>
      <c r="FF45" s="181" t="n"/>
      <c r="FG45" s="185" t="n"/>
      <c r="FH45" s="183" t="n"/>
      <c r="FI45" s="178" t="n"/>
      <c r="FJ45" s="176" t="n"/>
      <c r="FK45" s="185" t="n"/>
      <c r="FL45" s="178" t="n"/>
      <c r="FM45" s="176" t="n"/>
      <c r="FN45" s="176" t="n"/>
      <c r="FO45" s="176" t="n"/>
      <c r="FP45" s="176" t="n"/>
      <c r="FQ45" s="176" t="n">
        <v>-0.007835</v>
      </c>
      <c r="FR45" s="179" t="n">
        <v>0.9604</v>
      </c>
      <c r="FS45" s="176" t="n">
        <v>0.247423</v>
      </c>
      <c r="FT45" s="179" t="n">
        <v>1.1889</v>
      </c>
      <c r="FU45" s="176" t="n">
        <v>3.210309</v>
      </c>
      <c r="FV45" s="179" t="n">
        <v>4.3981</v>
      </c>
      <c r="FW45" s="179" t="n">
        <v>5.0077</v>
      </c>
      <c r="FX45" s="178" t="n">
        <v>341452819.67</v>
      </c>
      <c r="FY45" s="186" t="n">
        <v>0.001274454545454545</v>
      </c>
      <c r="FZ45" s="183" t="n">
        <v>0</v>
      </c>
      <c r="GA45" s="176" t="n">
        <v>0.1023880447657995</v>
      </c>
      <c r="GB45" s="176" t="n">
        <v>0.73093</v>
      </c>
      <c r="GC45" s="185" t="n"/>
      <c r="GD45" s="185" t="n"/>
      <c r="GE45" s="176" t="n"/>
      <c r="GF45" s="176" t="n"/>
      <c r="GG45" s="179" t="n"/>
      <c r="GH45" s="181" t="inlineStr">
        <is>
          <t>Guotai Junan Capital Limited</t>
        </is>
      </c>
      <c r="GI45" s="183" t="n">
        <v>1</v>
      </c>
      <c r="GJ45" s="183" t="n">
        <v>0</v>
      </c>
      <c r="GK45" s="176" t="n">
        <v>0.035</v>
      </c>
      <c r="GL45" s="176" t="n"/>
      <c r="GM45" s="176" t="n"/>
      <c r="GN45" s="183" t="n">
        <v>9</v>
      </c>
      <c r="GO45" s="183" t="n">
        <v>1</v>
      </c>
      <c r="GP45" s="183" t="n">
        <v>0</v>
      </c>
      <c r="GQ45" s="183" t="n">
        <v>35</v>
      </c>
      <c r="GR45" s="183" t="n">
        <v>1</v>
      </c>
      <c r="GS45" s="181" t="inlineStr">
        <is>
          <t>POST_FINI</t>
        </is>
      </c>
      <c r="GT45" s="181" t="inlineStr">
        <is>
          <t>POST_2025_REFORM</t>
        </is>
      </c>
    </row>
    <row r="46" customFormat="1" s="12">
      <c r="A46" s="60" t="n">
        <v>114</v>
      </c>
      <c r="B46" s="93" t="inlineStr">
        <is>
          <t>3696.HK</t>
        </is>
      </c>
      <c r="C46" s="59" t="inlineStr">
        <is>
          <t>InSilico Medicine Cayman TopCo</t>
        </is>
      </c>
      <c r="D46" s="149" t="n">
        <v>46009</v>
      </c>
      <c r="E46" s="95" t="n">
        <v>46021</v>
      </c>
      <c r="F46" s="60" t="inlineStr">
        <is>
          <t>Morgan Stanley Asia Limited / 
China International Capital Corporation
Hong Kong Securities Limited /
GF Capital (Hong Kong) Limited</t>
        </is>
      </c>
      <c r="G46" s="60" t="inlineStr">
        <is>
          <t>Deloitte Touche Tohmatsu</t>
        </is>
      </c>
      <c r="H46" s="60" t="n"/>
      <c r="I46" s="150" t="n">
        <v>227741475</v>
      </c>
      <c r="J46" s="148" t="n">
        <v>2391159225</v>
      </c>
      <c r="K46" s="151" t="n">
        <v>24.05</v>
      </c>
      <c r="L46" t="n">
        <v>557418500</v>
      </c>
      <c r="M46" s="98" t="n">
        <v>94690500</v>
      </c>
      <c r="N46" t="n">
        <v>462728000</v>
      </c>
      <c r="O46" t="n">
        <v>462728000</v>
      </c>
      <c r="P46" t="n">
        <v>0</v>
      </c>
      <c r="Q46" t="n">
        <v>94690500</v>
      </c>
      <c r="R46" s="98" t="n">
        <v>85221000</v>
      </c>
      <c r="S46" s="98" t="n">
        <v>9469500</v>
      </c>
      <c r="T46" s="152" t="n">
        <v>24.05</v>
      </c>
      <c r="U46" s="152" t="n">
        <v>24.05</v>
      </c>
      <c r="V46" s="169" t="n">
        <v>0</v>
      </c>
      <c r="W46" s="169" t="n">
        <v>0</v>
      </c>
      <c r="X46" s="170" t="inlineStr">
        <is>
          <t>Fixed price</t>
        </is>
      </c>
      <c r="Y46" s="26" t="inlineStr">
        <is>
          <t>USD</t>
        </is>
      </c>
      <c r="Z46" s="137" t="n">
        <v>202795000</v>
      </c>
      <c r="AA46" s="137" t="n">
        <v>144002000</v>
      </c>
      <c r="AB46" s="137" t="n">
        <v>241311000</v>
      </c>
      <c r="AC46" s="137" t="n">
        <v>-650158000</v>
      </c>
      <c r="AD46" s="137" t="n">
        <v>-663923000</v>
      </c>
      <c r="AE46" s="137" t="n">
        <v>-681364000</v>
      </c>
      <c r="AF46" s="137" t="n">
        <v>852953000</v>
      </c>
      <c r="AG46" s="137" t="n">
        <v>807925000</v>
      </c>
      <c r="AH46" s="137" t="n">
        <v>922675000</v>
      </c>
      <c r="AI46" s="137" t="n">
        <v>51180000</v>
      </c>
      <c r="AJ46" s="137" t="n">
        <v>85834000</v>
      </c>
      <c r="AK46" s="137" t="n">
        <v>54912000</v>
      </c>
      <c r="AL46" s="137" t="n">
        <v>-211556000</v>
      </c>
      <c r="AM46" s="137" t="n">
        <v>-16935000</v>
      </c>
      <c r="AN46" s="137" t="n">
        <v>-38348000</v>
      </c>
      <c r="AO46" s="137" t="n">
        <v>-211640000</v>
      </c>
      <c r="AP46" s="137" t="n">
        <v>-17096000</v>
      </c>
      <c r="AQ46" s="137" t="n">
        <v>-38430000</v>
      </c>
      <c r="AR46" s="153" t="n">
        <v>0.03</v>
      </c>
      <c r="AS46" s="153" t="n">
        <v>0.03</v>
      </c>
      <c r="AT46" s="101" t="n">
        <v>0.15</v>
      </c>
      <c r="AU46" s="102" t="inlineStr">
        <is>
          <t>AI-driven drug discovery and development (biopharmaceutical)</t>
        </is>
      </c>
      <c r="AV46" s="102" t="inlineStr">
        <is>
          <t>Main Board (Rule 8.05(3) market capitalisation/revenue test)</t>
        </is>
      </c>
      <c r="AW46" s="154" t="n">
        <v>45838</v>
      </c>
      <c r="AX46" s="137" t="n">
        <v>-36842000</v>
      </c>
      <c r="AY46" s="117" t="n">
        <v>212130000</v>
      </c>
      <c r="AZ46" s="117" t="n">
        <v>35571000</v>
      </c>
      <c r="BA46" s="117" t="n">
        <v>0</v>
      </c>
      <c r="BB46" s="155" t="n">
        <v>0.862</v>
      </c>
      <c r="BC46" s="139" t="n">
        <v>0.5</v>
      </c>
      <c r="BD46" s="80" t="n">
        <v>1</v>
      </c>
      <c r="BE46" t="n">
        <v>1</v>
      </c>
      <c r="BF46" t="n">
        <v>1</v>
      </c>
      <c r="BG46" t="n">
        <v>1</v>
      </c>
      <c r="BH46" t="n">
        <v>1</v>
      </c>
      <c r="BI46" t="n">
        <v>1</v>
      </c>
      <c r="BJ46" t="inlineStr">
        <is>
          <t>Qiming Venture Partners VI, L.P.; Qiming Managing Directors Fund VI, L.P.; Qiming Venture Partners VII, L.P.; Qiming VII Strategic Investors Fund, L.P.; LAV Biosciences Fund V, L.P.; LAV Fund VI, L.P.; LAV Fund VI Opportunities, L.P.; A-level Capital; BMH Capital; Bold Capital II; Bold Capital Partners Select, LP; Synaro; WuXi; Sinovation Fund IV, L.P.; SV China Healthcare Fund, L.P.; Baidu Ventures L.P.; Longevity Vision Holding I LLC; ERVC Healthcare IV, L.P.; ERVC Technology IV LP; Eight Roads Ventures Japan II L.P.; F-Prime Capital Partners Life Sciences Fund VI LP; Tubus LLC; Michael Antonov Charitable Foundation Inc.; Formic Ventures; Palace Investments; Mesolite Gem Investments Ltd; HSG Growth VI Holdco E, Ltd.; B Capital China III - LLC; B Capital (China) I HoldCo IV Pte. Ltd.; Deerfield Partners, L.P.; Deerfield Private Design Fund V, L.P.; Mirae Asset Growth 6 Investment Company Limited; Mirae Asset New Economy Fund L.P.; Mirae Asset Sage New Technology Investment Fund I; Mirae Asset Global Innovation Fund I; President (BVI) International Investment Holdings Ltd; LBC Sunshine Healthcare Fund II L.P.; CYX Technology Investment Limited; MSPR III Holdings Limited; GSUM VI Holdings Limited; OrbiMed Asia Partners IV, L.P.; MS Sublime Limited; WS Investment Company, LLC; Sage Partners Alpha 1 L.P.; Prosperity7; Value Partners Silver Dart Apollo Holdings Limited; Pudong ChuangLing (Hong Kong) Limited; Shanghai Puxing Synergetic Fund L.P.; Wuxi Xichuang Xingyi Health Industry Equity Investment Partnership (Limited Partnership); Anchor International Limited; Dream Team Ventures Limited; Fosun Industrial Co., Limited; SMALLCAP World Fund, Inc.; Sino Biopharmaceutical Limited; BHR Investment Fund X, L.P.; Grand Leader Investments Limited; Kawn Holdings RSC LTD</t>
        </is>
      </c>
      <c r="BK46" t="n">
        <v>0.835</v>
      </c>
      <c r="BL46" t="n">
        <v>1</v>
      </c>
      <c r="BM46" t="inlineStr">
        <is>
          <t>Series A</t>
        </is>
      </c>
      <c r="BN46" t="n">
        <v>7.55</v>
      </c>
      <c r="BO46" s="102" t="inlineStr">
        <is>
          <t>Natural person (single largest shareholder; no controlling shareholder)</t>
        </is>
      </c>
      <c r="BP46" s="156" t="n">
        <v>0.092</v>
      </c>
      <c r="BQ46" s="156" t="n">
        <v>0.1008</v>
      </c>
      <c r="BR46" s="137" t="n">
        <v>896091000</v>
      </c>
      <c r="BS46" s="102" t="inlineStr">
        <is>
          <t>Research/clinical development stage - no drug candidate commercialized as of the Latest Practicable Date</t>
        </is>
      </c>
      <c r="BT46" s="153" t="n">
        <v>0</v>
      </c>
      <c r="BU46" s="60" t="inlineStr">
        <is>
          <t>Main Board</t>
        </is>
      </c>
      <c r="BV46" s="89" t="inlineStr">
        <is>
          <t>Ordinary Shares (single class; Preferred Shares re-designated into Ordinary Shares on Listing)</t>
        </is>
      </c>
      <c r="BW46" s="61" t="n">
        <v>0</v>
      </c>
      <c r="BX46" s="77" t="n">
        <v>0</v>
      </c>
      <c r="BY46" s="77" t="n">
        <v>0</v>
      </c>
      <c r="BZ46" s="78" t="n">
        <v>0</v>
      </c>
      <c r="CA46" s="60" t="inlineStr">
        <is>
          <t>281010</t>
        </is>
      </c>
      <c r="CB46" s="76" t="inlineStr">
        <is>
          <t>HSICS (Hang Seng Industry Classification System) 2026</t>
        </is>
      </c>
      <c r="CC46" s="140" t="n">
        <v>43423</v>
      </c>
      <c r="CD46" s="171" t="n">
        <v>7.11</v>
      </c>
      <c r="CE46" s="76" t="inlineStr">
        <is>
          <t>Cayman Islands</t>
        </is>
      </c>
      <c r="CF46" s="89" t="inlineStr">
        <is>
          <t>Hong Kong (also Shanghai, PRC)</t>
        </is>
      </c>
      <c r="CG46" s="91" t="n"/>
      <c r="CH46" s="60" t="inlineStr">
        <is>
          <t>IFRS Accounting Standards</t>
        </is>
      </c>
      <c r="CI46" s="141" t="n">
        <v>44927</v>
      </c>
      <c r="CJ46" s="141" t="n">
        <v>45291</v>
      </c>
      <c r="CK46" s="141" t="n">
        <v>45292</v>
      </c>
      <c r="CL46" s="141" t="n">
        <v>45657</v>
      </c>
      <c r="CM46" s="141" t="n">
        <v>45658</v>
      </c>
      <c r="CN46" s="64" t="n">
        <v>27456000</v>
      </c>
      <c r="CO46" s="64" t="n">
        <v>-19174000</v>
      </c>
      <c r="CP46" s="64" t="n">
        <v>-19215000</v>
      </c>
      <c r="CQ46" s="141" t="n">
        <v>46009</v>
      </c>
      <c r="CR46" s="141" t="n">
        <v>46014</v>
      </c>
      <c r="CS46" s="63" t="n">
        <v>557418500</v>
      </c>
      <c r="CT46" s="64" t="n">
        <v>23019000</v>
      </c>
      <c r="CU46" s="64" t="n">
        <v>978000</v>
      </c>
      <c r="CV46" s="59" t="inlineStr">
        <is>
          <t>Unqualified opinion</t>
        </is>
      </c>
      <c r="CW46" s="64" t="n">
        <v>251500000</v>
      </c>
      <c r="CX46" s="102" t="inlineStr">
        <is>
          <t>Eli Lilly and Company; Tencent; Oaktree Capital Management, L.P.; Schroders; Temasek; UBS Asset Management (Singapore) Ltd.; China Asset Management (Hong Kong) Limited; Pacific Asset Management Co., Ltd.; E Fund Management Co., Ltd.; Fullgoal Asset Management (HK) Limited; Fullgoal Fund Management Co., Ltd.; Harvest Global Investments Limited; Taikang Life Insurance Co., Ltd; RTW Investments, LP; Exome Asset Management LLC; Infini Global Master Fund</t>
        </is>
      </c>
      <c r="CY46" s="153" t="n">
        <v>0.3929</v>
      </c>
      <c r="CZ46" s="154" t="n">
        <v>46203</v>
      </c>
      <c r="DA46" s="143" t="n">
        <v>1427.37</v>
      </c>
      <c r="DB46" s="63" t="n">
        <v>221926</v>
      </c>
      <c r="DC46" s="63" t="n">
        <v>13516468000</v>
      </c>
      <c r="DD46" s="59" t="inlineStr">
        <is>
          <t>Subscription level 1,427.37 times</t>
        </is>
      </c>
      <c r="DE46" s="141" t="inlineStr">
        <is>
          <t>NA</t>
        </is>
      </c>
      <c r="DF46" s="141" t="n">
        <v>46020</v>
      </c>
      <c r="DG46" s="63" t="n">
        <v>94690500</v>
      </c>
      <c r="DH46" s="63" t="n">
        <v>9469500</v>
      </c>
      <c r="DI46" s="63" t="n">
        <v>85221000</v>
      </c>
      <c r="DJ46" s="63" t="n">
        <v>14203500</v>
      </c>
      <c r="DK46" s="169" t="n">
        <v>1</v>
      </c>
      <c r="DL46" s="59" t="inlineStr">
        <is>
          <t>Claw-back triggered: N/A (no claw-back from the International Offering to the Hong Kong Public Offering; the final number of Hong Kong Offer Shares remained 9,469,500, equal to the initial number)</t>
        </is>
      </c>
      <c r="DM46" s="157" t="n">
        <v>2025800000</v>
      </c>
      <c r="DN46" s="153" t="n">
        <v>0.9155</v>
      </c>
      <c r="DO46" s="102" t="n">
        <v>557418500</v>
      </c>
      <c r="DP46" s="153" t="n">
        <v>0.1031</v>
      </c>
      <c r="DQ46" s="59" t="inlineStr">
        <is>
          <t>Free float denominator = number of issued Shares upon Listing, before exercise of the Over-allotment Option (557,418,500 Shares); free float numerator = 94,690,500 Offer Shares less the 37,204,500 Offer Shares allocated to Cornerstone Investors = 57,486,000 unrestricted Shares</t>
        </is>
      </c>
      <c r="DR46" s="63" t="n">
        <v>557418500</v>
      </c>
      <c r="DS46" s="153" t="n">
        <v>-0.01400936</v>
      </c>
      <c r="DT46" s="80" t="n">
        <v>38</v>
      </c>
      <c r="DU46" s="153" t="n">
        <v>0.0325381</v>
      </c>
      <c r="DV46" s="157" t="n">
        <v>53926000000</v>
      </c>
      <c r="DW46" s="158" t="n">
        <v>29.98</v>
      </c>
      <c r="DX46" s="169" t="n">
        <v>0.24657</v>
      </c>
      <c r="DY46" s="172" t="n">
        <v>561514665</v>
      </c>
      <c r="DZ46" s="146" t="n">
        <v>35</v>
      </c>
      <c r="EA46" s="146" t="n">
        <v>35.7</v>
      </c>
      <c r="EB46" s="146" t="n">
        <v>29.98</v>
      </c>
      <c r="EC46" s="63" t="n">
        <v>37735345</v>
      </c>
      <c r="ED46" s="169" t="n">
        <v>0.398512</v>
      </c>
      <c r="EE46" s="64" t="n"/>
      <c r="EF46" s="60" t="inlineStr">
        <is>
          <t>Mechanism B</t>
        </is>
      </c>
      <c r="EG46" s="59" t="inlineStr">
        <is>
          <t>FINI (from 22/11/2023); 2025-08-04 pricing reform (Mechanism A/B; six-month cornerstone lock-up retained); this IPO: Mechanism B</t>
        </is>
      </c>
      <c r="EH46" t="inlineStr">
        <is>
          <t>英矽智能</t>
        </is>
      </c>
      <c r="EI46" s="174" t="inlineStr">
        <is>
          <t>Active</t>
        </is>
      </c>
      <c r="EJ46" s="175" t="n">
        <v>60.7</v>
      </c>
      <c r="EK46" s="176" t="n">
        <v>1.024683</v>
      </c>
      <c r="EL46" s="176" t="n">
        <v>1.523909</v>
      </c>
      <c r="EM46" s="176" t="n">
        <v>0.049212</v>
      </c>
      <c r="EN46" s="176" t="n">
        <v>0.031611</v>
      </c>
      <c r="EO46" s="179" t="n">
        <v>1.9297</v>
      </c>
      <c r="EP46" s="179" t="n">
        <v>1.9626</v>
      </c>
      <c r="EQ46" s="178" t="n">
        <v>243072850</v>
      </c>
      <c r="ER46" s="175" t="n">
        <v>39.62</v>
      </c>
      <c r="ES46" s="176" t="n">
        <v>0.321548</v>
      </c>
      <c r="ET46" s="176" t="n">
        <v>0.647401</v>
      </c>
      <c r="EU46" s="176" t="n">
        <v>-0.115012</v>
      </c>
      <c r="EV46" s="176" t="n">
        <v>-0.198292</v>
      </c>
      <c r="EW46" s="179" t="n">
        <v>1.4933</v>
      </c>
      <c r="EX46" s="179" t="n">
        <v>1.6484</v>
      </c>
      <c r="EY46" s="178" t="n">
        <v>342959610</v>
      </c>
      <c r="EZ46" s="176" t="n">
        <v>0.270939</v>
      </c>
      <c r="FA46" s="176" t="n"/>
      <c r="FB46" s="179" t="n"/>
      <c r="FC46" s="176" t="n"/>
      <c r="FD46" s="179" t="n"/>
      <c r="FE46" s="174" t="inlineStr">
        <is>
          <t>Standard</t>
        </is>
      </c>
      <c r="FF46" s="181" t="n"/>
      <c r="FG46" s="185" t="n"/>
      <c r="FH46" s="183" t="n"/>
      <c r="FI46" s="178" t="n"/>
      <c r="FJ46" s="176" t="n"/>
      <c r="FK46" s="185" t="n"/>
      <c r="FL46" s="178" t="n"/>
      <c r="FM46" s="176" t="n"/>
      <c r="FN46" s="176" t="n"/>
      <c r="FO46" s="176" t="n"/>
      <c r="FP46" s="176" t="n"/>
      <c r="FQ46" s="176" t="n">
        <v>0.272181</v>
      </c>
      <c r="FR46" s="179" t="n">
        <v>1.2314</v>
      </c>
      <c r="FS46" s="176" t="n">
        <v>1.024683</v>
      </c>
      <c r="FT46" s="179" t="n">
        <v>1.9297</v>
      </c>
      <c r="FU46" s="176" t="n">
        <v>0.957972</v>
      </c>
      <c r="FV46" s="179" t="n">
        <v>2.0453</v>
      </c>
      <c r="FW46" s="179" t="n">
        <v>2.3288</v>
      </c>
      <c r="FX46" s="178" t="n">
        <v>187365821.31</v>
      </c>
      <c r="FY46" s="186" t="n">
        <v>0.000269099173553719</v>
      </c>
      <c r="FZ46" s="183" t="n">
        <v>0</v>
      </c>
      <c r="GA46" s="176" t="n">
        <v>0.06797644338836464</v>
      </c>
      <c r="GB46" s="176" t="n">
        <v>0.593572</v>
      </c>
      <c r="GC46" s="185" t="n"/>
      <c r="GD46" s="185" t="n"/>
      <c r="GE46" s="176" t="n"/>
      <c r="GF46" s="176" t="n"/>
      <c r="GG46" s="179" t="n"/>
      <c r="GH46" s="181" t="inlineStr">
        <is>
          <t>Morgan Stanley Asia Limited</t>
        </is>
      </c>
      <c r="GI46" s="183" t="n">
        <v>3</v>
      </c>
      <c r="GJ46" s="183" t="n">
        <v>0</v>
      </c>
      <c r="GK46" s="176" t="n">
        <v>0.03</v>
      </c>
      <c r="GL46" s="176" t="n"/>
      <c r="GM46" s="176" t="n"/>
      <c r="GN46" s="183" t="n">
        <v>21</v>
      </c>
      <c r="GO46" s="183" t="n">
        <v>1</v>
      </c>
      <c r="GP46" s="183" t="n">
        <v>0</v>
      </c>
      <c r="GQ46" s="183" t="n">
        <v>75</v>
      </c>
      <c r="GR46" s="183" t="n">
        <v>1</v>
      </c>
      <c r="GS46" s="181" t="inlineStr">
        <is>
          <t>POST_FINI</t>
        </is>
      </c>
      <c r="GT46" s="181" t="inlineStr">
        <is>
          <t>POST_2025_REFORM</t>
        </is>
      </c>
    </row>
    <row r="47" customFormat="1" s="12">
      <c r="A47" s="60" t="n">
        <v>115</v>
      </c>
      <c r="B47" s="93" t="inlineStr">
        <is>
          <t>6600.HK</t>
        </is>
      </c>
      <c r="C47" s="59" t="inlineStr">
        <is>
          <t>OneRobotics (Shenzhen) Co., Ltd.- H shares</t>
        </is>
      </c>
      <c r="D47" s="149" t="n">
        <v>46009</v>
      </c>
      <c r="E47" s="95" t="n">
        <v>46021</v>
      </c>
      <c r="F47" s="60" t="inlineStr">
        <is>
          <t>Guotai Junan Capital Limited / 
Huatai Financial Holdings (Hong Kong) Limited</t>
        </is>
      </c>
      <c r="G47" s="60" t="inlineStr">
        <is>
          <t>Ernst &amp; Young</t>
        </is>
      </c>
      <c r="H47" s="60" t="n"/>
      <c r="I47" s="150" t="n">
        <v>164005740</v>
      </c>
      <c r="J47" s="148" t="n">
        <v>1707274440</v>
      </c>
      <c r="K47" s="151" t="n">
        <v>73.8</v>
      </c>
      <c r="L47" t="n">
        <v>222222300</v>
      </c>
      <c r="M47" s="98" t="n">
        <v>22222300</v>
      </c>
      <c r="N47" t="n">
        <v>200000000</v>
      </c>
      <c r="O47" t="n">
        <v>200000000</v>
      </c>
      <c r="P47" t="n">
        <v>0</v>
      </c>
      <c r="Q47" t="n">
        <v>22222300</v>
      </c>
      <c r="R47" s="98" t="n">
        <v>20000000</v>
      </c>
      <c r="S47" s="98" t="n">
        <v>2222300</v>
      </c>
      <c r="T47" s="152" t="n">
        <v>81</v>
      </c>
      <c r="U47" s="152" t="n">
        <v>63</v>
      </c>
      <c r="V47" s="169" t="n">
        <v>0.025</v>
      </c>
      <c r="W47" s="169" t="n">
        <v>0.25</v>
      </c>
      <c r="X47" s="170" t="inlineStr">
        <is>
          <t>Within range</t>
        </is>
      </c>
      <c r="Y47" s="26" t="inlineStr">
        <is>
          <t>RMB</t>
        </is>
      </c>
      <c r="Z47" s="137" t="n">
        <v>374469000</v>
      </c>
      <c r="AA47" s="137" t="n">
        <v>452532000</v>
      </c>
      <c r="AB47" s="137" t="n">
        <v>670680000</v>
      </c>
      <c r="AC47" s="137" t="n">
        <v>196401000</v>
      </c>
      <c r="AD47" s="137" t="n">
        <v>197505000</v>
      </c>
      <c r="AE47" s="137" t="n">
        <v>291101000</v>
      </c>
      <c r="AF47" s="137" t="n">
        <v>178068000</v>
      </c>
      <c r="AG47" s="137" t="n">
        <v>255027000</v>
      </c>
      <c r="AH47" s="137" t="n">
        <v>379579000</v>
      </c>
      <c r="AI47" s="137" t="n">
        <v>457264000</v>
      </c>
      <c r="AJ47" s="137" t="n">
        <v>609924000</v>
      </c>
      <c r="AK47" s="137" t="n">
        <v>792588000</v>
      </c>
      <c r="AL47" s="137" t="n">
        <v>-16287000</v>
      </c>
      <c r="AM47" s="137" t="n">
        <v>-2674000</v>
      </c>
      <c r="AN47" s="137" t="n">
        <v>48252000</v>
      </c>
      <c r="AO47" s="137" t="n">
        <v>-16376000</v>
      </c>
      <c r="AP47" s="137" t="n">
        <v>-3074000</v>
      </c>
      <c r="AQ47" s="137" t="n">
        <v>55806000</v>
      </c>
      <c r="AR47" s="153" t="n">
        <v>0.0225</v>
      </c>
      <c r="AS47" s="153" t="n">
        <v>0.0225</v>
      </c>
      <c r="AT47" s="101" t="n">
        <v>0.15</v>
      </c>
      <c r="AU47" s="102" t="inlineStr">
        <is>
          <t>Home robotic systems (smart home robotic products)</t>
        </is>
      </c>
      <c r="AV47" s="102" t="inlineStr">
        <is>
          <t>Main Board Rule 8.05(3) (market capitalisation/revenue test)</t>
        </is>
      </c>
      <c r="AW47" s="154" t="n">
        <v>45838</v>
      </c>
      <c r="AX47" s="137" t="n">
        <v>29167000</v>
      </c>
      <c r="AY47" s="117" t="n">
        <v>197065000</v>
      </c>
      <c r="AZ47" s="117" t="n">
        <v>58679000</v>
      </c>
      <c r="BA47" s="117" t="n">
        <v>0</v>
      </c>
      <c r="BB47" s="155" t="n">
        <v>0.535</v>
      </c>
      <c r="BC47" s="139" t="n">
        <v>0.5</v>
      </c>
      <c r="BD47" s="80" t="n">
        <v>1</v>
      </c>
      <c r="BE47" t="n">
        <v>1</v>
      </c>
      <c r="BF47" t="n">
        <v>1</v>
      </c>
      <c r="BG47" t="inlineStr">
        <is>
          <t>NaN</t>
        </is>
      </c>
      <c r="BH47" t="n">
        <v>1</v>
      </c>
      <c r="BI47" t="inlineStr">
        <is>
          <t>NaN</t>
        </is>
      </c>
      <c r="BJ47" t="inlineStr">
        <is>
          <t>Songshan Lake Robot Institute; Yinghu Intelligent; Dongguan Yunhe; Brizan Ventures V; Suzhou Yuanming VC LP; Shenzhen Fortune PE LP; Shenzhen Fortune Capital VC; Shenzhen Caizhi PE LP; Shanghai Chenjun; Ventech; Nanjing Qingke Letai LP; Guotiao Innovation PE Fund LP; Tianjin Yuntai LP; Zhuhai Ansheng Investment LP; Shenzhen Langke Investment; Shenzhen Wanshan LP</t>
        </is>
      </c>
      <c r="BK47" t="n">
        <v>0.5547</v>
      </c>
      <c r="BL47" t="n">
        <v>1</v>
      </c>
      <c r="BM47" t="inlineStr">
        <is>
          <t>Series Angel Financing</t>
        </is>
      </c>
      <c r="BN47" t="n">
        <v>8.17</v>
      </c>
      <c r="BO47" s="102" t="inlineStr">
        <is>
          <t>Natural person</t>
        </is>
      </c>
      <c r="BP47" s="156" t="n">
        <v>0.4007</v>
      </c>
      <c r="BQ47" s="156" t="n">
        <v>0.4007</v>
      </c>
      <c r="BR47" s="137" t="n">
        <v>143819000</v>
      </c>
      <c r="BS47" s="102" t="inlineStr">
        <is>
          <t>Commercialised</t>
        </is>
      </c>
      <c r="BT47" s="153" t="n">
        <v>0.038</v>
      </c>
      <c r="BU47" s="60" t="inlineStr">
        <is>
          <t>Main Board</t>
        </is>
      </c>
      <c r="BV47" s="89" t="inlineStr">
        <is>
          <t>H Shares</t>
        </is>
      </c>
      <c r="BW47" s="61" t="n">
        <v>0</v>
      </c>
      <c r="BX47" s="77" t="n">
        <v>0</v>
      </c>
      <c r="BY47" s="77" t="n">
        <v>0</v>
      </c>
      <c r="BZ47" s="78" t="n">
        <v>0</v>
      </c>
      <c r="CA47" s="60" t="inlineStr">
        <is>
          <t>232010</t>
        </is>
      </c>
      <c r="CB47" s="76" t="inlineStr">
        <is>
          <t>HSICS (Hang Seng Industry Classification System) 2026</t>
        </is>
      </c>
      <c r="CC47" s="140" t="n">
        <v>43391</v>
      </c>
      <c r="CD47" s="171" t="n">
        <v>7.2</v>
      </c>
      <c r="CE47" s="76" t="inlineStr">
        <is>
          <t>PRC</t>
        </is>
      </c>
      <c r="CF47" s="89" t="inlineStr">
        <is>
          <t>Shenzhen, Guangdong Province, the PRC</t>
        </is>
      </c>
      <c r="CG47" s="91" t="n"/>
      <c r="CH47" s="60" t="inlineStr">
        <is>
          <t>IFRS Accounting Standards</t>
        </is>
      </c>
      <c r="CI47" s="141" t="n">
        <v>44927</v>
      </c>
      <c r="CJ47" s="141" t="n">
        <v>45291</v>
      </c>
      <c r="CK47" s="141" t="n">
        <v>45292</v>
      </c>
      <c r="CL47" s="141" t="n">
        <v>45657</v>
      </c>
      <c r="CM47" s="141" t="n">
        <v>45658</v>
      </c>
      <c r="CN47" s="64" t="n">
        <v>396294000</v>
      </c>
      <c r="CO47" s="64" t="n">
        <v>24126000</v>
      </c>
      <c r="CP47" s="64" t="n">
        <v>27903000</v>
      </c>
      <c r="CQ47" s="141" t="n">
        <v>46009</v>
      </c>
      <c r="CR47" s="141" t="n">
        <v>46014</v>
      </c>
      <c r="CS47" s="63" t="n">
        <v>222222300</v>
      </c>
      <c r="CT47" s="64" t="n">
        <v>214753000</v>
      </c>
      <c r="CU47" s="64" t="n">
        <v>5591000</v>
      </c>
      <c r="CV47" s="59" t="inlineStr">
        <is>
          <t>Unqualified opinion</t>
        </is>
      </c>
      <c r="CW47" s="64" t="n">
        <v>95100000</v>
      </c>
      <c r="CX47" s="102" t="inlineStr">
        <is>
          <t>HACF, L.P.; Cithara Global Multi-Strategy SPC — Bosideng Industry Investment Fund SP; Infini Global Master Fund; China Orient Enhanced Income Fund; China Orient Multi-Strategy Master Fund; Wind Sabre Fund SPC on behalf of Wind Sabre Opportunities Fund SP; Yield Royal Investment Holding (Singapore) PTE. LTD.; Sage Partners Master Fund; Sage Sunshine 1 Limited</t>
        </is>
      </c>
      <c r="CY47" s="153" t="n">
        <v>0.4268</v>
      </c>
      <c r="CZ47" s="154" t="n">
        <v>46203</v>
      </c>
      <c r="DA47" s="143" t="n">
        <v>254.5</v>
      </c>
      <c r="DB47" s="63" t="n">
        <v>89935</v>
      </c>
      <c r="DC47" s="63" t="n">
        <v>565575350</v>
      </c>
      <c r="DD47" s="59" t="inlineStr">
        <is>
          <t>Subscription level 254.50 times</t>
        </is>
      </c>
      <c r="DE47" s="141" t="n">
        <v>46015</v>
      </c>
      <c r="DF47" s="141" t="n">
        <v>46020</v>
      </c>
      <c r="DG47" s="63" t="n">
        <v>22222300</v>
      </c>
      <c r="DH47" s="63" t="n">
        <v>2222300</v>
      </c>
      <c r="DI47" s="63" t="n">
        <v>20000000</v>
      </c>
      <c r="DJ47" s="63" t="n">
        <v>3133800</v>
      </c>
      <c r="DK47" s="169" t="n">
        <v>0.940137</v>
      </c>
      <c r="DL47" s="59" t="inlineStr">
        <is>
          <t>No claw-back/reallocation: Claw-back triggered N/A; final no. of Offer Shares under the Hong Kong Public Offering 2,222,300, equal to the 2,222,300 initially available</t>
        </is>
      </c>
      <c r="DM47" s="157" t="n">
        <v>1543890000</v>
      </c>
      <c r="DN47" s="153" t="n">
        <v>0.395</v>
      </c>
      <c r="DO47" s="102" t="n">
        <v>222222300</v>
      </c>
      <c r="DP47" s="153" t="n">
        <v>0.0573</v>
      </c>
      <c r="DQ47" s="59" t="inlineStr">
        <is>
          <t>Free float H Shares upon Listing (12,737,800) as a proportion of the total number of issued H Shares upon Listing (222,222,300)</t>
        </is>
      </c>
      <c r="DR47" s="63" t="n">
        <v>222222300</v>
      </c>
      <c r="DS47" s="153" t="n">
        <v>-0.01400936</v>
      </c>
      <c r="DT47" s="80" t="n">
        <v>38</v>
      </c>
      <c r="DU47" s="153" t="n">
        <v>0.0325381</v>
      </c>
      <c r="DV47" s="157" t="n">
        <v>53926000000</v>
      </c>
      <c r="DW47" s="158" t="n">
        <v>73.84999999999999</v>
      </c>
      <c r="DX47" s="169" t="n">
        <v>0.000678</v>
      </c>
      <c r="DY47" s="172" t="n">
        <v>1111115</v>
      </c>
      <c r="DZ47" s="146" t="n">
        <v>73.8</v>
      </c>
      <c r="EA47" s="146" t="n">
        <v>75</v>
      </c>
      <c r="EB47" s="146" t="n">
        <v>73.8</v>
      </c>
      <c r="EC47" s="63" t="n">
        <v>4724850</v>
      </c>
      <c r="ED47" s="169" t="n">
        <v>0.212618</v>
      </c>
      <c r="EE47" s="64" t="n"/>
      <c r="EF47" s="60" t="inlineStr">
        <is>
          <t>Mechanism B</t>
        </is>
      </c>
      <c r="EG47" s="59" t="inlineStr">
        <is>
          <t>FINI (from 22/11/2023); 2025-08-04 pricing reform (Mechanism A/B; six-month cornerstone lock-up retained); this IPO: Mechanism B</t>
        </is>
      </c>
      <c r="EH47" t="inlineStr">
        <is>
          <t>卧安机器人（深圳）股份有限公司</t>
        </is>
      </c>
      <c r="EI47" s="174" t="inlineStr">
        <is>
          <t>Active</t>
        </is>
      </c>
      <c r="EJ47" s="175" t="n">
        <v>155</v>
      </c>
      <c r="EK47" s="176" t="n">
        <v>1.098849</v>
      </c>
      <c r="EL47" s="176" t="n">
        <v>1.100271</v>
      </c>
      <c r="EM47" s="176" t="n">
        <v>0.049212</v>
      </c>
      <c r="EN47" s="176" t="n">
        <v>0.031611</v>
      </c>
      <c r="EO47" s="179" t="n">
        <v>2.0004</v>
      </c>
      <c r="EP47" s="179" t="n">
        <v>2.0345</v>
      </c>
      <c r="EQ47" s="178" t="n">
        <v>70560913</v>
      </c>
      <c r="ER47" s="175" t="n">
        <v>56.85</v>
      </c>
      <c r="ES47" s="176" t="n">
        <v>-0.230196</v>
      </c>
      <c r="ET47" s="176" t="n">
        <v>-0.229675</v>
      </c>
      <c r="EU47" s="176" t="n">
        <v>-0.115012</v>
      </c>
      <c r="EV47" s="176" t="n">
        <v>-0.198292</v>
      </c>
      <c r="EW47" s="179" t="n">
        <v>0.8698</v>
      </c>
      <c r="EX47" s="179" t="n">
        <v>0.9602000000000001</v>
      </c>
      <c r="EY47" s="178" t="n">
        <v>47008318</v>
      </c>
      <c r="EZ47" s="176" t="n">
        <v>0.139274</v>
      </c>
      <c r="FA47" s="176" t="n"/>
      <c r="FB47" s="179" t="n"/>
      <c r="FC47" s="176" t="n"/>
      <c r="FD47" s="179" t="n"/>
      <c r="FE47" s="174" t="inlineStr">
        <is>
          <t>Standard</t>
        </is>
      </c>
      <c r="FF47" s="181" t="n"/>
      <c r="FG47" s="185" t="n"/>
      <c r="FH47" s="183" t="n"/>
      <c r="FI47" s="178" t="n"/>
      <c r="FJ47" s="176" t="n"/>
      <c r="FK47" s="185" t="n"/>
      <c r="FL47" s="178" t="n"/>
      <c r="FM47" s="176" t="n"/>
      <c r="FN47" s="176" t="n"/>
      <c r="FO47" s="176" t="n"/>
      <c r="FP47" s="176" t="n"/>
      <c r="FQ47" s="176" t="n">
        <v>0.40826</v>
      </c>
      <c r="FR47" s="179" t="n">
        <v>1.3631</v>
      </c>
      <c r="FS47" s="176" t="n">
        <v>1.098849</v>
      </c>
      <c r="FT47" s="179" t="n">
        <v>2.0004</v>
      </c>
      <c r="FU47" s="176" t="n">
        <v>0.312796</v>
      </c>
      <c r="FV47" s="179" t="n">
        <v>1.3713</v>
      </c>
      <c r="FW47" s="179" t="n">
        <v>1.5614</v>
      </c>
      <c r="FX47" s="178" t="n">
        <v>83946253.44</v>
      </c>
      <c r="FY47" s="186" t="n">
        <v>0.0008501570247933884</v>
      </c>
      <c r="FZ47" s="183" t="n">
        <v>0</v>
      </c>
      <c r="GA47" s="176" t="n">
        <v>0.06009078315556991</v>
      </c>
      <c r="GB47" s="176" t="n">
        <v>0.731647</v>
      </c>
      <c r="GC47" s="185" t="n"/>
      <c r="GD47" s="185" t="n"/>
      <c r="GE47" s="176" t="n"/>
      <c r="GF47" s="176" t="n"/>
      <c r="GG47" s="179" t="n"/>
      <c r="GH47" s="181" t="inlineStr">
        <is>
          <t>Guotai Junan Capital Limited</t>
        </is>
      </c>
      <c r="GI47" s="183" t="n">
        <v>2</v>
      </c>
      <c r="GJ47" s="183" t="n">
        <v>0</v>
      </c>
      <c r="GK47" s="176" t="n">
        <v>0.0225</v>
      </c>
      <c r="GL47" s="176" t="n"/>
      <c r="GM47" s="176" t="n"/>
      <c r="GN47" s="183" t="n">
        <v>10</v>
      </c>
      <c r="GO47" s="183" t="n">
        <v>1</v>
      </c>
      <c r="GP47" s="183" t="n">
        <v>0</v>
      </c>
      <c r="GQ47" s="183" t="n">
        <v>16</v>
      </c>
      <c r="GR47" s="183" t="n">
        <v>1</v>
      </c>
      <c r="GS47" s="181" t="inlineStr">
        <is>
          <t>POST_FINI</t>
        </is>
      </c>
      <c r="GT47" s="181" t="inlineStr">
        <is>
          <t>POST_2025_REFORM</t>
        </is>
      </c>
    </row>
    <row r="48" customFormat="1" s="12">
      <c r="A48" s="60" t="n">
        <v>113</v>
      </c>
      <c r="B48" s="93" t="inlineStr">
        <is>
          <t>6651.HK</t>
        </is>
      </c>
      <c r="C48" s="59" t="inlineStr">
        <is>
          <t>Beijing 51WORLD Digital Twin Technology Co., Ltd.- H shares</t>
        </is>
      </c>
      <c r="D48" s="149" t="n">
        <v>46009</v>
      </c>
      <c r="E48" s="95" t="n">
        <v>46021</v>
      </c>
      <c r="F48" s="60" t="inlineStr">
        <is>
          <t>China International Capital Corporation
Hong Kong Securities Limited /
Huatai Financial Holdings (Hong Kong) Limited</t>
        </is>
      </c>
      <c r="G48" s="60" t="inlineStr">
        <is>
          <t>KPMG</t>
        </is>
      </c>
      <c r="H48" s="60" t="n"/>
      <c r="I48" s="150" t="n">
        <v>146253600</v>
      </c>
      <c r="J48" s="148" t="n">
        <v>584990000</v>
      </c>
      <c r="K48" s="151" t="n">
        <v>30.5</v>
      </c>
      <c r="L48" t="n">
        <v>406356152</v>
      </c>
      <c r="M48" s="98" t="n">
        <v>23975200</v>
      </c>
      <c r="N48" t="n">
        <v>382380952</v>
      </c>
      <c r="O48" t="n">
        <v>382380952</v>
      </c>
      <c r="P48" t="n">
        <v>0</v>
      </c>
      <c r="Q48" t="n">
        <v>23975200</v>
      </c>
      <c r="R48" s="98" t="n">
        <v>22776400</v>
      </c>
      <c r="S48" s="98" t="n">
        <v>1198800</v>
      </c>
      <c r="T48" s="152" t="n">
        <v>30.5</v>
      </c>
      <c r="U48" s="152" t="n">
        <v>30.5</v>
      </c>
      <c r="V48" s="169" t="n">
        <v>0</v>
      </c>
      <c r="W48" s="169" t="n">
        <v>0</v>
      </c>
      <c r="X48" s="170" t="inlineStr">
        <is>
          <t>Fixed price</t>
        </is>
      </c>
      <c r="Y48" s="26" t="inlineStr">
        <is>
          <t>RMB</t>
        </is>
      </c>
      <c r="Z48" s="137" t="n">
        <v>504342000</v>
      </c>
      <c r="AA48" s="137" t="n">
        <v>374688000</v>
      </c>
      <c r="AB48" s="137" t="n">
        <v>634217000</v>
      </c>
      <c r="AC48" s="137" t="n">
        <v>-935626000</v>
      </c>
      <c r="AD48" s="137" t="n">
        <v>103079000</v>
      </c>
      <c r="AE48" s="137" t="n">
        <v>254908000</v>
      </c>
      <c r="AF48" s="137" t="n">
        <v>1439968000</v>
      </c>
      <c r="AG48" s="137" t="n">
        <v>271609000</v>
      </c>
      <c r="AH48" s="137" t="n">
        <v>379309000</v>
      </c>
      <c r="AI48" s="137" t="n">
        <v>169977000</v>
      </c>
      <c r="AJ48" s="137" t="n">
        <v>256302000</v>
      </c>
      <c r="AK48" s="137" t="n">
        <v>287362000</v>
      </c>
      <c r="AL48" s="137" t="n">
        <v>-189785000</v>
      </c>
      <c r="AM48" s="137" t="n">
        <v>-87027000</v>
      </c>
      <c r="AN48" s="137" t="n">
        <v>-77500000</v>
      </c>
      <c r="AO48" s="137" t="n">
        <v>-189785000</v>
      </c>
      <c r="AP48" s="137" t="n">
        <v>-87077000</v>
      </c>
      <c r="AQ48" s="137" t="n">
        <v>-78972000</v>
      </c>
      <c r="AR48" s="153" t="n">
        <v>0.03</v>
      </c>
      <c r="AS48" s="153" t="n">
        <v>0.03</v>
      </c>
      <c r="AT48" s="101" t="n">
        <v>0.15</v>
      </c>
      <c r="AU48" s="102" t="inlineStr">
        <is>
          <t>Digital twin technology</t>
        </is>
      </c>
      <c r="AV48" s="102" t="inlineStr">
        <is>
          <t>Chapter 18C of the Listing Rules (Specialist Technology Company)</t>
        </is>
      </c>
      <c r="AW48" s="154" t="n">
        <v>45657</v>
      </c>
      <c r="AX48" s="137" t="n">
        <v>-114273000</v>
      </c>
      <c r="AY48" s="117" t="n">
        <v>134462000</v>
      </c>
      <c r="AZ48" s="117" t="n">
        <v>58312000</v>
      </c>
      <c r="BA48" s="117" t="n">
        <v>0</v>
      </c>
      <c r="BB48" s="155" t="n">
        <v>0.464</v>
      </c>
      <c r="BC48" s="139" t="n">
        <v>1</v>
      </c>
      <c r="BD48" s="80" t="n">
        <v>1</v>
      </c>
      <c r="BE48" t="n">
        <v>1</v>
      </c>
      <c r="BF48" t="n">
        <v>1</v>
      </c>
      <c r="BG48" t="n">
        <v>1</v>
      </c>
      <c r="BH48" t="n">
        <v>1</v>
      </c>
      <c r="BI48" t="n">
        <v>1</v>
      </c>
      <c r="BJ48" t="inlineStr">
        <is>
          <t>LS 51World Holding Limited; Sky9 51World Limited; SenseTime Group Limited; Zhang Peng; Lyu Xiaotong; Grandwin Enterprises (HK) Limited; Jinshijia; First Moma Artificial Intelligence Technology (Beijing) Co., Ltd.; First Internet Technology (China) Limited; Cui Jingtao; Ningbo Meishan Bonded Port District Zhongka Investment Management Limited Partnership; Shanghai Oriental Pearl Media Industry Equity Investment Fund Partnership (Limited Partnership); Qingdao Yunchu No. 1 Investment Partnership (Limited Partnership); SBI Cross-border Advantage Fund; Teng Rongsong; Wang Tao; Guangdong Xingshi No. 3 Equity Investment Partnership (Limited Partnership); Guangzhou Chentu Ruqi Xinyuan Venture Capital Fund Partnership (Limited Partnership); Guangzhou Chentu No. 11 Venture Capital Partnership (Limited Partnership); Guangzhou Chentu No. 12 Venture Capital Fund Partnership (Limited Partnership); Wu Hong; Ge Weidong; Shanghai Guohe Phase III Modern Service Equity Investment Fund Partnership (Limited Partnership); Ningbo Meishan Bonded Port Zone Chuangzhi Asset Management Partnership Enterprise (Limited Partnership); Moore Threads Intelligent Technology (Beijing) Co., Ltd.; Wuhu Haochen No. 1 Equity Investment Partnership (Limited Partnership); Li Xiuxiu; Zhang Huaian; Chongqing Yulong Chongsu Equity Investment Fund Partnership (Limited Partnership); Nanning Qianchuang Shijie Investment Partnership (Limited Partnership); Qu Xiaopeng; Beijing Zhonglv Juneng Energy Technology Co., Ltd.</t>
        </is>
      </c>
      <c r="BK48" t="inlineStr">
        <is>
          <t>NaN</t>
        </is>
      </c>
      <c r="BL48" t="inlineStr">
        <is>
          <t>NaN</t>
        </is>
      </c>
      <c r="BM48" t="inlineStr">
        <is>
          <t>Series A</t>
        </is>
      </c>
      <c r="BN48" t="n">
        <v>10.47</v>
      </c>
      <c r="BO48" s="102" t="inlineStr">
        <is>
          <t>自然人</t>
        </is>
      </c>
      <c r="BP48" s="156" t="n">
        <v>0.233</v>
      </c>
      <c r="BQ48" s="156" t="n">
        <v>0.233</v>
      </c>
      <c r="BR48" s="137" t="n">
        <v>170150000</v>
      </c>
      <c r="BS48" s="102" t="inlineStr">
        <is>
          <t>Early stage of commercialization</t>
        </is>
      </c>
      <c r="BT48" s="153" t="n">
        <v>0</v>
      </c>
      <c r="BU48" s="60" t="inlineStr">
        <is>
          <t>Main Board</t>
        </is>
      </c>
      <c r="BV48" s="89" t="inlineStr">
        <is>
          <t>H Shares</t>
        </is>
      </c>
      <c r="BW48" s="61" t="n">
        <v>0</v>
      </c>
      <c r="BX48" s="77" t="n">
        <v>0</v>
      </c>
      <c r="BY48" s="77" t="n">
        <v>0</v>
      </c>
      <c r="BZ48" s="78" t="n">
        <v>1</v>
      </c>
      <c r="CA48" s="60" t="inlineStr">
        <is>
          <t>702015</t>
        </is>
      </c>
      <c r="CB48" s="76" t="inlineStr">
        <is>
          <t>HSICS (Hang Seng Industry Classification System) 2026</t>
        </is>
      </c>
      <c r="CC48" s="140" t="n">
        <v>42051</v>
      </c>
      <c r="CD48" s="171" t="n">
        <v>10.87</v>
      </c>
      <c r="CE48" s="76" t="inlineStr">
        <is>
          <t>PRC</t>
        </is>
      </c>
      <c r="CF48" s="89" t="inlineStr">
        <is>
          <t>Beijing, PRC</t>
        </is>
      </c>
      <c r="CG48" s="91" t="n">
        <v>1000</v>
      </c>
      <c r="CH48" s="60" t="inlineStr">
        <is>
          <t>IFRS Accounting Standards</t>
        </is>
      </c>
      <c r="CI48" s="141" t="n">
        <v>44562</v>
      </c>
      <c r="CJ48" s="141" t="n">
        <v>44926</v>
      </c>
      <c r="CK48" s="141" t="n">
        <v>44927</v>
      </c>
      <c r="CL48" s="141" t="n">
        <v>45291</v>
      </c>
      <c r="CM48" s="141" t="n">
        <v>45292</v>
      </c>
      <c r="CN48" s="64" t="n">
        <v>287362000</v>
      </c>
      <c r="CO48" s="64" t="n">
        <v>-77500000</v>
      </c>
      <c r="CP48" s="64" t="n">
        <v>-78972000</v>
      </c>
      <c r="CQ48" s="141" t="n">
        <v>46009</v>
      </c>
      <c r="CR48" s="141" t="n">
        <v>46014</v>
      </c>
      <c r="CS48" s="63" t="n">
        <v>387274344</v>
      </c>
      <c r="CT48" s="64" t="n">
        <v>146884000</v>
      </c>
      <c r="CU48" s="64" t="n">
        <v>38569000</v>
      </c>
      <c r="CV48" s="59" t="inlineStr">
        <is>
          <t>Unqualified opinion</t>
        </is>
      </c>
      <c r="CW48" s="64" t="n">
        <v>78500000</v>
      </c>
      <c r="CX48" s="102" t="inlineStr">
        <is>
          <t>NA</t>
        </is>
      </c>
      <c r="CY48" s="153" t="n">
        <v>0</v>
      </c>
      <c r="CZ48" s="154" t="inlineStr">
        <is>
          <t>NA</t>
        </is>
      </c>
      <c r="DA48" s="143" t="n">
        <v>256.01</v>
      </c>
      <c r="DB48" s="63" t="n">
        <v>44502</v>
      </c>
      <c r="DC48" s="63" t="n">
        <v>306906200</v>
      </c>
      <c r="DD48" s="59" t="inlineStr">
        <is>
          <t>Subscription level 256.01 times</t>
        </is>
      </c>
      <c r="DE48" s="141" t="inlineStr">
        <is>
          <t>NA</t>
        </is>
      </c>
      <c r="DF48" s="141" t="n">
        <v>46020</v>
      </c>
      <c r="DG48" s="63" t="n">
        <v>23975200</v>
      </c>
      <c r="DH48" s="63" t="n">
        <v>4795200</v>
      </c>
      <c r="DI48" s="63" t="n">
        <v>19180000</v>
      </c>
      <c r="DJ48" s="63" t="n">
        <v>0</v>
      </c>
      <c r="DK48" s="169" t="n">
        <v>0</v>
      </c>
      <c r="DL48" s="59" t="inlineStr">
        <is>
          <t>Claw-back triggered: Yes. Final no. of Offer Shares under the Hong Kong Public Offering (after reallocation): 4,795,200 (initially 1,198,800); final no. of Offer Shares under the International Placing (after reallocation): 19,180,000 (initially 22,776,400).</t>
        </is>
      </c>
      <c r="DM48" s="157" t="n">
        <v>649900000</v>
      </c>
      <c r="DN48" s="153" t="n">
        <v>0.604</v>
      </c>
      <c r="DO48" s="102" t="n">
        <v>406356152</v>
      </c>
      <c r="DP48" s="153" t="n">
        <v>0.059</v>
      </c>
      <c r="DQ48" s="59" t="inlineStr">
        <is>
          <t>Number of issued shares upon Listing (before exercise of the Over-allotment Option)</t>
        </is>
      </c>
      <c r="DR48" s="63" t="n">
        <v>406356152</v>
      </c>
      <c r="DS48" s="153" t="n">
        <v>-0.01400936</v>
      </c>
      <c r="DT48" s="80" t="n">
        <v>38</v>
      </c>
      <c r="DU48" s="153" t="n">
        <v>0.0325381</v>
      </c>
      <c r="DV48" s="157" t="n">
        <v>53926000000</v>
      </c>
      <c r="DW48" s="158" t="n">
        <v>39.62</v>
      </c>
      <c r="DX48" s="169" t="n">
        <v>0.299016</v>
      </c>
      <c r="DY48" s="172" t="n">
        <v>218653824</v>
      </c>
      <c r="DZ48" s="146" t="n">
        <v>35</v>
      </c>
      <c r="EA48" s="146" t="n">
        <v>39.8</v>
      </c>
      <c r="EB48" s="146" t="n">
        <v>35</v>
      </c>
      <c r="EC48" s="63" t="n">
        <v>5321300</v>
      </c>
      <c r="ED48" s="169" t="n">
        <v>0.22195</v>
      </c>
      <c r="EE48" s="64" t="n"/>
      <c r="EF48" s="60" t="inlineStr">
        <is>
          <t>Mechanism A</t>
        </is>
      </c>
      <c r="EG48" s="59" t="inlineStr">
        <is>
          <t>FINI (from 22/11/2023); 2025-08-04 pricing reform (Mechanism A/B; six-month cornerstone lock-up retained); this IPO: Mechanism A</t>
        </is>
      </c>
      <c r="EH48" t="inlineStr">
        <is>
          <t>北京五一视界数字孪生科技股份有限公司</t>
        </is>
      </c>
      <c r="EI48" s="174" t="inlineStr">
        <is>
          <t>Active</t>
        </is>
      </c>
      <c r="EJ48" s="175" t="n">
        <v>85.15000000000001</v>
      </c>
      <c r="EK48" s="176" t="n">
        <v>1.149167</v>
      </c>
      <c r="EL48" s="176" t="n">
        <v>1.791803</v>
      </c>
      <c r="EM48" s="176" t="n">
        <v>0.049212</v>
      </c>
      <c r="EN48" s="176" t="n">
        <v>0.031611</v>
      </c>
      <c r="EO48" s="179" t="n">
        <v>2.0484</v>
      </c>
      <c r="EP48" s="179" t="n">
        <v>2.0833</v>
      </c>
      <c r="EQ48" s="178" t="n">
        <v>56800530</v>
      </c>
      <c r="ER48" s="175" t="n">
        <v>90.55</v>
      </c>
      <c r="ES48" s="176" t="n">
        <v>1.285462</v>
      </c>
      <c r="ET48" s="176" t="n">
        <v>1.968852</v>
      </c>
      <c r="EU48" s="176" t="n">
        <v>-0.115012</v>
      </c>
      <c r="EV48" s="176" t="n">
        <v>-0.198292</v>
      </c>
      <c r="EW48" s="179" t="n">
        <v>2.5825</v>
      </c>
      <c r="EX48" s="179" t="n">
        <v>2.8507</v>
      </c>
      <c r="EY48" s="178" t="n">
        <v>1193823560</v>
      </c>
      <c r="EZ48" s="176" t="n">
        <v>5.856727</v>
      </c>
      <c r="FA48" s="176" t="n"/>
      <c r="FB48" s="179" t="n"/>
      <c r="FC48" s="176" t="n"/>
      <c r="FD48" s="179" t="n"/>
      <c r="FE48" s="174" t="inlineStr">
        <is>
          <t>18C (Specialist Tech)</t>
        </is>
      </c>
      <c r="FF48" s="181" t="n"/>
      <c r="FG48" s="185" t="n"/>
      <c r="FH48" s="183" t="n"/>
      <c r="FI48" s="178" t="n"/>
      <c r="FJ48" s="176" t="n"/>
      <c r="FK48" s="185" t="n"/>
      <c r="FL48" s="178" t="n"/>
      <c r="FM48" s="176" t="n"/>
      <c r="FN48" s="176" t="n"/>
      <c r="FO48" s="176" t="n"/>
      <c r="FP48" s="176" t="n"/>
      <c r="FQ48" s="176" t="n">
        <v>0.09995</v>
      </c>
      <c r="FR48" s="179" t="n">
        <v>1.0647</v>
      </c>
      <c r="FS48" s="176" t="n">
        <v>1.149167</v>
      </c>
      <c r="FT48" s="179" t="n">
        <v>2.0484</v>
      </c>
      <c r="FU48" s="176" t="n">
        <v>0.075215</v>
      </c>
      <c r="FV48" s="179" t="n">
        <v>1.1232</v>
      </c>
      <c r="FW48" s="179" t="n">
        <v>1.2789</v>
      </c>
      <c r="FX48" s="178" t="n">
        <v>85229437.7</v>
      </c>
      <c r="FY48" s="186" t="n">
        <v>0.0006959586776859503</v>
      </c>
      <c r="FZ48" s="183" t="n">
        <v>0</v>
      </c>
      <c r="GA48" s="176" t="n">
        <v>0.1005447493416458</v>
      </c>
      <c r="GB48" s="176" t="n">
        <v>0.624456</v>
      </c>
      <c r="GC48" s="185" t="n"/>
      <c r="GD48" s="185" t="n"/>
      <c r="GE48" s="176" t="n"/>
      <c r="GF48" s="176" t="n"/>
      <c r="GG48" s="179" t="n"/>
      <c r="GH48" s="181" t="inlineStr">
        <is>
          <t>China International Capital Corporation Hong Kong Securities Limited</t>
        </is>
      </c>
      <c r="GI48" s="183" t="n">
        <v>2</v>
      </c>
      <c r="GJ48" s="183" t="n">
        <v>0</v>
      </c>
      <c r="GK48" s="176" t="n">
        <v>0.03</v>
      </c>
      <c r="GL48" s="176" t="n"/>
      <c r="GM48" s="176" t="n"/>
      <c r="GN48" s="183" t="n">
        <v>0</v>
      </c>
      <c r="GO48" s="183" t="n">
        <v>0</v>
      </c>
      <c r="GP48" s="183" t="n">
        <v>0</v>
      </c>
      <c r="GQ48" s="183" t="n">
        <v>35</v>
      </c>
      <c r="GR48" s="183" t="n">
        <v>1</v>
      </c>
      <c r="GS48" s="181" t="inlineStr">
        <is>
          <t>POST_FINI</t>
        </is>
      </c>
      <c r="GT48" s="181" t="inlineStr">
        <is>
          <t>POST_2025_REFORM</t>
        </is>
      </c>
    </row>
    <row r="49" customFormat="1" s="12"/>
    <row r="50" customFormat="1" s="12"/>
    <row r="51" customFormat="1" s="12"/>
    <row r="52" customFormat="1" s="12"/>
    <row r="53" customFormat="1" s="12"/>
    <row r="54" customFormat="1" s="12"/>
    <row r="55" customFormat="1" s="11"/>
    <row r="56" customFormat="1" s="11"/>
    <row r="57" ht="18.75" customFormat="1" customHeight="1" s="12"/>
    <row r="58" customFormat="1" s="12"/>
    <row r="59" customFormat="1" s="12"/>
    <row r="60" customFormat="1" s="12"/>
    <row r="61" customFormat="1" s="12"/>
    <row r="62" customFormat="1" s="12"/>
    <row r="63" ht="31.5" customFormat="1" customHeight="1" s="17"/>
    <row r="64" ht="39" customFormat="1" customHeight="1" s="17"/>
    <row r="65" customFormat="1" s="17"/>
    <row r="66" ht="36.5" customFormat="1" customHeight="1" s="17"/>
    <row r="67" ht="53.25" customFormat="1" customHeight="1" s="17"/>
    <row r="68" ht="31.5" customFormat="1" customHeight="1" s="17"/>
    <row r="69" ht="31.5" customFormat="1" customHeight="1" s="17"/>
    <row r="70" customFormat="1" s="17"/>
    <row r="71" ht="31.5" customFormat="1" customHeight="1" s="17"/>
    <row r="72" ht="31.5" customFormat="1" customHeight="1" s="17"/>
    <row r="73" ht="31.5" customFormat="1" customHeight="1" s="12"/>
    <row r="74" customFormat="1" s="10"/>
    <row r="75" ht="32.25" customFormat="1" customHeight="1" s="10"/>
    <row r="76" ht="38.25" customFormat="1" customHeight="1" s="10"/>
    <row r="77" customFormat="1" s="10"/>
    <row r="78" ht="31.5" customFormat="1" customHeight="1" s="10"/>
    <row r="79" ht="31.5" customFormat="1" customHeight="1" s="10"/>
    <row r="80" ht="31.5" customFormat="1" customHeight="1" s="10"/>
    <row r="81" ht="31.5" customFormat="1" customHeight="1" s="10"/>
    <row r="82" ht="31.5" customFormat="1" customHeight="1" s="10"/>
    <row r="83" ht="31.5" customFormat="1" customHeight="1" s="10"/>
    <row r="84" ht="33" customFormat="1" customHeight="1" s="10"/>
    <row r="85" ht="33" customFormat="1" customHeight="1" s="10"/>
    <row r="86" ht="36.75" customFormat="1" customHeight="1" s="10"/>
    <row r="87" customFormat="1" s="10"/>
    <row r="88" customFormat="1" s="10"/>
    <row r="89" customFormat="1" s="10"/>
    <row r="90" customFormat="1" s="10"/>
    <row r="91" ht="30.75" customFormat="1" customHeight="1" s="10"/>
    <row r="92" ht="30.75" customFormat="1" customHeight="1" s="10"/>
    <row r="93" ht="30.75" customFormat="1" customHeight="1" s="10"/>
    <row r="94" ht="96" customFormat="1" customHeight="1" s="10"/>
    <row r="95" customFormat="1" s="10"/>
    <row r="96" customFormat="1" s="12"/>
    <row r="97" customFormat="1" s="12"/>
    <row r="98" customFormat="1" s="12"/>
    <row r="99" customFormat="1" s="12"/>
    <row r="100" customFormat="1" s="12"/>
    <row r="101" customFormat="1" s="12"/>
    <row r="102" customFormat="1" s="12"/>
    <row r="103" customFormat="1" s="12"/>
    <row r="104" customFormat="1" s="12"/>
    <row r="105" customFormat="1" s="12"/>
    <row r="106" customFormat="1" s="12"/>
    <row r="107" customFormat="1" s="12"/>
    <row r="108" customFormat="1" s="12"/>
    <row r="109" ht="34.5" customFormat="1" customHeight="1" s="12"/>
    <row r="110" ht="34.5" customFormat="1" customHeight="1" s="12"/>
    <row r="111" ht="34.5" customFormat="1" customHeight="1" s="12"/>
    <row r="112" customFormat="1" s="10"/>
    <row r="113" customFormat="1" s="10"/>
    <row r="114" customFormat="1" s="10"/>
    <row r="115" customFormat="1" s="10"/>
    <row r="116" customFormat="1" s="10"/>
    <row r="117" customFormat="1" s="10"/>
    <row r="118" customFormat="1" s="10"/>
    <row r="119" customFormat="1" s="10"/>
    <row r="120" customFormat="1" s="10"/>
    <row r="121" customFormat="1" s="10"/>
    <row r="122" customFormat="1" s="10"/>
    <row r="123" customFormat="1" s="10"/>
    <row r="124" customFormat="1" s="10"/>
    <row r="125" customFormat="1" s="10"/>
    <row r="126" customFormat="1" s="10"/>
    <row r="127" customFormat="1" s="10"/>
    <row r="128" customFormat="1" s="10"/>
    <row r="129" customFormat="1" s="10"/>
    <row r="130" customFormat="1" s="10"/>
    <row r="131" customFormat="1" s="10"/>
    <row r="132" customFormat="1" s="10"/>
    <row r="133" customFormat="1" s="10"/>
    <row r="134" customFormat="1" s="10"/>
    <row r="135" customFormat="1" s="10"/>
    <row r="136" customFormat="1" s="10"/>
    <row r="137" customFormat="1" s="10"/>
    <row r="138" customFormat="1" s="10"/>
    <row r="139" customFormat="1" s="10"/>
    <row r="140" customFormat="1" s="10"/>
    <row r="141" customFormat="1" s="10"/>
    <row r="142" customFormat="1" s="12"/>
    <row r="143" customFormat="1" s="12"/>
    <row r="144" customFormat="1" s="12"/>
    <row r="145" customFormat="1" s="12"/>
    <row r="146" customFormat="1" s="12"/>
    <row r="147" customFormat="1" s="12"/>
    <row r="148" customFormat="1" s="12"/>
    <row r="149" customFormat="1" s="12"/>
    <row r="150" customFormat="1" s="12"/>
    <row r="151" customFormat="1" s="12"/>
    <row r="152" customFormat="1" s="12"/>
    <row r="153" customFormat="1" s="12"/>
    <row r="154" customFormat="1" s="12"/>
    <row r="155" customFormat="1" s="12"/>
    <row r="156" customFormat="1" s="12"/>
    <row r="157" customFormat="1" s="12"/>
    <row r="158" customFormat="1" s="12"/>
    <row r="159" customFormat="1" s="12"/>
    <row r="160" customFormat="1" s="12"/>
    <row r="161" customFormat="1" s="12"/>
    <row r="162" customFormat="1" s="12"/>
    <row r="163" customFormat="1" s="12"/>
    <row r="164" customFormat="1" s="12"/>
    <row r="165" customFormat="1" s="12"/>
    <row r="166" customFormat="1" s="10"/>
    <row r="167" customFormat="1" s="10"/>
    <row r="168" customFormat="1" s="10"/>
    <row r="169" customFormat="1" s="10"/>
    <row r="170" customFormat="1" s="10"/>
    <row r="171" customFormat="1" s="10"/>
    <row r="172" customFormat="1" s="10"/>
    <row r="173" customFormat="1" s="10"/>
    <row r="174" customFormat="1" s="10"/>
    <row r="175" customFormat="1" s="10"/>
    <row r="176" customFormat="1" s="10"/>
    <row r="177" customFormat="1" s="10"/>
    <row r="178" customFormat="1" s="10"/>
    <row r="179" customFormat="1" s="10"/>
    <row r="180" customFormat="1" s="10"/>
    <row r="181" customFormat="1" s="10"/>
    <row r="182" customFormat="1" s="10"/>
    <row r="183" customFormat="1" s="10"/>
    <row r="184" customFormat="1" s="10"/>
    <row r="185" customFormat="1" s="10"/>
    <row r="186" customFormat="1" s="10"/>
    <row r="187" customFormat="1" s="10"/>
    <row r="188" customFormat="1" s="10"/>
    <row r="189" customFormat="1" s="10"/>
    <row r="190" customFormat="1" s="10"/>
    <row r="191" customFormat="1" s="10"/>
    <row r="192" customFormat="1" s="10"/>
    <row r="193" customFormat="1" s="10"/>
    <row r="194" customFormat="1" s="10"/>
    <row r="195" customFormat="1" s="10"/>
    <row r="196" customFormat="1" s="12"/>
    <row r="197" customFormat="1" s="12"/>
    <row r="198" customFormat="1" s="12"/>
    <row r="199" customFormat="1" s="12"/>
    <row r="200" customFormat="1" s="12"/>
    <row r="201" customFormat="1" s="12"/>
    <row r="202" customFormat="1" s="10"/>
    <row r="203" customFormat="1" s="12"/>
    <row r="204" customFormat="1" s="12"/>
    <row r="205" customFormat="1" s="12"/>
    <row r="206" customFormat="1" s="12"/>
    <row r="207" customFormat="1" s="12"/>
    <row r="208" customFormat="1" s="12"/>
    <row r="209" customFormat="1" s="12"/>
    <row r="210" customFormat="1" s="12"/>
    <row r="211" customFormat="1" s="12"/>
    <row r="212" customFormat="1" s="12"/>
    <row r="213" customFormat="1" s="12"/>
    <row r="214" customFormat="1" s="12"/>
    <row r="215" customFormat="1" s="12"/>
    <row r="216" customFormat="1" s="12"/>
    <row r="217" customFormat="1" s="12"/>
    <row r="218" customFormat="1" s="12"/>
    <row r="219" customFormat="1" s="12"/>
    <row r="220" customFormat="1" s="12"/>
    <row r="221" customFormat="1" s="12"/>
    <row r="222" customFormat="1" s="12"/>
    <row r="223" customFormat="1" s="10"/>
    <row r="224" customFormat="1" s="10"/>
    <row r="225" customFormat="1" s="12"/>
    <row r="226" customFormat="1" s="10"/>
    <row r="227" customFormat="1" s="10"/>
    <row r="228" customFormat="1" s="10"/>
    <row r="229" customFormat="1" s="10"/>
    <row r="230" customFormat="1" s="10"/>
    <row r="231" customFormat="1" s="10"/>
    <row r="232" customFormat="1" s="10"/>
    <row r="233" customFormat="1" s="10"/>
    <row r="234" customFormat="1" s="10"/>
    <row r="235" customFormat="1" s="10"/>
    <row r="236" customFormat="1" s="12"/>
    <row r="237" customFormat="1" s="10"/>
    <row r="238" customFormat="1" s="10"/>
    <row r="239" customFormat="1" s="12"/>
    <row r="240" customFormat="1" s="10"/>
    <row r="241" customFormat="1" s="10"/>
    <row r="242" customFormat="1" s="10"/>
    <row r="243" customFormat="1" s="10"/>
    <row r="244" customFormat="1" s="10"/>
    <row r="245" customFormat="1" s="10"/>
    <row r="246" customFormat="1" s="10"/>
    <row r="247" customFormat="1" s="10"/>
    <row r="248" customFormat="1" s="10"/>
    <row r="249" customFormat="1" s="12"/>
    <row r="250" customFormat="1" s="12"/>
    <row r="251" customFormat="1" s="12"/>
    <row r="252" customFormat="1" s="12"/>
    <row r="253" customFormat="1" s="12"/>
    <row r="254" customFormat="1" s="12"/>
    <row r="255" customFormat="1" s="12"/>
    <row r="256" customFormat="1" s="12"/>
    <row r="257" customFormat="1" s="12"/>
    <row r="258" customFormat="1" s="12"/>
    <row r="259" customFormat="1" s="12"/>
    <row r="260" customFormat="1" s="12"/>
    <row r="261" customFormat="1" s="12"/>
    <row r="262" customFormat="1" s="12"/>
    <row r="263" customFormat="1" s="12"/>
    <row r="264" customFormat="1" s="12"/>
    <row r="265" customFormat="1" s="12"/>
    <row r="266" customFormat="1" s="12"/>
    <row r="267" customFormat="1" s="12"/>
    <row r="268" customFormat="1" s="12"/>
    <row r="269" customFormat="1" s="12"/>
    <row r="270" customFormat="1" s="12"/>
    <row r="271" customFormat="1" s="12"/>
    <row r="272" customFormat="1" s="12"/>
    <row r="273" customFormat="1" s="12"/>
    <row r="274" customFormat="1" s="12"/>
    <row r="275" customFormat="1" s="12"/>
    <row r="276" customFormat="1" s="12"/>
    <row r="277" customFormat="1" s="12"/>
    <row r="278" customFormat="1" s="12"/>
    <row r="279" ht="48.75" customFormat="1" customHeight="1" s="12"/>
    <row r="280" customFormat="1" s="12"/>
    <row r="281" ht="36.75" customFormat="1" customHeight="1" s="12"/>
    <row r="282" customFormat="1" s="12"/>
    <row r="283" customFormat="1" s="12"/>
    <row r="284" customFormat="1" s="12"/>
    <row r="285" customFormat="1" s="12"/>
    <row r="286" customFormat="1" s="12"/>
    <row r="287" customFormat="1" s="10"/>
    <row r="288" ht="48" customFormat="1" customHeight="1" s="10"/>
    <row r="289" customFormat="1" s="10"/>
    <row r="290" ht="50.25" customFormat="1" customHeight="1" s="10"/>
    <row r="291" customFormat="1" s="11"/>
    <row r="292" customFormat="1" s="11"/>
    <row r="293" customFormat="1" s="11"/>
    <row r="294" customFormat="1" s="11"/>
    <row r="295" customFormat="1" s="11"/>
    <row r="296" customFormat="1" s="10"/>
    <row r="297" customFormat="1" s="10"/>
    <row r="298" customFormat="1" s="10"/>
    <row r="299" customFormat="1" s="10"/>
    <row r="300" customFormat="1" s="10"/>
    <row r="301" customFormat="1" s="10"/>
    <row r="302" customFormat="1" s="10"/>
    <row r="303" customFormat="1" s="10"/>
    <row r="304" customFormat="1" s="10"/>
    <row r="305" ht="31.5" customFormat="1" customHeight="1" s="10"/>
    <row r="306" ht="31.5" customFormat="1" customHeight="1" s="10"/>
    <row r="307" ht="31.5" customFormat="1" customHeight="1" s="10"/>
    <row r="308" customFormat="1" s="10"/>
    <row r="309" customFormat="1" s="10"/>
    <row r="310" customFormat="1" s="10"/>
    <row r="311" customFormat="1" s="10"/>
    <row r="312" customFormat="1" s="10"/>
    <row r="313" customFormat="1" s="10"/>
    <row r="314" customFormat="1" s="10"/>
    <row r="315" customFormat="1" s="10"/>
    <row r="316" customFormat="1" s="10"/>
    <row r="317" customFormat="1" s="10"/>
    <row r="318" customFormat="1" s="10"/>
    <row r="319" customFormat="1" s="10"/>
    <row r="320" customFormat="1" s="10"/>
    <row r="321" customFormat="1" s="10"/>
    <row r="322" customFormat="1" s="10"/>
    <row r="323" customFormat="1" s="10"/>
    <row r="324" ht="46.5" customFormat="1" customHeight="1" s="10"/>
    <row r="325" customFormat="1" s="10"/>
    <row r="326" customFormat="1" s="12"/>
    <row r="327" customFormat="1" s="12"/>
    <row r="328" customFormat="1" s="12"/>
    <row r="329" customFormat="1" s="12"/>
    <row r="330" customFormat="1" s="12"/>
    <row r="331" customFormat="1" s="12"/>
    <row r="332" customFormat="1" s="12"/>
    <row r="333" customFormat="1" s="12"/>
    <row r="334" customFormat="1" s="12"/>
    <row r="335" customFormat="1" s="10"/>
    <row r="336" customFormat="1" s="10"/>
    <row r="337" customFormat="1" s="10"/>
    <row r="338" customFormat="1" s="10"/>
    <row r="339" customFormat="1" s="10"/>
    <row r="340" customFormat="1" s="10"/>
    <row r="341" customFormat="1" s="10"/>
    <row r="342" customFormat="1" s="10"/>
    <row r="343" customFormat="1" s="10"/>
    <row r="344" customFormat="1" s="10"/>
    <row r="345" customFormat="1" s="10"/>
    <row r="346" ht="47.25" customFormat="1" customHeight="1" s="10"/>
    <row r="347" customFormat="1" s="10"/>
    <row r="348" customFormat="1" s="10"/>
    <row r="349" customFormat="1" s="10"/>
    <row r="350" customFormat="1" s="10"/>
    <row r="351" customFormat="1" s="10"/>
    <row r="352" customFormat="1" s="10"/>
    <row r="353" customFormat="1" s="12"/>
    <row r="354" customFormat="1" s="12"/>
    <row r="355" customFormat="1" s="12"/>
    <row r="356" customFormat="1" s="12"/>
    <row r="357" customFormat="1" s="12"/>
    <row r="358" customFormat="1" s="12"/>
    <row r="359" customFormat="1" s="12"/>
    <row r="360" customFormat="1" s="12"/>
    <row r="361" customFormat="1" s="12"/>
    <row r="362" customFormat="1" s="12"/>
    <row r="363" customFormat="1" s="12"/>
    <row r="364" customFormat="1" s="12"/>
    <row r="365" customFormat="1" s="12"/>
    <row r="366" customFormat="1" s="12"/>
    <row r="367" customFormat="1" s="12"/>
    <row r="368" customFormat="1" s="12"/>
    <row r="369" customFormat="1" s="12"/>
    <row r="370" customFormat="1" s="12"/>
    <row r="371" customFormat="1" s="12"/>
    <row r="372" customFormat="1" s="12"/>
    <row r="373" ht="48.75" customFormat="1" customHeight="1" s="12"/>
    <row r="374" ht="93.75" customFormat="1" customHeight="1" s="12"/>
    <row r="375" customFormat="1" s="12"/>
    <row r="376" customFormat="1" s="12"/>
    <row r="377" customFormat="1" s="12"/>
    <row r="378" customFormat="1" s="12"/>
    <row r="379" customFormat="1" s="12"/>
    <row r="380" customFormat="1" s="12"/>
    <row r="381" customFormat="1" s="12"/>
    <row r="382" customFormat="1" s="12"/>
    <row r="383" ht="46.5" customFormat="1" customHeight="1" s="12"/>
    <row r="384" customFormat="1" s="12"/>
    <row r="385" customFormat="1" s="12"/>
    <row r="386" customFormat="1" s="12"/>
    <row r="387" customFormat="1" s="12"/>
    <row r="388" customFormat="1" s="12"/>
    <row r="389" customFormat="1" s="12"/>
    <row r="390" customFormat="1" s="12"/>
    <row r="391" customFormat="1" s="11"/>
    <row r="392" customFormat="1" s="11"/>
    <row r="393" customFormat="1" s="12"/>
    <row r="394" customFormat="1" s="12"/>
    <row r="395" customFormat="1" s="12"/>
    <row r="396" customFormat="1" s="12"/>
    <row r="397" customFormat="1" s="12"/>
    <row r="398" customFormat="1" s="12"/>
    <row r="399" customFormat="1" s="12"/>
    <row r="400" customFormat="1" s="12"/>
    <row r="401" customFormat="1" s="12"/>
    <row r="402" customFormat="1" s="12"/>
    <row r="403" customFormat="1" s="12"/>
    <row r="404" customFormat="1" s="12"/>
    <row r="405" customFormat="1" s="12"/>
    <row r="406" customFormat="1" s="12"/>
    <row r="407" customFormat="1" s="12"/>
    <row r="408" ht="83.25" customFormat="1" customHeight="1" s="12"/>
    <row r="409" customFormat="1" s="12"/>
    <row r="410" customFormat="1" s="12"/>
    <row r="411" customFormat="1" s="12"/>
    <row r="412" customFormat="1" s="12"/>
    <row r="413" customFormat="1" s="12"/>
    <row r="414" customFormat="1" s="12"/>
    <row r="415" customFormat="1" s="12"/>
    <row r="416" customFormat="1" s="12"/>
    <row r="417" customFormat="1" s="12"/>
    <row r="418" customFormat="1" s="12"/>
    <row r="419" customFormat="1" s="12"/>
    <row r="420" customFormat="1" s="12"/>
    <row r="421" customFormat="1" s="10"/>
    <row r="422" customFormat="1" s="10"/>
    <row r="423" customFormat="1" s="10"/>
    <row r="424" customFormat="1" s="10"/>
    <row r="425" customFormat="1" s="12"/>
    <row r="426" customFormat="1" s="12"/>
    <row r="427" customFormat="1" s="12"/>
    <row r="428" customFormat="1" s="10"/>
    <row r="429" customFormat="1" s="10"/>
    <row r="430" customFormat="1" s="10"/>
    <row r="431" customFormat="1" s="10"/>
    <row r="432" ht="54.75" customFormat="1" customHeight="1" s="11"/>
    <row r="433" customFormat="1" s="11"/>
    <row r="434" customFormat="1" s="11"/>
    <row r="435" customFormat="1" s="11"/>
    <row r="436" customFormat="1" s="11"/>
    <row r="437" customFormat="1" s="11"/>
    <row r="438" customFormat="1" s="11"/>
    <row r="439" customFormat="1" s="11"/>
    <row r="440" customFormat="1" s="11"/>
    <row r="441" customFormat="1" s="11"/>
    <row r="442" customFormat="1" s="11"/>
    <row r="443" customFormat="1" s="11"/>
    <row r="444" ht="145.5" customFormat="1" customHeight="1" s="11"/>
    <row r="445" customFormat="1" s="11"/>
    <row r="446" customFormat="1" s="10"/>
    <row r="447" customFormat="1" s="10"/>
    <row r="448" customFormat="1" s="10"/>
    <row r="449" customFormat="1" s="10"/>
    <row r="450" customFormat="1" s="12"/>
    <row r="451" customFormat="1" s="12"/>
    <row r="452" customFormat="1" s="12"/>
    <row r="453" customFormat="1" s="12"/>
    <row r="454" customFormat="1" s="10"/>
    <row r="455" ht="46.5" customFormat="1" customHeight="1" s="12"/>
    <row r="456" customFormat="1" s="12"/>
    <row r="457" customFormat="1" s="11"/>
    <row r="458" customFormat="1" s="11"/>
    <row r="459" customFormat="1" s="11"/>
    <row r="460" customFormat="1" s="11"/>
    <row r="461" customFormat="1" s="11"/>
    <row r="462" customFormat="1" s="11"/>
    <row r="463" customFormat="1" s="11"/>
    <row r="464" customFormat="1" s="11"/>
    <row r="465" customFormat="1" s="11"/>
    <row r="466" ht="48.75" customFormat="1" customHeight="1" s="11"/>
    <row r="467" customFormat="1" s="11"/>
    <row r="468" customFormat="1" s="11"/>
    <row r="469" customFormat="1" s="11"/>
    <row r="470" customFormat="1" s="11"/>
    <row r="471" customFormat="1" s="11"/>
    <row r="472" customFormat="1" s="11"/>
    <row r="473" ht="63" customFormat="1" customHeight="1" s="11"/>
    <row r="474" customFormat="1" s="11"/>
    <row r="475" customFormat="1" s="11"/>
    <row r="476" customFormat="1" s="11"/>
    <row r="477" customFormat="1" s="11"/>
    <row r="478" customFormat="1" s="11"/>
    <row r="479" customFormat="1" s="11"/>
    <row r="480" customFormat="1" s="11"/>
    <row r="481" customFormat="1" s="11"/>
    <row r="482" customFormat="1" s="11"/>
    <row r="483" customFormat="1" s="11"/>
    <row r="484" customFormat="1" s="11"/>
    <row r="485" customFormat="1" s="11"/>
    <row r="486" customFormat="1" s="11"/>
    <row r="487" customFormat="1" s="11"/>
    <row r="488" customFormat="1" s="11"/>
    <row r="489" customFormat="1" s="11"/>
    <row r="490" customFormat="1" s="11"/>
    <row r="491" customFormat="1" s="11"/>
    <row r="492" customFormat="1" s="11"/>
    <row r="493" customFormat="1" s="11"/>
    <row r="494" customFormat="1" s="11"/>
    <row r="495" customFormat="1" s="11"/>
    <row r="496" customFormat="1" s="11"/>
    <row r="497" customFormat="1" s="11"/>
    <row r="498" customFormat="1" s="11"/>
    <row r="499" customFormat="1" s="12"/>
    <row r="500" customFormat="1" s="12"/>
    <row r="501" customFormat="1" s="12"/>
    <row r="502" customFormat="1" s="12"/>
    <row r="503" customFormat="1" s="12"/>
    <row r="504" customFormat="1" s="12"/>
    <row r="505" customFormat="1" s="12"/>
    <row r="506" customFormat="1" s="12"/>
    <row r="507" ht="62.25" customFormat="1" customHeight="1" s="12"/>
    <row r="508" ht="47.25" customFormat="1" customHeight="1" s="12"/>
    <row r="509" customFormat="1" s="12"/>
    <row r="510" customFormat="1" s="12"/>
    <row r="511" customFormat="1" s="12"/>
    <row r="512" customFormat="1" s="12"/>
    <row r="513" customFormat="1" s="12"/>
    <row r="514" ht="80.25" customFormat="1" customHeight="1" s="12"/>
    <row r="515" customFormat="1" s="12"/>
    <row r="516" customFormat="1" s="12"/>
    <row r="517" customFormat="1" s="12"/>
    <row r="518" ht="50.25" customFormat="1" customHeight="1" s="12"/>
    <row r="519" customFormat="1" s="12"/>
    <row r="520" customFormat="1" s="12"/>
    <row r="521" customFormat="1" s="12"/>
    <row r="522" customFormat="1" s="12"/>
    <row r="523" customFormat="1" s="12"/>
    <row r="524" customFormat="1" s="12"/>
    <row r="525" customFormat="1" s="12"/>
    <row r="526" customFormat="1" s="12"/>
    <row r="527" customFormat="1" s="12"/>
    <row r="528" customFormat="1" s="12"/>
    <row r="529" customFormat="1" s="12"/>
    <row r="530" customFormat="1" s="12"/>
    <row r="531" ht="48.75" customFormat="1" customHeight="1" s="12"/>
    <row r="532" customFormat="1" s="12"/>
    <row r="533" customFormat="1" s="12"/>
    <row r="534" customFormat="1" s="12"/>
    <row r="535" customFormat="1" s="12"/>
    <row r="536" ht="33" customFormat="1" customHeight="1" s="11"/>
    <row r="537" ht="33" customFormat="1" customHeight="1" s="11"/>
    <row r="538" ht="54" customFormat="1" customHeight="1" s="11"/>
    <row r="539" ht="33" customFormat="1" customHeight="1" s="11"/>
    <row r="540" ht="80.25" customFormat="1" customHeight="1" s="11"/>
    <row r="541" ht="33" customFormat="1" customHeight="1" s="11"/>
    <row r="542" ht="33" customFormat="1" customHeight="1" s="11"/>
    <row r="543" customFormat="1" s="11"/>
    <row r="544" customFormat="1" s="11"/>
    <row r="545" customFormat="1" s="11"/>
    <row r="546" customFormat="1" s="11"/>
    <row r="547" ht="22.5" customFormat="1" customHeight="1" s="11"/>
    <row r="548" ht="37.5" customFormat="1" customHeight="1" s="11"/>
    <row r="549" ht="36" customFormat="1" customHeight="1" s="11"/>
    <row r="550" ht="81" customFormat="1" customHeight="1" s="11"/>
    <row r="551" customFormat="1" s="11"/>
    <row r="552" customFormat="1" s="11"/>
    <row r="553" customFormat="1" s="11"/>
    <row r="554" customFormat="1" s="11"/>
    <row r="555" ht="33" customFormat="1" customHeight="1" s="11"/>
    <row r="556" ht="33" customFormat="1" customHeight="1" s="11"/>
    <row r="557" ht="55.5" customFormat="1" customHeight="1" s="11"/>
    <row r="558" ht="103.5" customFormat="1" customHeight="1" s="11"/>
    <row r="559" ht="55.5" customFormat="1" customHeight="1" s="18"/>
    <row r="560" customFormat="1" s="11"/>
    <row r="561" customFormat="1" s="11"/>
    <row r="562" customFormat="1" s="11"/>
    <row r="563" customFormat="1" s="11"/>
    <row r="564" customFormat="1" s="11"/>
    <row r="565" customFormat="1" s="11"/>
    <row r="566" customFormat="1" s="11"/>
    <row r="567" ht="41.25" customFormat="1" customHeight="1" s="12"/>
    <row r="568" ht="33" customFormat="1" customHeight="1" s="11"/>
    <row r="569" customFormat="1" s="11"/>
    <row r="570" ht="33" customFormat="1" customHeight="1" s="11"/>
    <row r="571" customFormat="1" s="11"/>
    <row r="572" ht="33" customFormat="1" customHeight="1" s="11"/>
    <row r="573" customFormat="1" s="12"/>
    <row r="574" customFormat="1" s="11"/>
    <row r="575" customFormat="1" s="11"/>
    <row r="576" customFormat="1" s="11"/>
    <row r="577" customFormat="1" s="11"/>
    <row r="578" ht="52.5" customFormat="1" customHeight="1" s="11"/>
    <row r="579" customFormat="1" s="11"/>
    <row r="580" customFormat="1" s="11"/>
    <row r="581" customFormat="1" s="11"/>
    <row r="582" customFormat="1" s="11"/>
    <row r="583" customFormat="1" s="11"/>
    <row r="584" ht="61.5" customFormat="1" customHeight="1" s="12"/>
    <row r="585" ht="61.5" customFormat="1" customHeight="1" s="12"/>
    <row r="586" ht="34.5" customFormat="1" customHeight="1" s="12"/>
    <row r="587" ht="65.25" customFormat="1" customHeight="1" s="12"/>
    <row r="588" ht="61.5" customFormat="1" customHeight="1" s="11"/>
    <row r="589" ht="71.25" customFormat="1" customHeight="1" s="11"/>
    <row r="590" ht="69.75" customFormat="1" customHeight="1" s="11"/>
    <row r="591" ht="54" customFormat="1" customHeight="1" s="11"/>
    <row r="592" customFormat="1" s="12"/>
    <row r="593" customFormat="1" s="12"/>
    <row r="594" ht="56.25" customFormat="1" customHeight="1" s="11"/>
    <row r="595" ht="60.75" customFormat="1" customHeight="1" s="11"/>
    <row r="596" ht="39" customFormat="1" customHeight="1" s="11"/>
    <row r="597" ht="57" customFormat="1" customHeight="1" s="11"/>
    <row r="598" ht="60" customFormat="1" customHeight="1" s="11"/>
    <row r="599" customFormat="1" s="11"/>
    <row r="600" customFormat="1" s="11"/>
    <row r="601" ht="68.25" customFormat="1" customHeight="1" s="11"/>
    <row r="602" ht="45" customFormat="1" customHeight="1" s="12"/>
    <row r="603" customFormat="1" s="12"/>
    <row r="604" ht="99" customFormat="1" customHeight="1" s="11"/>
    <row r="605" customFormat="1" s="11"/>
    <row r="606" customFormat="1" s="11"/>
    <row r="607" customFormat="1" s="11"/>
    <row r="608" customFormat="1" s="11"/>
    <row r="609" customFormat="1" s="11"/>
    <row r="610" customFormat="1" s="11"/>
    <row r="611" customFormat="1" s="11"/>
    <row r="612" customFormat="1" s="11"/>
    <row r="613" customFormat="1" s="11"/>
    <row r="614" customFormat="1" s="11"/>
    <row r="615" customFormat="1" s="12"/>
    <row r="616" ht="123.75" customFormat="1" customHeight="1" s="11"/>
    <row r="617" ht="56.25" customFormat="1" customHeight="1" s="12"/>
    <row r="618" ht="42" customFormat="1" customHeight="1" s="12"/>
    <row r="619" ht="66" customFormat="1" customHeight="1" s="11"/>
    <row r="620" ht="62.25" customFormat="1" customHeight="1" s="11"/>
    <row r="621" customFormat="1" s="12"/>
    <row r="622" customFormat="1" s="11"/>
    <row r="623" customFormat="1" s="11"/>
    <row r="624" customFormat="1" s="11"/>
    <row r="625" ht="58.5" customFormat="1" customHeight="1" s="11"/>
    <row r="626" customFormat="1" s="11"/>
    <row r="627" customFormat="1" s="11"/>
    <row r="628" customFormat="1" s="11"/>
    <row r="629" ht="45.75" customFormat="1" customHeight="1" s="11"/>
    <row r="630" ht="48" customFormat="1" customHeight="1" s="11"/>
    <row r="631" ht="48" customFormat="1" customHeight="1" s="11"/>
    <row r="632" customFormat="1" s="11"/>
    <row r="633" customFormat="1" s="11"/>
    <row r="634" customFormat="1" s="11"/>
    <row r="635" customFormat="1" s="11"/>
    <row r="636" ht="36.75" customFormat="1" customHeight="1" s="12"/>
    <row r="637" customFormat="1" s="11"/>
    <row r="638" customFormat="1" s="11"/>
    <row r="639" customFormat="1" s="11"/>
    <row r="640" ht="43.5" customFormat="1" customHeight="1" s="11"/>
    <row r="641" customFormat="1" s="11"/>
    <row r="642" customFormat="1" s="11"/>
    <row r="643" customFormat="1" s="11"/>
    <row r="644" customFormat="1" s="11"/>
    <row r="645" ht="39" customFormat="1" customHeight="1" s="11"/>
    <row r="646" ht="39" customFormat="1" customHeight="1" s="11"/>
    <row r="647" customFormat="1" s="11"/>
    <row r="648" ht="32.25" customFormat="1" customHeight="1" s="11"/>
    <row r="649" customFormat="1" s="11"/>
    <row r="650" ht="45" customFormat="1" customHeight="1" s="11"/>
    <row r="651" customFormat="1" s="11"/>
    <row r="652" ht="51.75" customFormat="1" customHeight="1" s="11"/>
    <row r="653" ht="49.5" customFormat="1" customHeight="1" s="11"/>
    <row r="654" ht="30.75" customFormat="1" customHeight="1" s="11"/>
    <row r="655" ht="47.25" customFormat="1" customHeight="1" s="11"/>
    <row r="656" ht="51" customFormat="1" customHeight="1" s="11"/>
    <row r="657" ht="31.5" customFormat="1" customHeight="1" s="11"/>
    <row r="658" ht="96" customFormat="1" customHeight="1" s="11"/>
    <row r="659" ht="40.5" customFormat="1" customHeight="1" s="11"/>
    <row r="660" ht="97.5" customFormat="1" customHeight="1" s="11"/>
    <row r="661" ht="49.5" customFormat="1" customHeight="1" s="11"/>
    <row r="662" ht="53.25" customFormat="1" customHeight="1" s="11"/>
    <row r="663" ht="62.25" customFormat="1" customHeight="1" s="11"/>
    <row r="664" ht="36" customFormat="1" customHeight="1" s="11"/>
    <row r="665" ht="46.5" customFormat="1" customHeight="1" s="11"/>
    <row r="666" ht="87.75" customFormat="1" customHeight="1" s="11"/>
    <row r="667" ht="46.5" customFormat="1" customHeight="1" s="11"/>
    <row r="668" ht="31.5" customFormat="1" customHeight="1" s="11"/>
    <row r="669" customFormat="1" s="11"/>
    <row r="670" customFormat="1" s="11"/>
    <row r="671" customFormat="1" s="11"/>
    <row r="672" ht="66.75" customFormat="1" customHeight="1" s="11"/>
    <row r="673" ht="42.75" customFormat="1" customHeight="1" s="11"/>
    <row r="674" ht="78.75" customFormat="1" customHeight="1" s="11"/>
    <row r="675" customFormat="1" s="11"/>
    <row r="676" ht="59.25" customFormat="1" customHeight="1" s="11"/>
    <row r="677" customFormat="1" s="11"/>
    <row r="678" ht="57.75" customFormat="1" customHeight="1" s="11"/>
    <row r="679" ht="75" customFormat="1" customHeight="1" s="10"/>
    <row r="680" ht="54.75" customFormat="1" customHeight="1" s="11"/>
    <row r="681" ht="110.25" customFormat="1" customHeight="1" s="11"/>
    <row r="682" ht="39" customFormat="1" customHeight="1" s="11"/>
    <row r="683" ht="39" customFormat="1" customHeight="1" s="11"/>
    <row r="684" ht="42" customFormat="1" customHeight="1" s="11"/>
    <row r="685" customFormat="1" s="11"/>
    <row r="686" customFormat="1" s="11"/>
    <row r="687" customFormat="1" s="11"/>
    <row r="688" customFormat="1" s="11"/>
    <row r="689" customFormat="1" s="11"/>
    <row r="690" customFormat="1" s="11"/>
    <row r="691" customFormat="1" s="11"/>
    <row r="692" customFormat="1" s="11"/>
    <row r="693" customFormat="1" s="11"/>
    <row r="694" customFormat="1" s="11"/>
    <row r="695" customFormat="1" s="11"/>
    <row r="696" customFormat="1" s="11"/>
    <row r="697" customFormat="1" s="11"/>
    <row r="698" customFormat="1" s="11"/>
    <row r="699" customFormat="1" s="11"/>
    <row r="700" customFormat="1" s="11"/>
    <row r="701" customFormat="1" s="11"/>
    <row r="702" customFormat="1" s="11"/>
    <row r="703" customFormat="1" s="11"/>
    <row r="704" customFormat="1" s="11"/>
    <row r="705" customFormat="1" s="11"/>
    <row r="706" customFormat="1" s="11"/>
    <row r="707" customFormat="1" s="11"/>
    <row r="708" customFormat="1" s="11"/>
    <row r="709" customFormat="1" s="11"/>
    <row r="710" customFormat="1" s="11"/>
    <row r="711" customFormat="1" s="11"/>
    <row r="712" customFormat="1" s="11"/>
    <row r="713" customFormat="1" s="11"/>
    <row r="714" customFormat="1" s="11"/>
    <row r="715" customFormat="1" s="11"/>
    <row r="716" customFormat="1" s="11"/>
    <row r="717" ht="36.75" customFormat="1" customHeight="1" s="11"/>
    <row r="718" customFormat="1" s="11"/>
    <row r="719" customFormat="1" s="11"/>
    <row r="720" customFormat="1" s="11"/>
    <row r="721" customFormat="1" s="11"/>
    <row r="722" customFormat="1" s="11"/>
    <row r="723" customFormat="1" s="11"/>
    <row r="724" customFormat="1" s="11"/>
    <row r="725" customFormat="1" s="11"/>
    <row r="726" customFormat="1" s="11"/>
    <row r="727" customFormat="1" s="11"/>
    <row r="728" customFormat="1" s="11"/>
    <row r="729" customFormat="1" s="11"/>
    <row r="730" customFormat="1" s="11"/>
    <row r="731" customFormat="1" s="11"/>
    <row r="732" customFormat="1" s="11"/>
    <row r="733" customFormat="1" s="11"/>
    <row r="734" customFormat="1" s="11"/>
    <row r="735" customFormat="1" s="11"/>
    <row r="736" customFormat="1" s="11"/>
    <row r="737" customFormat="1" s="11"/>
    <row r="738" customFormat="1" s="11"/>
    <row r="739" customFormat="1" s="11"/>
    <row r="740" customFormat="1" s="11"/>
    <row r="741" customFormat="1" s="11"/>
    <row r="742" customFormat="1" s="11"/>
    <row r="743" customFormat="1" s="11"/>
    <row r="744" customFormat="1" s="11"/>
    <row r="745" customFormat="1" s="11"/>
    <row r="746" customFormat="1" s="11"/>
    <row r="747" customFormat="1" s="11"/>
    <row r="748" customFormat="1" s="11"/>
    <row r="749" customFormat="1" s="11"/>
    <row r="750" customFormat="1" s="11"/>
    <row r="751" customFormat="1" s="11"/>
    <row r="752" customFormat="1" s="11"/>
    <row r="753" customFormat="1" s="11"/>
    <row r="754" customFormat="1" s="11"/>
    <row r="755" customFormat="1" s="11"/>
    <row r="756" customFormat="1" s="11"/>
    <row r="757" customFormat="1" s="11"/>
    <row r="758" customFormat="1" s="11"/>
    <row r="759" customFormat="1" s="11"/>
    <row r="760" customFormat="1" s="11"/>
    <row r="761" customFormat="1" s="11"/>
    <row r="762" customFormat="1" s="11"/>
    <row r="763" customFormat="1" s="11"/>
    <row r="764" customFormat="1" s="11"/>
    <row r="765" customFormat="1" s="11"/>
    <row r="766" customFormat="1" s="11"/>
    <row r="767" customFormat="1" s="11"/>
    <row r="768" customFormat="1" s="11"/>
    <row r="769" customFormat="1" s="11"/>
    <row r="770" customFormat="1" s="11"/>
    <row r="771" customFormat="1" s="11"/>
    <row r="772" customFormat="1" s="11"/>
    <row r="773" customFormat="1" s="11"/>
    <row r="774" customFormat="1" s="11"/>
    <row r="775" customFormat="1" s="11"/>
    <row r="776" customFormat="1" s="11"/>
    <row r="777" customFormat="1" s="11"/>
    <row r="778" customFormat="1" s="11"/>
    <row r="779" customFormat="1" s="11"/>
    <row r="780" customFormat="1" s="11"/>
    <row r="781" customFormat="1" s="11"/>
    <row r="782" customFormat="1" s="11"/>
    <row r="783" customFormat="1" s="11"/>
    <row r="784" customFormat="1" s="11"/>
    <row r="785" customFormat="1" s="11"/>
    <row r="786" customFormat="1" s="11"/>
    <row r="787" customFormat="1" s="11"/>
    <row r="788" customFormat="1" s="11"/>
    <row r="789" customFormat="1" s="11"/>
    <row r="790" customFormat="1" s="11"/>
    <row r="791" customFormat="1" s="11"/>
    <row r="792" customFormat="1" s="11"/>
    <row r="793" customFormat="1" s="11"/>
    <row r="794" customFormat="1" s="11"/>
    <row r="795" customFormat="1" s="11"/>
    <row r="796" customFormat="1" s="11"/>
    <row r="797" customFormat="1" s="11"/>
    <row r="798" customFormat="1" s="11"/>
    <row r="799" customFormat="1" s="11"/>
    <row r="800" customFormat="1" s="11"/>
    <row r="801" customFormat="1" s="11"/>
    <row r="802" customFormat="1" s="11"/>
    <row r="803" customFormat="1" s="11"/>
    <row r="804" customFormat="1" s="11"/>
    <row r="805" customFormat="1" s="11"/>
    <row r="806" customFormat="1" s="11"/>
    <row r="807" customFormat="1" s="11"/>
    <row r="808" customFormat="1" s="11"/>
    <row r="809" customFormat="1" s="11"/>
    <row r="810" customFormat="1" s="11"/>
    <row r="811" customFormat="1" s="11"/>
    <row r="812" customFormat="1" s="11"/>
    <row r="813" customFormat="1" s="11"/>
    <row r="814" customFormat="1" s="11"/>
    <row r="815" customFormat="1" s="11"/>
    <row r="816" customFormat="1" s="11"/>
    <row r="817" customFormat="1" s="11"/>
    <row r="818" customFormat="1" s="11"/>
    <row r="819" customFormat="1" s="11"/>
    <row r="820" customFormat="1" s="11"/>
    <row r="821" customFormat="1" s="11"/>
    <row r="822" customFormat="1" s="11"/>
    <row r="823" customFormat="1" s="11"/>
    <row r="824" customFormat="1" s="11"/>
    <row r="825" customFormat="1" s="11"/>
    <row r="826" customFormat="1" s="11"/>
    <row r="827" customFormat="1" s="11"/>
    <row r="828" customFormat="1" s="11"/>
    <row r="829" customFormat="1" s="11"/>
    <row r="830" customFormat="1" s="11"/>
    <row r="831" customFormat="1" s="11"/>
    <row r="832" customFormat="1" s="11"/>
    <row r="833" customFormat="1" s="11"/>
    <row r="834" customFormat="1" s="11"/>
    <row r="835" customFormat="1" s="11"/>
    <row r="836" customFormat="1" s="11"/>
    <row r="837" customFormat="1" s="11"/>
    <row r="838" customFormat="1" s="11"/>
    <row r="839" customFormat="1" s="11"/>
    <row r="840" customFormat="1" s="11"/>
    <row r="841" customFormat="1" s="11"/>
    <row r="842" customFormat="1" s="11"/>
    <row r="843" customFormat="1" s="11"/>
    <row r="844" customFormat="1" s="11"/>
    <row r="845" customFormat="1" s="11"/>
    <row r="846" customFormat="1" s="11"/>
    <row r="847" customFormat="1" s="11"/>
    <row r="848" customFormat="1" s="11"/>
    <row r="849" customFormat="1" s="11"/>
    <row r="850" customFormat="1" s="11"/>
    <row r="851" customFormat="1" s="11"/>
    <row r="852" customFormat="1" s="11"/>
    <row r="853" customFormat="1" s="11"/>
    <row r="854" customFormat="1" s="11"/>
    <row r="855" customFormat="1" s="11"/>
    <row r="856" customFormat="1" s="11"/>
    <row r="857" customFormat="1" s="11"/>
    <row r="858" customFormat="1" s="11"/>
    <row r="859" customFormat="1" s="11"/>
    <row r="860" customFormat="1" s="11"/>
    <row r="861" customFormat="1" s="11"/>
    <row r="862" customFormat="1" s="11"/>
    <row r="863" customFormat="1" s="11"/>
    <row r="965" ht="72.75" customHeight="1"/>
    <row r="1033" customFormat="1" s="20"/>
    <row r="1046" customFormat="1" s="20"/>
    <row r="1146" customFormat="1" s="19"/>
    <row r="1300" ht="69.75" customHeight="1"/>
    <row r="1327" customFormat="1" s="2"/>
    <row r="1328" customFormat="1" s="2"/>
    <row r="1329" ht="30" customFormat="1" customHeight="1" s="2"/>
    <row r="1330" ht="30" customFormat="1" customHeight="1" s="2"/>
    <row r="1331" ht="48.75" customFormat="1" customHeight="1" s="2"/>
    <row r="1332" ht="30" customFormat="1" customHeight="1" s="2"/>
    <row r="1337" ht="47.25" customHeight="1"/>
    <row r="1338" customFormat="1" s="2"/>
    <row r="1339" customFormat="1" s="2"/>
    <row r="1340" customFormat="1" s="2"/>
    <row r="1341" ht="87" customFormat="1" customHeight="1" s="2"/>
    <row r="1342" customFormat="1" s="2"/>
    <row r="1343" customFormat="1" s="2"/>
    <row r="1344" customFormat="1" s="2"/>
    <row r="1345" customFormat="1" s="2"/>
    <row r="1346" customFormat="1" s="2"/>
    <row r="1347" customFormat="1" s="2"/>
    <row r="1348" customFormat="1" s="2"/>
    <row r="1349" customFormat="1" s="2"/>
    <row r="1350" customFormat="1" s="2"/>
    <row r="1351" customFormat="1" s="2"/>
    <row r="1352" customFormat="1" s="2"/>
    <row r="1353" customFormat="1" s="2"/>
    <row r="1354" customFormat="1" s="2"/>
    <row r="1355" customFormat="1" s="2"/>
    <row r="1356" customFormat="1" s="2"/>
    <row r="1357" ht="66.75" customFormat="1" customHeight="1" s="2"/>
    <row r="1358" customFormat="1" s="2"/>
    <row r="1359" customFormat="1" s="2"/>
    <row r="1360" customFormat="1" s="2"/>
    <row r="1361" customFormat="1" s="2"/>
    <row r="1362" customFormat="1" s="2"/>
    <row r="1363" customFormat="1" s="2"/>
    <row r="1364" ht="83.25" customFormat="1" customHeight="1" s="2"/>
    <row r="1365" customFormat="1" s="2"/>
    <row r="1366" customFormat="1" s="2"/>
    <row r="1367" ht="30" customFormat="1" customHeight="1" s="2"/>
    <row r="1369" ht="99.75" customFormat="1" customHeight="1" s="2"/>
    <row r="1370" ht="30" customFormat="1" customHeight="1" s="2"/>
    <row r="1371" ht="83.25" customFormat="1" customHeight="1" s="2"/>
    <row r="1372" ht="30" customFormat="1" customHeight="1" s="2"/>
    <row r="1376" customFormat="1" s="2"/>
    <row r="1377" ht="96.75" customFormat="1" customHeight="1" s="2"/>
    <row r="1378" ht="79.5" customFormat="1" customHeight="1" s="2"/>
    <row r="1379" ht="81.75" customFormat="1" customHeight="1" s="2"/>
    <row r="1380" ht="70.5" customFormat="1" customHeight="1" s="2"/>
    <row r="1381" customFormat="1" s="2"/>
    <row r="1382" customFormat="1" s="2"/>
    <row r="1383" customFormat="1" s="2"/>
    <row r="1386" ht="105.75" customFormat="1" customHeight="1" s="2"/>
    <row r="1387" customFormat="1" s="2"/>
    <row r="1388" customFormat="1" s="2"/>
    <row r="1389" customFormat="1" s="2"/>
    <row r="1390" customFormat="1" s="2"/>
    <row r="1391" customFormat="1" s="2"/>
    <row r="1392" customFormat="1" s="2"/>
    <row r="1393" customFormat="1" s="2"/>
    <row r="1395" customFormat="1" s="2"/>
    <row r="1396" customFormat="1" s="2"/>
    <row r="1397" customFormat="1" s="2"/>
    <row r="1398" customFormat="1" s="2"/>
    <row r="1399" customFormat="1" s="2"/>
    <row r="1400" customFormat="1" s="2"/>
    <row r="1401" customFormat="1" s="2"/>
    <row r="1402" customFormat="1" s="2"/>
    <row r="1403" customFormat="1" s="2"/>
    <row r="1404" customFormat="1" s="2"/>
    <row r="1405" customFormat="1" s="2"/>
    <row r="1406" customFormat="1" s="2"/>
    <row r="1407" customFormat="1" s="2"/>
    <row r="1408" customFormat="1" s="2"/>
    <row r="1409" customFormat="1" s="2"/>
    <row r="1410" customFormat="1" s="2"/>
    <row r="1411" customFormat="1" s="2"/>
    <row r="1412" customFormat="1" s="2"/>
    <row r="1413" customFormat="1" s="2"/>
    <row r="1414" customFormat="1" s="2"/>
    <row r="1415" customFormat="1" s="2"/>
    <row r="1416" customFormat="1" s="5"/>
    <row r="1417" customFormat="1" s="2"/>
    <row r="1418" customFormat="1" s="2"/>
    <row r="1419" ht="33" customFormat="1" customHeight="1" s="5"/>
    <row r="1420" customFormat="1" s="2"/>
    <row r="1421" customFormat="1" s="2"/>
    <row r="1422" customFormat="1" s="2"/>
    <row r="1423" customFormat="1" s="2"/>
    <row r="1424" customFormat="1" s="2"/>
    <row r="1425" customFormat="1" s="2"/>
    <row r="1426" customFormat="1" s="2"/>
    <row r="1427" customFormat="1" s="2"/>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2026-10-15T02:36:04Z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