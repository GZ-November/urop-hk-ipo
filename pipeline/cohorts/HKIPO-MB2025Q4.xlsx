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0" yWindow="660" windowWidth="29400" windowHeight="17400" tabRatio="654" firstSheet="0" activeTab="0" autoFilterDateGrouping="1"/>
  </bookViews>
  <sheets>
    <sheet name="NLR" sheetId="1" state="visible" r:id="rId1"/>
  </sheets>
  <definedNames>
    <definedName name="_xlnm.Print_Titles" localSheetId="0">'NLR'!$1:$1</definedName>
  </definedNames>
  <calcPr calcId="0" fullCalcOnLoad="1"/>
</workbook>
</file>

<file path=xl/styles.xml><?xml version="1.0" encoding="utf-8"?>
<styleSheet xmlns="http://schemas.openxmlformats.org/spreadsheetml/2006/main">
  <numFmts count="14">
    <numFmt numFmtId="164" formatCode="0000"/>
    <numFmt numFmtId="165" formatCode="&quot;$&quot;#,##0_);\(&quot;$&quot;#,##0\)"/>
    <numFmt numFmtId="166" formatCode="0.0000"/>
    <numFmt numFmtId="167" formatCode="dd/mm/yy"/>
    <numFmt numFmtId="168" formatCode="_(* #,##0_);_(* \(#,##0\);_(* &quot;-&quot;??_);_(@_)"/>
    <numFmt numFmtId="169" formatCode="_-* #,##0_-;\-* #,##0_-;_-* &quot;-&quot;??_-;_-@_-"/>
    <numFmt numFmtId="170" formatCode="0.0%"/>
    <numFmt numFmtId="171" formatCode="_-* #,##0.00_-;\-* #,##0.00_-;_-* &quot;-&quot;??_-;_-@_-"/>
    <numFmt numFmtId="172" formatCode="_ * #,##0.00_ ;_ * \-#,##0.00_ ;_ * &quot;-&quot;??_ ;_ @_ "/>
    <numFmt numFmtId="173" formatCode="0.####"/>
    <numFmt numFmtId="174" formatCode="0.000"/>
    <numFmt numFmtId="175" formatCode="yyyy-mm-dd"/>
    <numFmt numFmtId="176" formatCode="0.000000"/>
    <numFmt numFmtId="177" formatCode="General_)"/>
  </numFmts>
  <fonts count="25">
    <font>
      <name val="新細明體"/>
      <charset val="136"/>
      <sz val="12"/>
    </font>
    <font>
      <name val="Times New Roman"/>
      <family val="1"/>
      <sz val="10"/>
    </font>
    <font>
      <name val="Arial"/>
      <family val="2"/>
      <sz val="12"/>
    </font>
    <font>
      <name val="Arial"/>
      <family val="2"/>
      <b val="1"/>
      <color indexed="56"/>
      <sz val="12"/>
    </font>
    <font>
      <name val="Arial"/>
      <family val="2"/>
      <i val="1"/>
      <sz val="12"/>
    </font>
    <font>
      <name val="Times New Roman"/>
      <family val="1"/>
      <sz val="12"/>
    </font>
    <font>
      <name val="Times New Roman"/>
      <family val="1"/>
      <b val="1"/>
      <color indexed="56"/>
      <sz val="12"/>
    </font>
    <font>
      <name val="Arial"/>
      <family val="2"/>
      <sz val="12"/>
    </font>
    <font>
      <name val="新細明體"/>
      <family val="1"/>
      <sz val="12"/>
    </font>
    <font>
      <name val="新細明體"/>
      <family val="2"/>
      <color theme="1"/>
      <sz val="11"/>
      <scheme val="minor"/>
    </font>
    <font>
      <name val="新細明體"/>
      <charset val="134"/>
      <family val="3"/>
      <color theme="1"/>
      <sz val="11"/>
      <scheme val="minor"/>
    </font>
    <font>
      <name val="Calibri"/>
      <family val="2"/>
      <color theme="1"/>
      <sz val="10"/>
    </font>
    <font>
      <name val="新細明體"/>
      <charset val="134"/>
      <family val="2"/>
      <color theme="1"/>
      <sz val="11"/>
      <scheme val="minor"/>
    </font>
    <font>
      <name val="Arial"/>
      <family val="2"/>
      <b val="1"/>
      <sz val="12"/>
    </font>
    <font>
      <name val="Arial"/>
      <family val="2"/>
      <sz val="12"/>
    </font>
    <font>
      <name val="Times New Roman"/>
      <family val="1"/>
      <sz val="12"/>
    </font>
    <font>
      <name val="Arial"/>
      <family val="2"/>
      <sz val="10"/>
    </font>
    <font>
      <name val="新細明體"/>
      <charset val="136"/>
      <family val="1"/>
      <sz val="9"/>
    </font>
    <font>
      <name val="Arial"/>
      <family val="2"/>
      <sz val="12"/>
    </font>
    <font>
      <name val="Times New Roman"/>
      <family val="1"/>
      <sz val="12"/>
    </font>
    <font>
      <name val="Arial"/>
      <b val="1"/>
      <sz val="12"/>
    </font>
    <font>
      <name val="Arial"/>
      <i val="1"/>
      <sz val="12"/>
    </font>
    <font>
      <name val="Arial"/>
      <sz val="11"/>
    </font>
    <font>
      <name val="Arial"/>
      <b val="1"/>
      <color rgb="00000000"/>
      <sz val="11"/>
    </font>
    <font>
      <name val="Arial"/>
      <sz val="10"/>
    </font>
  </fonts>
  <fills count="10">
    <fill>
      <patternFill/>
    </fill>
    <fill>
      <patternFill patternType="gray125"/>
    </fill>
    <fill>
      <patternFill patternType="solid">
        <fgColor theme="0"/>
        <bgColor indexed="64"/>
      </patternFill>
    </fill>
    <fill>
      <patternFill patternType="solid">
        <fgColor rgb="FFCCFFCC"/>
        <bgColor indexed="64"/>
      </patternFill>
    </fill>
    <fill>
      <patternFill patternType="solid">
        <fgColor rgb="FFFFFFCC"/>
      </patternFill>
    </fill>
    <fill>
      <patternFill patternType="solid">
        <fgColor theme="4" tint="0.7999816888943144"/>
        <bgColor indexed="64"/>
      </patternFill>
    </fill>
    <fill>
      <patternFill patternType="solid">
        <fgColor theme="6" tint="0.7999816888943144"/>
        <bgColor indexed="64"/>
      </patternFill>
    </fill>
    <fill>
      <patternFill patternType="solid">
        <fgColor rgb="FF00B0F0"/>
      </patternFill>
    </fill>
    <fill>
      <patternFill patternType="solid">
        <fgColor theme="4" tint="0.7999816888943144"/>
        <bgColor indexed="65"/>
      </patternFill>
    </fill>
    <fill>
      <patternFill patternType="solid">
        <fgColor rgb="FF00B0F0"/>
        <bgColor rgb="FF00B0F0"/>
      </patternFill>
    </fill>
  </fills>
  <borders count="5">
    <border>
      <left/>
      <right/>
      <top/>
      <bottom/>
      <diagonal/>
    </border>
    <border>
      <left/>
      <right/>
      <top/>
      <bottom style="thin">
        <color indexed="64"/>
      </bottom>
      <diagonal/>
    </border>
    <border>
      <left/>
      <right/>
      <top/>
      <bottom style="double">
        <color indexed="64"/>
      </bottom>
      <diagonal/>
    </border>
    <border>
      <left style="thin">
        <color rgb="FFB2B2B2"/>
      </left>
      <right style="thin">
        <color rgb="FFB2B2B2"/>
      </right>
      <top style="thin">
        <color rgb="FFB2B2B2"/>
      </top>
      <bottom style="thin">
        <color rgb="FFB2B2B2"/>
      </bottom>
      <diagonal/>
    </border>
    <border>
      <left style="thin">
        <color rgb="00D9D9D9"/>
      </left>
      <right style="thin">
        <color rgb="00D9D9D9"/>
      </right>
      <top style="thin">
        <color rgb="00D9D9D9"/>
      </top>
      <bottom style="thin">
        <color rgb="00D9D9D9"/>
      </bottom>
    </border>
  </borders>
  <cellStyleXfs count="52">
    <xf numFmtId="0" fontId="0" fillId="0" borderId="0"/>
    <xf numFmtId="171" fontId="8" fillId="0" borderId="0"/>
    <xf numFmtId="41"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1" fontId="8" fillId="0" borderId="0"/>
    <xf numFmtId="172" fontId="10" fillId="0" borderId="0" applyAlignment="1">
      <alignment vertical="center"/>
    </xf>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2" fontId="10" fillId="0" borderId="0"/>
    <xf numFmtId="43" fontId="1" fillId="0" borderId="0"/>
    <xf numFmtId="172" fontId="8" fillId="0" borderId="0" applyAlignment="1">
      <alignment vertical="center"/>
    </xf>
    <xf numFmtId="172" fontId="8" fillId="0" borderId="0"/>
    <xf numFmtId="172" fontId="10" fillId="0" borderId="0"/>
    <xf numFmtId="43" fontId="1" fillId="0" borderId="0"/>
    <xf numFmtId="43" fontId="1" fillId="0" borderId="0"/>
    <xf numFmtId="43" fontId="1" fillId="0" borderId="0"/>
    <xf numFmtId="43" fontId="1" fillId="0" borderId="0"/>
    <xf numFmtId="43" fontId="1" fillId="0" borderId="0"/>
    <xf numFmtId="43" fontId="1" fillId="0" borderId="0"/>
    <xf numFmtId="177" fontId="1" fillId="0" borderId="0"/>
    <xf numFmtId="0" fontId="8" fillId="0" borderId="0"/>
    <xf numFmtId="0" fontId="8" fillId="0" borderId="0"/>
    <xf numFmtId="0" fontId="11" fillId="0" borderId="0" applyAlignment="1">
      <alignment vertical="center"/>
    </xf>
    <xf numFmtId="0" fontId="11" fillId="0" borderId="0" applyAlignment="1">
      <alignment vertical="center"/>
    </xf>
    <xf numFmtId="0" fontId="11" fillId="0" borderId="0" applyAlignment="1">
      <alignment vertical="center"/>
    </xf>
    <xf numFmtId="0" fontId="8" fillId="0" borderId="0"/>
    <xf numFmtId="0" fontId="9" fillId="0" borderId="0"/>
    <xf numFmtId="9" fontId="8" fillId="0" borderId="0" applyAlignment="1">
      <alignment vertical="center"/>
    </xf>
    <xf numFmtId="9" fontId="10" fillId="0" borderId="0" applyAlignment="1">
      <alignment vertical="center"/>
    </xf>
    <xf numFmtId="9" fontId="10" fillId="0" borderId="0"/>
    <xf numFmtId="9" fontId="8" fillId="0" borderId="0" applyAlignment="1">
      <alignment vertical="center"/>
    </xf>
    <xf numFmtId="0" fontId="12" fillId="0" borderId="0" applyAlignment="1">
      <alignment vertical="center"/>
    </xf>
    <xf numFmtId="0" fontId="12" fillId="4" borderId="3" applyAlignment="1">
      <alignment vertical="center"/>
    </xf>
  </cellStyleXfs>
  <cellXfs count="187">
    <xf numFmtId="0" fontId="0" fillId="0" borderId="0" pivotButton="0" quotePrefix="0" xfId="0"/>
    <xf numFmtId="0" fontId="2" fillId="0" borderId="0" applyAlignment="1" pivotButton="0" quotePrefix="0" xfId="0">
      <alignment vertical="center" wrapText="1"/>
    </xf>
    <xf numFmtId="0" fontId="4" fillId="0" borderId="0" applyAlignment="1" pivotButton="0" quotePrefix="0" xfId="0">
      <alignment horizontal="center" vertical="top" wrapText="1"/>
    </xf>
    <xf numFmtId="164" fontId="2" fillId="0" borderId="0" applyAlignment="1" pivotButton="0" quotePrefix="0" xfId="0">
      <alignment horizontal="center" vertical="top" wrapText="1"/>
    </xf>
    <xf numFmtId="0" fontId="2" fillId="0" borderId="0" applyAlignment="1" pivotButton="0" quotePrefix="0" xfId="0">
      <alignment horizontal="left" vertical="top" wrapText="1"/>
    </xf>
    <xf numFmtId="0" fontId="2" fillId="0" borderId="0" applyAlignment="1" pivotButton="0" quotePrefix="0" xfId="0">
      <alignment vertical="top" wrapText="1"/>
    </xf>
    <xf numFmtId="14" fontId="2" fillId="0" borderId="0" applyAlignment="1" pivotButton="0" quotePrefix="0" xfId="0">
      <alignment horizontal="left" vertical="center" wrapText="1"/>
    </xf>
    <xf numFmtId="0" fontId="2" fillId="0" borderId="0" applyAlignment="1" pivotButton="0" quotePrefix="0" xfId="0">
      <alignment horizontal="center" vertical="center" wrapText="1"/>
    </xf>
    <xf numFmtId="165" fontId="2" fillId="0" borderId="0" applyAlignment="1" pivotButton="0" quotePrefix="0" xfId="0">
      <alignment horizontal="center" vertical="center" wrapText="1"/>
    </xf>
    <xf numFmtId="166" fontId="2" fillId="0" borderId="0" applyAlignment="1" pivotButton="0" quotePrefix="0" xfId="0">
      <alignment horizontal="center" vertical="center" wrapText="1"/>
    </xf>
    <xf numFmtId="0" fontId="5" fillId="0" borderId="0" applyAlignment="1" pivotButton="0" quotePrefix="0" xfId="0">
      <alignment vertical="top" wrapText="1"/>
    </xf>
    <xf numFmtId="0" fontId="5" fillId="0" borderId="0" applyAlignment="1" pivotButton="0" quotePrefix="0" xfId="0">
      <alignment vertical="center" wrapText="1"/>
    </xf>
    <xf numFmtId="0" fontId="5" fillId="0" borderId="0" applyAlignment="1" pivotButton="0" quotePrefix="0" xfId="0">
      <alignment vertical="center"/>
    </xf>
    <xf numFmtId="0" fontId="5" fillId="0" borderId="0" applyAlignment="1" pivotButton="0" quotePrefix="0" xfId="0">
      <alignment horizontal="left" vertical="top" wrapText="1"/>
    </xf>
    <xf numFmtId="167" fontId="5" fillId="0" borderId="0" applyAlignment="1" pivotButton="0" quotePrefix="0" xfId="0">
      <alignment horizontal="center" vertical="top"/>
    </xf>
    <xf numFmtId="165" fontId="5" fillId="0" borderId="0" applyAlignment="1" pivotButton="0" quotePrefix="0" xfId="0">
      <alignment horizontal="center" vertical="top"/>
    </xf>
    <xf numFmtId="166" fontId="5" fillId="0" borderId="0" applyAlignment="1" pivotButton="0" quotePrefix="0" xfId="0">
      <alignment horizontal="center" vertical="top"/>
    </xf>
    <xf numFmtId="0" fontId="5" fillId="0" borderId="0" applyAlignment="1" pivotButton="0" quotePrefix="0" xfId="0">
      <alignment vertical="top"/>
    </xf>
    <xf numFmtId="0" fontId="5" fillId="0" borderId="1" applyAlignment="1" pivotButton="0" quotePrefix="0" xfId="0">
      <alignment vertical="center" wrapText="1"/>
    </xf>
    <xf numFmtId="0" fontId="7" fillId="0" borderId="0" applyAlignment="1" pivotButton="0" quotePrefix="0" xfId="0">
      <alignment vertical="center" wrapText="1"/>
    </xf>
    <xf numFmtId="0" fontId="2" fillId="2" borderId="0" applyAlignment="1" pivotButton="0" quotePrefix="0" xfId="0">
      <alignment vertical="center" wrapText="1"/>
    </xf>
    <xf numFmtId="0" fontId="3" fillId="3" borderId="0" applyAlignment="1" pivotButton="0" quotePrefix="0" xfId="0">
      <alignment horizontal="center" vertical="center" wrapText="1"/>
    </xf>
    <xf numFmtId="168" fontId="4" fillId="0" borderId="0" applyAlignment="1" pivotButton="0" quotePrefix="0" xfId="1">
      <alignment horizontal="center" vertical="top" wrapText="1"/>
    </xf>
    <xf numFmtId="169" fontId="2" fillId="0" borderId="0" applyAlignment="1" pivotButton="0" quotePrefix="0" xfId="1">
      <alignment vertical="center" wrapText="1"/>
    </xf>
    <xf numFmtId="14" fontId="2" fillId="0" borderId="0" applyAlignment="1" pivotButton="0" quotePrefix="0" xfId="0">
      <alignment horizontal="center" vertical="top" wrapText="1"/>
    </xf>
    <xf numFmtId="170" fontId="5" fillId="0" borderId="0" applyAlignment="1" pivotButton="0" quotePrefix="0" xfId="49">
      <alignment vertical="center"/>
    </xf>
    <xf numFmtId="0" fontId="4" fillId="0" borderId="0" applyAlignment="1" pivotButton="0" quotePrefix="0" xfId="0">
      <alignment horizontal="right" vertical="top" wrapText="1"/>
    </xf>
    <xf numFmtId="0" fontId="2" fillId="0" borderId="0" applyAlignment="1" pivotButton="0" quotePrefix="0" xfId="0">
      <alignment horizontal="right" vertical="center" wrapText="1"/>
    </xf>
    <xf numFmtId="171" fontId="2" fillId="0" borderId="0" applyAlignment="1" pivotButton="0" quotePrefix="0" xfId="1">
      <alignment vertical="center" wrapText="1"/>
    </xf>
    <xf numFmtId="0" fontId="3" fillId="5" borderId="0" applyAlignment="1" pivotButton="0" quotePrefix="0" xfId="0">
      <alignment horizontal="center" vertical="center" wrapText="1"/>
    </xf>
    <xf numFmtId="169" fontId="3" fillId="5" borderId="0" applyAlignment="1" pivotButton="0" quotePrefix="0" xfId="1">
      <alignment horizontal="center" vertical="center" wrapText="1"/>
    </xf>
    <xf numFmtId="172" fontId="3" fillId="5" borderId="0" applyAlignment="1" pivotButton="0" quotePrefix="0" xfId="45">
      <alignment horizontal="center" vertical="center" wrapText="1"/>
    </xf>
    <xf numFmtId="0" fontId="13" fillId="6" borderId="2" applyAlignment="1" pivotButton="0" quotePrefix="0" xfId="0">
      <alignment horizontal="center" vertical="center" wrapText="1"/>
    </xf>
    <xf numFmtId="164" fontId="3" fillId="6" borderId="2" applyAlignment="1" pivotButton="0" quotePrefix="0" xfId="0">
      <alignment horizontal="center" vertical="center" wrapText="1"/>
    </xf>
    <xf numFmtId="0" fontId="3" fillId="6" borderId="2" applyAlignment="1" pivotButton="0" quotePrefix="0" xfId="0">
      <alignment horizontal="left" vertical="center" wrapText="1"/>
    </xf>
    <xf numFmtId="14" fontId="3" fillId="6" borderId="2" applyAlignment="1" pivotButton="0" quotePrefix="0" xfId="0">
      <alignment horizontal="center" vertical="center" wrapText="1"/>
    </xf>
    <xf numFmtId="0" fontId="3" fillId="6" borderId="2" applyAlignment="1" pivotButton="0" quotePrefix="0" xfId="0">
      <alignment horizontal="center" vertical="center" wrapText="1"/>
    </xf>
    <xf numFmtId="165" fontId="3" fillId="6" borderId="2" applyAlignment="1" pivotButton="0" quotePrefix="0" xfId="0">
      <alignment horizontal="center" vertical="center" wrapText="1"/>
    </xf>
    <xf numFmtId="169" fontId="3" fillId="6" borderId="2" applyAlignment="1" pivotButton="0" quotePrefix="0" xfId="1">
      <alignment horizontal="center" vertical="center" wrapText="1"/>
    </xf>
    <xf numFmtId="166" fontId="3" fillId="6" borderId="2" applyAlignment="1" pivotButton="0" quotePrefix="0" xfId="0">
      <alignment horizontal="center" vertical="center" wrapText="1"/>
    </xf>
    <xf numFmtId="1" fontId="4" fillId="0" borderId="0" applyAlignment="1" pivotButton="0" quotePrefix="0" xfId="1">
      <alignment horizontal="center" vertical="top" wrapText="1"/>
    </xf>
    <xf numFmtId="173" fontId="2" fillId="0" borderId="0" applyAlignment="1" pivotButton="0" quotePrefix="0" xfId="0">
      <alignment vertical="center" wrapText="1"/>
    </xf>
    <xf numFmtId="0" fontId="6" fillId="5" borderId="0" applyAlignment="1" pivotButton="0" quotePrefix="0" xfId="0">
      <alignment horizontal="center" vertical="center" wrapText="1"/>
    </xf>
    <xf numFmtId="0" fontId="14" fillId="0" borderId="0" applyAlignment="1" pivotButton="0" quotePrefix="0" xfId="0">
      <alignment horizontal="center" vertical="top" wrapText="1"/>
    </xf>
    <xf numFmtId="0" fontId="14" fillId="0" borderId="0" applyAlignment="1" pivotButton="0" quotePrefix="0" xfId="0">
      <alignment horizontal="left" vertical="top" wrapText="1"/>
    </xf>
    <xf numFmtId="165" fontId="14" fillId="0" borderId="0" applyAlignment="1" pivotButton="0" quotePrefix="0" xfId="0">
      <alignment horizontal="center" vertical="top" wrapText="1"/>
    </xf>
    <xf numFmtId="166" fontId="14" fillId="0" borderId="0" applyAlignment="1" pivotButton="0" quotePrefix="0" xfId="0">
      <alignment horizontal="center" vertical="top" wrapText="1"/>
    </xf>
    <xf numFmtId="0" fontId="15" fillId="0" borderId="0" applyAlignment="1" pivotButton="0" quotePrefix="0" xfId="0">
      <alignment horizontal="center" vertical="top"/>
    </xf>
    <xf numFmtId="14" fontId="14" fillId="0" borderId="0" applyAlignment="1" pivotButton="0" quotePrefix="0" xfId="0">
      <alignment horizontal="center" vertical="top" wrapText="1"/>
    </xf>
    <xf numFmtId="169" fontId="16" fillId="0" borderId="0" pivotButton="0" quotePrefix="0" xfId="1"/>
    <xf numFmtId="169" fontId="16" fillId="0" borderId="0" pivotButton="0" quotePrefix="0" xfId="0"/>
    <xf numFmtId="0" fontId="15" fillId="0" borderId="0" applyAlignment="1" pivotButton="0" quotePrefix="0" xfId="0">
      <alignment horizontal="left" vertical="top" wrapText="1"/>
    </xf>
    <xf numFmtId="170" fontId="15" fillId="0" borderId="0" applyAlignment="1" pivotButton="0" quotePrefix="0" xfId="0">
      <alignment vertical="center"/>
    </xf>
    <xf numFmtId="165" fontId="15" fillId="0" borderId="0" applyAlignment="1" pivotButton="0" quotePrefix="0" xfId="0">
      <alignment horizontal="center" vertical="top"/>
    </xf>
    <xf numFmtId="166" fontId="15" fillId="0" borderId="0" applyAlignment="1" pivotButton="0" quotePrefix="0" xfId="0">
      <alignment horizontal="center" vertical="top"/>
    </xf>
    <xf numFmtId="0" fontId="3" fillId="7" borderId="0" applyAlignment="1" pivotButton="0" quotePrefix="0" xfId="0">
      <alignment horizontal="center" vertical="center" wrapText="1"/>
    </xf>
    <xf numFmtId="0" fontId="3" fillId="8" borderId="0" applyAlignment="1" pivotButton="0" quotePrefix="0" xfId="0">
      <alignment horizontal="center" vertical="center" wrapText="1"/>
    </xf>
    <xf numFmtId="0" fontId="6" fillId="8" borderId="0" applyAlignment="1" pivotButton="0" quotePrefix="0" xfId="0">
      <alignment horizontal="center" vertical="center" wrapText="1"/>
    </xf>
    <xf numFmtId="0" fontId="18" fillId="7" borderId="0" applyAlignment="1" pivotButton="0" quotePrefix="0" xfId="0">
      <alignment horizontal="center" vertical="center" wrapText="1"/>
    </xf>
    <xf numFmtId="0" fontId="18" fillId="0" borderId="0" applyAlignment="1" pivotButton="0" quotePrefix="0" xfId="0">
      <alignment horizontal="left" vertical="top" wrapText="1"/>
    </xf>
    <xf numFmtId="0" fontId="18" fillId="0" borderId="0" applyAlignment="1" pivotButton="0" quotePrefix="0" xfId="0">
      <alignment horizontal="center" vertical="top" wrapText="1"/>
    </xf>
    <xf numFmtId="1" fontId="18" fillId="0" borderId="0" applyAlignment="1" pivotButton="0" quotePrefix="0" xfId="0">
      <alignment horizontal="center" vertical="top" wrapText="1"/>
    </xf>
    <xf numFmtId="167" fontId="19" fillId="0" borderId="0" applyAlignment="1" pivotButton="0" quotePrefix="0" xfId="0">
      <alignment horizontal="center" vertical="top" wrapText="1"/>
    </xf>
    <xf numFmtId="3" fontId="19" fillId="0" borderId="0" applyAlignment="1" pivotButton="0" quotePrefix="0" xfId="0">
      <alignment horizontal="center" vertical="top" wrapText="1"/>
    </xf>
    <xf numFmtId="4" fontId="19" fillId="0" borderId="0" applyAlignment="1" pivotButton="0" quotePrefix="0" xfId="0">
      <alignment horizontal="center" vertical="top" wrapText="1"/>
    </xf>
    <xf numFmtId="166" fontId="19" fillId="0" borderId="0" applyAlignment="1" pivotButton="0" quotePrefix="0" xfId="0">
      <alignment horizontal="center" vertical="top" wrapText="1"/>
    </xf>
    <xf numFmtId="171" fontId="3" fillId="8" borderId="0" applyAlignment="1" pivotButton="0" quotePrefix="0" xfId="1">
      <alignment horizontal="center" vertical="center" wrapText="1"/>
    </xf>
    <xf numFmtId="3" fontId="15" fillId="0" borderId="0" applyAlignment="1" pivotButton="0" quotePrefix="0" xfId="0">
      <alignment vertical="center"/>
    </xf>
    <xf numFmtId="172" fontId="15" fillId="0" borderId="0" applyAlignment="1" pivotButton="0" quotePrefix="0" xfId="45">
      <alignment vertical="center"/>
    </xf>
    <xf numFmtId="170" fontId="15" fillId="0" borderId="0" applyAlignment="1" pivotButton="0" quotePrefix="0" xfId="49">
      <alignment vertical="center"/>
    </xf>
    <xf numFmtId="9" fontId="15" fillId="0" borderId="0" applyAlignment="1" pivotButton="0" quotePrefix="0" xfId="45">
      <alignment vertical="center"/>
    </xf>
    <xf numFmtId="167" fontId="15" fillId="0" borderId="0" applyAlignment="1" pivotButton="0" quotePrefix="0" xfId="0">
      <alignment horizontal="center" vertical="top"/>
    </xf>
    <xf numFmtId="173" fontId="4" fillId="0" borderId="0" applyAlignment="1" pivotButton="0" quotePrefix="0" xfId="49">
      <alignment horizontal="center" vertical="top" wrapText="1"/>
    </xf>
    <xf numFmtId="0" fontId="15" fillId="0" borderId="0" applyAlignment="1" pivotButton="0" quotePrefix="0" xfId="1">
      <alignment horizontal="left" vertical="top" wrapText="1"/>
    </xf>
    <xf numFmtId="170" fontId="15" fillId="0" borderId="0" applyAlignment="1" pivotButton="0" quotePrefix="0" xfId="1">
      <alignment vertical="center"/>
    </xf>
    <xf numFmtId="168" fontId="4" fillId="0" borderId="0" applyAlignment="1" pivotButton="0" quotePrefix="0" xfId="0">
      <alignment horizontal="center" vertical="top" wrapText="1"/>
    </xf>
    <xf numFmtId="0" fontId="18" fillId="0" borderId="0" applyAlignment="1" pivotButton="0" quotePrefix="0" xfId="49">
      <alignment horizontal="left" vertical="top" wrapText="1"/>
    </xf>
    <xf numFmtId="1" fontId="18" fillId="0" borderId="0" applyAlignment="1" pivotButton="0" quotePrefix="0" xfId="49">
      <alignment horizontal="center" vertical="top" wrapText="1"/>
    </xf>
    <xf numFmtId="1" fontId="18" fillId="0" borderId="0" applyAlignment="1" pivotButton="0" quotePrefix="0" xfId="1">
      <alignment horizontal="center" vertical="top" wrapText="1"/>
    </xf>
    <xf numFmtId="171" fontId="16" fillId="0" borderId="0" pivotButton="0" quotePrefix="0" xfId="0"/>
    <xf numFmtId="1" fontId="4" fillId="0" borderId="0" applyAlignment="1" pivotButton="0" quotePrefix="0" xfId="0">
      <alignment horizontal="center" vertical="top" wrapText="1"/>
    </xf>
    <xf numFmtId="0" fontId="0" fillId="0" borderId="0" pivotButton="0" quotePrefix="0" xfId="44"/>
    <xf numFmtId="3" fontId="15" fillId="0" borderId="0" applyAlignment="1" pivotButton="0" quotePrefix="0" xfId="44">
      <alignment vertical="center"/>
    </xf>
    <xf numFmtId="172" fontId="15" fillId="0" borderId="0" applyAlignment="1" pivotButton="0" quotePrefix="0" xfId="0">
      <alignment vertical="center"/>
    </xf>
    <xf numFmtId="9" fontId="15" fillId="0" borderId="0" applyAlignment="1" pivotButton="0" quotePrefix="0" xfId="0">
      <alignment vertical="center"/>
    </xf>
    <xf numFmtId="0" fontId="0" fillId="0" borderId="0" pivotButton="0" quotePrefix="0" xfId="39"/>
    <xf numFmtId="0" fontId="0" fillId="0" borderId="0" pivotButton="0" quotePrefix="0" xfId="1"/>
    <xf numFmtId="173" fontId="4" fillId="0" borderId="0" applyAlignment="1" pivotButton="0" quotePrefix="0" xfId="0">
      <alignment horizontal="center" vertical="top" wrapText="1"/>
    </xf>
    <xf numFmtId="167" fontId="14" fillId="0" borderId="0" applyAlignment="1" pivotButton="0" quotePrefix="0" xfId="0">
      <alignment horizontal="center" vertical="top" wrapText="1"/>
    </xf>
    <xf numFmtId="0" fontId="18" fillId="0" borderId="0" applyAlignment="1" pivotButton="0" quotePrefix="0" xfId="1">
      <alignment horizontal="left" vertical="top" wrapText="1"/>
    </xf>
    <xf numFmtId="167" fontId="19" fillId="0" borderId="0" applyAlignment="1" pivotButton="0" quotePrefix="0" xfId="49">
      <alignment horizontal="center" vertical="top" wrapText="1"/>
    </xf>
    <xf numFmtId="3" fontId="19" fillId="0" borderId="0" applyAlignment="1" pivotButton="0" quotePrefix="0" xfId="49">
      <alignment horizontal="center" vertical="top" wrapText="1"/>
    </xf>
    <xf numFmtId="4" fontId="19" fillId="0" borderId="0" applyAlignment="1" pivotButton="0" quotePrefix="0" xfId="45">
      <alignment horizontal="center" vertical="top" wrapText="1"/>
    </xf>
    <xf numFmtId="0" fontId="19" fillId="0" borderId="0" applyAlignment="1" pivotButton="0" quotePrefix="0" xfId="0">
      <alignment horizontal="center" vertical="top"/>
    </xf>
    <xf numFmtId="167" fontId="18" fillId="0" borderId="0" applyAlignment="1" pivotButton="0" quotePrefix="0" xfId="0">
      <alignment horizontal="center" vertical="top" wrapText="1"/>
    </xf>
    <xf numFmtId="14" fontId="18" fillId="0" borderId="0" applyAlignment="1" pivotButton="0" quotePrefix="0" xfId="0">
      <alignment horizontal="center" vertical="top" wrapText="1"/>
    </xf>
    <xf numFmtId="165" fontId="18" fillId="0" borderId="0" applyAlignment="1" pivotButton="0" quotePrefix="0" xfId="0">
      <alignment horizontal="center" vertical="top" wrapText="1"/>
    </xf>
    <xf numFmtId="166" fontId="18" fillId="0" borderId="0" applyAlignment="1" pivotButton="0" quotePrefix="0" xfId="0">
      <alignment horizontal="center" vertical="top" wrapText="1"/>
    </xf>
    <xf numFmtId="3" fontId="19" fillId="0" borderId="0" applyAlignment="1" pivotButton="0" quotePrefix="0" xfId="0">
      <alignment vertical="center"/>
    </xf>
    <xf numFmtId="172" fontId="19" fillId="0" borderId="0" applyAlignment="1" pivotButton="0" quotePrefix="0" xfId="0">
      <alignment vertical="center"/>
    </xf>
    <xf numFmtId="170" fontId="19" fillId="0" borderId="0" applyAlignment="1" pivotButton="0" quotePrefix="0" xfId="0">
      <alignment vertical="center"/>
    </xf>
    <xf numFmtId="9" fontId="19" fillId="0" borderId="0" applyAlignment="1" pivotButton="0" quotePrefix="0" xfId="0">
      <alignment vertical="center"/>
    </xf>
    <xf numFmtId="0" fontId="19" fillId="0" borderId="0" applyAlignment="1" pivotButton="0" quotePrefix="0" xfId="0">
      <alignment horizontal="left" vertical="top" wrapText="1"/>
    </xf>
    <xf numFmtId="167" fontId="19" fillId="0" borderId="0" applyAlignment="1" pivotButton="0" quotePrefix="0" xfId="0">
      <alignment horizontal="center" vertical="top"/>
    </xf>
    <xf numFmtId="170" fontId="19" fillId="0" borderId="0" applyAlignment="1" pivotButton="0" quotePrefix="0" xfId="1">
      <alignment vertical="center"/>
    </xf>
    <xf numFmtId="170" fontId="19" fillId="0" borderId="0" applyAlignment="1" pivotButton="0" quotePrefix="0" xfId="49">
      <alignment vertical="center"/>
    </xf>
    <xf numFmtId="165" fontId="19" fillId="0" borderId="0" applyAlignment="1" pivotButton="0" quotePrefix="0" xfId="0">
      <alignment horizontal="center" vertical="top"/>
    </xf>
    <xf numFmtId="166" fontId="19" fillId="0" borderId="0" applyAlignment="1" pivotButton="0" quotePrefix="0" xfId="0">
      <alignment horizontal="center" vertical="top"/>
    </xf>
    <xf numFmtId="3" fontId="19" fillId="0" borderId="0" applyAlignment="1" pivotButton="0" quotePrefix="0" xfId="39">
      <alignment vertical="center"/>
    </xf>
    <xf numFmtId="0" fontId="19" fillId="0" borderId="0" applyAlignment="1" pivotButton="0" quotePrefix="0" xfId="1">
      <alignment horizontal="left" vertical="top" wrapText="1"/>
    </xf>
    <xf numFmtId="0" fontId="19" fillId="0" borderId="0" applyAlignment="1" pivotButton="0" quotePrefix="1" xfId="0">
      <alignment horizontal="center" vertical="top"/>
    </xf>
    <xf numFmtId="0" fontId="18" fillId="0" borderId="0" applyAlignment="1" pivotButton="0" quotePrefix="1" xfId="0">
      <alignment horizontal="left" vertical="top" wrapText="1"/>
    </xf>
    <xf numFmtId="164" fontId="2" fillId="0" borderId="0" applyAlignment="1" pivotButton="0" quotePrefix="0" xfId="0">
      <alignment horizontal="center" vertical="top" wrapText="1"/>
    </xf>
    <xf numFmtId="165" fontId="2" fillId="0" borderId="0" applyAlignment="1" pivotButton="0" quotePrefix="0" xfId="0">
      <alignment horizontal="center" vertical="center" wrapText="1"/>
    </xf>
    <xf numFmtId="169" fontId="2" fillId="0" borderId="0" applyAlignment="1" pivotButton="0" quotePrefix="0" xfId="1">
      <alignment vertical="center" wrapText="1"/>
    </xf>
    <xf numFmtId="166" fontId="2" fillId="0" borderId="0" applyAlignment="1" pivotButton="0" quotePrefix="0" xfId="0">
      <alignment horizontal="center" vertical="center" wrapText="1"/>
    </xf>
    <xf numFmtId="167" fontId="5" fillId="0" borderId="0" applyAlignment="1" pivotButton="0" quotePrefix="0" xfId="0">
      <alignment horizontal="center" vertical="top"/>
    </xf>
    <xf numFmtId="168" fontId="4" fillId="0" borderId="0" applyAlignment="1" pivotButton="0" quotePrefix="0" xfId="1">
      <alignment horizontal="center" vertical="top" wrapText="1"/>
    </xf>
    <xf numFmtId="170" fontId="5" fillId="0" borderId="0" applyAlignment="1" pivotButton="0" quotePrefix="0" xfId="49">
      <alignment vertical="center"/>
    </xf>
    <xf numFmtId="165" fontId="5" fillId="0" borderId="0" applyAlignment="1" pivotButton="0" quotePrefix="0" xfId="0">
      <alignment horizontal="center" vertical="top"/>
    </xf>
    <xf numFmtId="171" fontId="2" fillId="0" borderId="0" applyAlignment="1" pivotButton="0" quotePrefix="0" xfId="1">
      <alignment vertical="center" wrapText="1"/>
    </xf>
    <xf numFmtId="173" fontId="2" fillId="0" borderId="0" applyAlignment="1" pivotButton="0" quotePrefix="0" xfId="0">
      <alignment vertical="center" wrapText="1"/>
    </xf>
    <xf numFmtId="166" fontId="5" fillId="0" borderId="0" applyAlignment="1" pivotButton="0" quotePrefix="0" xfId="0">
      <alignment horizontal="center" vertical="top"/>
    </xf>
    <xf numFmtId="164" fontId="3" fillId="6" borderId="2" applyAlignment="1" pivotButton="0" quotePrefix="0" xfId="0">
      <alignment horizontal="center" vertical="center" wrapText="1"/>
    </xf>
    <xf numFmtId="165" fontId="3" fillId="6" borderId="2" applyAlignment="1" pivotButton="0" quotePrefix="0" xfId="0">
      <alignment horizontal="center" vertical="center" wrapText="1"/>
    </xf>
    <xf numFmtId="169" fontId="3" fillId="6" borderId="2" applyAlignment="1" pivotButton="0" quotePrefix="0" xfId="1">
      <alignment horizontal="center" vertical="center" wrapText="1"/>
    </xf>
    <xf numFmtId="166" fontId="3" fillId="6" borderId="2" applyAlignment="1" pivotButton="0" quotePrefix="0" xfId="0">
      <alignment horizontal="center" vertical="center" wrapText="1"/>
    </xf>
    <xf numFmtId="169" fontId="3" fillId="5" borderId="0" applyAlignment="1" pivotButton="0" quotePrefix="0" xfId="1">
      <alignment horizontal="center" vertical="center" wrapText="1"/>
    </xf>
    <xf numFmtId="172" fontId="3" fillId="5" borderId="0" applyAlignment="1" pivotButton="0" quotePrefix="0" xfId="45">
      <alignment horizontal="center" vertical="center" wrapText="1"/>
    </xf>
    <xf numFmtId="171" fontId="3" fillId="8" borderId="0" applyAlignment="1" pivotButton="0" quotePrefix="0" xfId="1">
      <alignment horizontal="center" vertical="center" wrapText="1"/>
    </xf>
    <xf numFmtId="167" fontId="14" fillId="0" borderId="0" applyAlignment="1" pivotButton="0" quotePrefix="0" xfId="0">
      <alignment horizontal="center" vertical="top" wrapText="1"/>
    </xf>
    <xf numFmtId="165" fontId="14" fillId="0" borderId="0" applyAlignment="1" pivotButton="0" quotePrefix="0" xfId="0">
      <alignment horizontal="center" vertical="top" wrapText="1"/>
    </xf>
    <xf numFmtId="169" fontId="16" fillId="0" borderId="0" pivotButton="0" quotePrefix="0" xfId="1"/>
    <xf numFmtId="166" fontId="14" fillId="0" borderId="0" applyAlignment="1" pivotButton="0" quotePrefix="0" xfId="0">
      <alignment horizontal="center" vertical="top" wrapText="1"/>
    </xf>
    <xf numFmtId="172" fontId="15" fillId="0" borderId="0" applyAlignment="1" pivotButton="0" quotePrefix="0" xfId="45">
      <alignment vertical="center"/>
    </xf>
    <xf numFmtId="170" fontId="15" fillId="0" borderId="0" applyAlignment="1" pivotButton="0" quotePrefix="0" xfId="49">
      <alignment vertical="center"/>
    </xf>
    <xf numFmtId="167" fontId="15" fillId="0" borderId="0" applyAlignment="1" pivotButton="0" quotePrefix="0" xfId="0">
      <alignment horizontal="center" vertical="top"/>
    </xf>
    <xf numFmtId="168" fontId="4" fillId="0" borderId="0" applyAlignment="1" pivotButton="0" quotePrefix="0" xfId="0">
      <alignment horizontal="center" vertical="top" wrapText="1"/>
    </xf>
    <xf numFmtId="170" fontId="15" fillId="0" borderId="0" applyAlignment="1" pivotButton="0" quotePrefix="0" xfId="1">
      <alignment vertical="center"/>
    </xf>
    <xf numFmtId="173" fontId="4" fillId="0" borderId="0" applyAlignment="1" pivotButton="0" quotePrefix="0" xfId="49">
      <alignment horizontal="center" vertical="top" wrapText="1"/>
    </xf>
    <xf numFmtId="167" fontId="19" fillId="0" borderId="0" applyAlignment="1" pivotButton="0" quotePrefix="0" xfId="49">
      <alignment horizontal="center" vertical="top" wrapText="1"/>
    </xf>
    <xf numFmtId="167" fontId="19" fillId="0" borderId="0" applyAlignment="1" pivotButton="0" quotePrefix="0" xfId="0">
      <alignment horizontal="center" vertical="top" wrapText="1"/>
    </xf>
    <xf numFmtId="170" fontId="15" fillId="0" borderId="0" applyAlignment="1" pivotButton="0" quotePrefix="0" xfId="0">
      <alignment vertical="center"/>
    </xf>
    <xf numFmtId="171" fontId="16" fillId="0" borderId="0" pivotButton="0" quotePrefix="0" xfId="0"/>
    <xf numFmtId="165" fontId="15" fillId="0" borderId="0" applyAlignment="1" pivotButton="0" quotePrefix="0" xfId="0">
      <alignment horizontal="center" vertical="top"/>
    </xf>
    <xf numFmtId="166" fontId="15" fillId="0" borderId="0" applyAlignment="1" pivotButton="0" quotePrefix="0" xfId="0">
      <alignment horizontal="center" vertical="top"/>
    </xf>
    <xf numFmtId="166" fontId="19" fillId="0" borderId="0" applyAlignment="1" pivotButton="0" quotePrefix="0" xfId="0">
      <alignment horizontal="center" vertical="top" wrapText="1"/>
    </xf>
    <xf numFmtId="172" fontId="15" fillId="0" borderId="0" applyAlignment="1" pivotButton="0" quotePrefix="0" xfId="0">
      <alignment vertical="center"/>
    </xf>
    <xf numFmtId="169" fontId="16" fillId="0" borderId="0" pivotButton="0" quotePrefix="0" xfId="0"/>
    <xf numFmtId="167" fontId="18" fillId="0" borderId="0" applyAlignment="1" pivotButton="0" quotePrefix="0" xfId="0">
      <alignment horizontal="center" vertical="top" wrapText="1"/>
    </xf>
    <xf numFmtId="165" fontId="18" fillId="0" borderId="0" applyAlignment="1" pivotButton="0" quotePrefix="0" xfId="0">
      <alignment horizontal="center" vertical="top" wrapText="1"/>
    </xf>
    <xf numFmtId="166" fontId="18" fillId="0" borderId="0" applyAlignment="1" pivotButton="0" quotePrefix="0" xfId="0">
      <alignment horizontal="center" vertical="top" wrapText="1"/>
    </xf>
    <xf numFmtId="172" fontId="19" fillId="0" borderId="0" applyAlignment="1" pivotButton="0" quotePrefix="0" xfId="0">
      <alignment vertical="center"/>
    </xf>
    <xf numFmtId="170" fontId="19" fillId="0" borderId="0" applyAlignment="1" pivotButton="0" quotePrefix="0" xfId="0">
      <alignment vertical="center"/>
    </xf>
    <xf numFmtId="167" fontId="19" fillId="0" borderId="0" applyAlignment="1" pivotButton="0" quotePrefix="0" xfId="0">
      <alignment horizontal="center" vertical="top"/>
    </xf>
    <xf numFmtId="170" fontId="19" fillId="0" borderId="0" applyAlignment="1" pivotButton="0" quotePrefix="0" xfId="1">
      <alignment vertical="center"/>
    </xf>
    <xf numFmtId="170" fontId="19" fillId="0" borderId="0" applyAlignment="1" pivotButton="0" quotePrefix="0" xfId="49">
      <alignment vertical="center"/>
    </xf>
    <xf numFmtId="165" fontId="19" fillId="0" borderId="0" applyAlignment="1" pivotButton="0" quotePrefix="0" xfId="0">
      <alignment horizontal="center" vertical="top"/>
    </xf>
    <xf numFmtId="166" fontId="19" fillId="0" borderId="0" applyAlignment="1" pivotButton="0" quotePrefix="0" xfId="0">
      <alignment horizontal="center" vertical="top"/>
    </xf>
    <xf numFmtId="173" fontId="4" fillId="0" borderId="0" applyAlignment="1" pivotButton="0" quotePrefix="0" xfId="0">
      <alignment horizontal="center" vertical="top" wrapText="1"/>
    </xf>
    <xf numFmtId="0" fontId="20" fillId="8" borderId="0" applyAlignment="1" pivotButton="0" quotePrefix="0" xfId="0">
      <alignment horizontal="center" vertical="center" wrapText="1"/>
    </xf>
    <xf numFmtId="1" fontId="21" fillId="0" borderId="0" applyAlignment="1" pivotButton="0" quotePrefix="0" xfId="0">
      <alignment horizontal="center" vertical="center"/>
    </xf>
    <xf numFmtId="49" fontId="21" fillId="0" borderId="0" applyAlignment="1" pivotButton="0" quotePrefix="0" xfId="0">
      <alignment horizontal="left" vertical="center"/>
    </xf>
    <xf numFmtId="10" fontId="21" fillId="0" borderId="0" applyAlignment="1" pivotButton="0" quotePrefix="0" xfId="0">
      <alignment horizontal="right" vertical="center"/>
    </xf>
    <xf numFmtId="49" fontId="21" fillId="0" borderId="0" applyAlignment="1" pivotButton="0" quotePrefix="0" xfId="0">
      <alignment horizontal="center" vertical="center"/>
    </xf>
    <xf numFmtId="2" fontId="21" fillId="0" borderId="0" applyAlignment="1" pivotButton="0" quotePrefix="0" xfId="0">
      <alignment horizontal="right" vertical="center"/>
    </xf>
    <xf numFmtId="0" fontId="20" fillId="5" borderId="4" applyAlignment="1" pivotButton="0" quotePrefix="0" xfId="0">
      <alignment horizontal="center" vertical="center" wrapText="1"/>
    </xf>
    <xf numFmtId="0" fontId="20" fillId="8" borderId="4" applyAlignment="1" pivotButton="0" quotePrefix="0" xfId="0">
      <alignment horizontal="center" vertical="center" wrapText="1"/>
    </xf>
    <xf numFmtId="0" fontId="20" fillId="9" borderId="4" applyAlignment="1" pivotButton="0" quotePrefix="0" xfId="0">
      <alignment horizontal="center" vertical="center" wrapText="1"/>
    </xf>
    <xf numFmtId="10" fontId="22" fillId="0" borderId="4" applyAlignment="1" pivotButton="0" quotePrefix="0" xfId="0">
      <alignment horizontal="right" vertical="center"/>
    </xf>
    <xf numFmtId="49" fontId="22" fillId="0" borderId="4" applyAlignment="1" pivotButton="0" quotePrefix="0" xfId="0">
      <alignment horizontal="center" vertical="center"/>
    </xf>
    <xf numFmtId="2" fontId="22" fillId="0" borderId="4" applyAlignment="1" pivotButton="0" quotePrefix="0" xfId="0">
      <alignment horizontal="right" vertical="center"/>
    </xf>
    <xf numFmtId="4" fontId="22" fillId="0" borderId="4" applyAlignment="1" pivotButton="0" quotePrefix="0" xfId="0">
      <alignment horizontal="right" vertical="center"/>
    </xf>
    <xf numFmtId="0" fontId="23" fillId="9" borderId="0" applyAlignment="1" pivotButton="0" quotePrefix="0" xfId="0">
      <alignment horizontal="center" vertical="center" wrapText="1"/>
    </xf>
    <xf numFmtId="49" fontId="24" fillId="0" borderId="4" applyAlignment="1" pivotButton="0" quotePrefix="0" xfId="0">
      <alignment horizontal="center" vertical="center"/>
    </xf>
    <xf numFmtId="2" fontId="24" fillId="0" borderId="4" applyAlignment="1" pivotButton="0" quotePrefix="0" xfId="0">
      <alignment horizontal="right" vertical="center"/>
    </xf>
    <xf numFmtId="10" fontId="24" fillId="0" borderId="4" applyAlignment="1" pivotButton="0" quotePrefix="0" xfId="0">
      <alignment horizontal="right" vertical="center"/>
    </xf>
    <xf numFmtId="174" fontId="24" fillId="0" borderId="4" applyAlignment="1" pivotButton="0" quotePrefix="0" xfId="0">
      <alignment horizontal="right" vertical="center"/>
    </xf>
    <xf numFmtId="3" fontId="24" fillId="0" borderId="4" applyAlignment="1" pivotButton="0" quotePrefix="0" xfId="0">
      <alignment horizontal="right" vertical="center"/>
    </xf>
    <xf numFmtId="174" fontId="24" fillId="0" borderId="4" applyAlignment="1" pivotButton="0" quotePrefix="0" xfId="0">
      <alignment horizontal="right" vertical="center"/>
    </xf>
    <xf numFmtId="0" fontId="23" fillId="9" borderId="4" applyAlignment="1" pivotButton="0" quotePrefix="0" xfId="0">
      <alignment horizontal="center" vertical="center" wrapText="1"/>
    </xf>
    <xf numFmtId="49" fontId="24" fillId="0" borderId="4" applyAlignment="1" pivotButton="0" quotePrefix="0" xfId="0">
      <alignment horizontal="left" vertical="center"/>
    </xf>
    <xf numFmtId="175" fontId="24" fillId="0" borderId="4" applyAlignment="1" pivotButton="0" quotePrefix="0" xfId="0">
      <alignment horizontal="center" vertical="center"/>
    </xf>
    <xf numFmtId="1" fontId="24" fillId="0" borderId="4" applyAlignment="1" pivotButton="0" quotePrefix="0" xfId="0">
      <alignment horizontal="center" vertical="center"/>
    </xf>
    <xf numFmtId="176" fontId="24" fillId="0" borderId="4" applyAlignment="1" pivotButton="0" quotePrefix="0" xfId="0">
      <alignment horizontal="right" vertical="center"/>
    </xf>
    <xf numFmtId="175" fontId="24" fillId="0" borderId="4" applyAlignment="1" pivotButton="0" quotePrefix="0" xfId="0">
      <alignment horizontal="center" vertical="center"/>
    </xf>
    <xf numFmtId="176" fontId="24" fillId="0" borderId="4" applyAlignment="1" pivotButton="0" quotePrefix="0" xfId="0">
      <alignment horizontal="right" vertical="center"/>
    </xf>
  </cellXfs>
  <cellStyles count="52">
    <cellStyle name="一般" xfId="0" builtinId="0"/>
    <cellStyle name="千分位" xfId="1" builtinId="3"/>
    <cellStyle name="Comma [0] 2" xfId="2"/>
    <cellStyle name="Comma 10" xfId="3"/>
    <cellStyle name="Comma 11" xfId="4"/>
    <cellStyle name="Comma 12" xfId="5"/>
    <cellStyle name="Comma 13" xfId="6"/>
    <cellStyle name="Comma 14" xfId="7"/>
    <cellStyle name="Comma 15" xfId="8"/>
    <cellStyle name="Comma 16" xfId="9"/>
    <cellStyle name="Comma 17" xfId="10"/>
    <cellStyle name="Comma 18" xfId="11"/>
    <cellStyle name="Comma 19" xfId="12"/>
    <cellStyle name="Comma 2" xfId="13"/>
    <cellStyle name="Comma 2 2" xfId="14"/>
    <cellStyle name="Comma 2 3" xfId="15"/>
    <cellStyle name="Comma 20" xfId="16"/>
    <cellStyle name="Comma 21" xfId="17"/>
    <cellStyle name="Comma 22" xfId="18"/>
    <cellStyle name="Comma 23" xfId="19"/>
    <cellStyle name="Comma 24" xfId="20"/>
    <cellStyle name="Comma 25" xfId="21"/>
    <cellStyle name="Comma 26" xfId="22"/>
    <cellStyle name="Comma 27" xfId="23"/>
    <cellStyle name="Comma 28" xfId="24"/>
    <cellStyle name="Comma 29" xfId="25"/>
    <cellStyle name="Comma 3" xfId="26"/>
    <cellStyle name="Comma 3 2" xfId="27"/>
    <cellStyle name="Comma 30" xfId="28"/>
    <cellStyle name="Comma 31" xfId="29"/>
    <cellStyle name="Comma 32" xfId="30"/>
    <cellStyle name="Comma 33" xfId="31"/>
    <cellStyle name="Comma 4" xfId="32"/>
    <cellStyle name="Comma 5" xfId="33"/>
    <cellStyle name="Comma 6" xfId="34"/>
    <cellStyle name="Comma 7" xfId="35"/>
    <cellStyle name="Comma 8" xfId="36"/>
    <cellStyle name="Comma 9" xfId="37"/>
    <cellStyle name="Normal 2" xfId="38"/>
    <cellStyle name="Normal 2 2" xfId="39"/>
    <cellStyle name="Normal 2 2 2" xfId="40"/>
    <cellStyle name="Normal 3" xfId="41"/>
    <cellStyle name="Normal 4" xfId="42"/>
    <cellStyle name="Normal 5" xfId="43"/>
    <cellStyle name="Normal 6" xfId="44"/>
    <cellStyle name="Normal 7" xfId="45"/>
    <cellStyle name="Percent 2" xfId="46"/>
    <cellStyle name="Percent 2 2" xfId="47"/>
    <cellStyle name="Percent 3" xfId="48"/>
    <cellStyle name="百分比" xfId="49" builtinId="5"/>
    <cellStyle name="Normal 8" xfId="50"/>
    <cellStyle name="Note 2" xfId="5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DengXian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DengXian"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codeName="Sheet1">
    <outlinePr summaryBelow="1" summaryRight="1"/>
    <pageSetUpPr/>
  </sheetPr>
  <dimension ref="A1:GT48"/>
  <sheetViews>
    <sheetView tabSelected="1" zoomScale="85" zoomScaleNormal="85" workbookViewId="0">
      <pane xSplit="3" ySplit="1" topLeftCell="D2" activePane="bottomRight" state="frozen"/>
      <selection pane="topRight" activeCell="A1" sqref="A1"/>
      <selection pane="bottomLeft" activeCell="A1" sqref="A1"/>
      <selection pane="bottomRight" activeCell="DN2" sqref="DN2"/>
    </sheetView>
  </sheetViews>
  <sheetFormatPr baseColWidth="10" defaultColWidth="16" defaultRowHeight="16"/>
  <cols>
    <col width="6.6640625" bestFit="1" customWidth="1" style="2" min="1" max="1"/>
    <col width="9.5" bestFit="1" customWidth="1" style="112" min="2" max="2"/>
    <col width="39" bestFit="1" customWidth="1" style="4" min="3" max="3"/>
    <col width="10.33203125" bestFit="1" customWidth="1" style="6" min="4" max="4"/>
    <col width="11.1640625" bestFit="1" customWidth="1" style="24" min="5" max="5"/>
    <col width="12.6640625" bestFit="1" customWidth="1" style="7" min="6" max="6"/>
    <col width="14.5" bestFit="1" customWidth="1" style="7" min="7" max="7"/>
    <col width="11" bestFit="1" customWidth="1" style="7" min="8" max="8"/>
    <col width="15.83203125" bestFit="1" customWidth="1" style="113" min="9" max="9"/>
    <col width="16.5" bestFit="1" customWidth="1" style="114" min="10" max="10"/>
    <col width="11.1640625" bestFit="1" customWidth="1" style="115" min="11" max="11"/>
    <col width="23.5" bestFit="1" customWidth="1" style="1" min="12" max="12"/>
    <col width="17.5" bestFit="1" customWidth="1" style="1" min="13" max="13"/>
    <col width="21" bestFit="1" customWidth="1" style="1" min="14" max="14"/>
    <col width="18.1640625" bestFit="1" customWidth="1" style="114" min="15" max="15"/>
    <col width="14.83203125" bestFit="1" customWidth="1" style="114" min="16" max="16"/>
    <col width="14.5" bestFit="1" customWidth="1" style="114" min="17" max="17"/>
    <col width="17.6640625" bestFit="1" customWidth="1" style="1" min="18" max="18"/>
    <col width="13.83203125" bestFit="1" customWidth="1" style="1" min="19" max="19"/>
    <col width="12.6640625" bestFit="1" customWidth="1" min="20" max="21"/>
    <col width="16" bestFit="1" customWidth="1" style="27" min="22" max="22"/>
    <col width="16" bestFit="1" customWidth="1" style="1" min="23" max="23"/>
    <col width="18" bestFit="1" customWidth="1" min="24" max="24"/>
    <col width="20.33203125" bestFit="1" customWidth="1" style="1" min="25" max="25"/>
    <col width="14.5" bestFit="1" customWidth="1" style="1" min="26" max="26"/>
    <col width="12" bestFit="1" customWidth="1" min="27" max="28"/>
    <col width="16" bestFit="1" customWidth="1" style="1" min="29" max="29"/>
    <col width="12.6640625" bestFit="1" customWidth="1" min="30" max="31"/>
    <col width="12" bestFit="1" customWidth="1" style="1" min="32" max="32"/>
    <col width="12" bestFit="1" customWidth="1" min="33" max="33"/>
    <col width="11.33203125" bestFit="1" customWidth="1" min="34" max="34"/>
    <col width="14.5" bestFit="1" customWidth="1" style="1" min="35" max="35"/>
    <col width="12" bestFit="1" customWidth="1" min="36" max="37"/>
    <col width="12.5" bestFit="1" customWidth="1" min="38" max="40"/>
    <col width="13" customWidth="1" min="41" max="42"/>
    <col width="12.1640625" bestFit="1" customWidth="1" min="43" max="43"/>
    <col width="21.33203125" bestFit="1" customWidth="1" style="13" min="44" max="44"/>
    <col width="12.33203125" bestFit="1" customWidth="1" min="45" max="45"/>
    <col width="18" bestFit="1" customWidth="1" min="46" max="46"/>
    <col width="21.83203125" bestFit="1" customWidth="1" style="116" min="47" max="47"/>
    <col width="13" customWidth="1" style="117" min="48" max="48"/>
    <col width="12.6640625" bestFit="1" customWidth="1" min="49" max="49"/>
    <col width="16" bestFit="1" customWidth="1" min="50" max="50"/>
    <col width="22.5" customWidth="1" min="51" max="51"/>
    <col width="17.6640625" bestFit="1" customWidth="1" style="118" min="52" max="52"/>
    <col width="18.1640625" bestFit="1" customWidth="1" style="1" min="53" max="53"/>
    <col width="15" bestFit="1" customWidth="1" style="119" min="54" max="54"/>
    <col width="15" customWidth="1" style="118" min="55" max="55"/>
    <col width="15" bestFit="1" customWidth="1" min="56" max="56"/>
    <col width="15" bestFit="1" customWidth="1" style="13" min="57" max="57"/>
    <col width="15" bestFit="1" customWidth="1" style="120" min="58" max="58"/>
    <col width="35" bestFit="1" customWidth="1" style="121" min="59" max="59"/>
    <col width="18" bestFit="1" customWidth="1" style="116" min="60" max="60"/>
    <col width="15" customWidth="1" style="40" min="61" max="61"/>
    <col width="35" bestFit="1" customWidth="1" style="13" min="62" max="62"/>
    <col width="18" bestFit="1" customWidth="1" style="118" min="63" max="63"/>
    <col width="9.83203125" bestFit="1" customWidth="1" min="64" max="64"/>
    <col width="9.83203125" bestFit="1" customWidth="1" style="117" min="65" max="65"/>
    <col width="13.6640625" bestFit="1" customWidth="1" style="13" min="66" max="66"/>
    <col width="15.6640625" bestFit="1" customWidth="1" style="118" min="67" max="67"/>
    <col width="11.83203125" bestFit="1" customWidth="1" min="68" max="68"/>
    <col width="15.5" bestFit="1" customWidth="1" min="69" max="69"/>
    <col width="20.83203125" bestFit="1" customWidth="1" style="40" min="70" max="70"/>
    <col width="11.6640625" bestFit="1" customWidth="1" style="118" min="71" max="71"/>
    <col width="13.83203125" bestFit="1" customWidth="1" style="119" min="72" max="72"/>
    <col width="10.5" bestFit="1" customWidth="1" style="122" min="73" max="73"/>
    <col width="12" customWidth="1" style="27" min="74" max="74"/>
    <col width="10.5" bestFit="1" customWidth="1" style="27" min="75" max="75"/>
    <col width="12" customWidth="1" min="76" max="76"/>
    <col width="10.5" bestFit="1" customWidth="1" style="1" min="77" max="77"/>
    <col width="16" customWidth="1" style="1" min="78" max="78"/>
    <col width="16" bestFit="1" customWidth="1" min="79" max="80"/>
    <col width="11.6640625" bestFit="1" customWidth="1" min="81" max="82"/>
    <col width="11.5" bestFit="1" customWidth="1" min="83" max="83"/>
    <col width="14.5" bestFit="1" customWidth="1" min="84" max="84"/>
    <col width="15.83203125" bestFit="1" customWidth="1" min="85" max="86"/>
    <col width="11.6640625" bestFit="1" customWidth="1" min="87" max="87"/>
    <col width="23.83203125" bestFit="1" customWidth="1" min="88" max="88"/>
    <col width="20.1640625" bestFit="1" customWidth="1" min="89" max="89"/>
    <col width="22.5" customWidth="1" min="90" max="90"/>
    <col width="14.6640625" bestFit="1" customWidth="1" min="91" max="91"/>
    <col width="11.5" bestFit="1" customWidth="1" min="92" max="92"/>
    <col width="16" customWidth="1" min="93" max="93"/>
    <col width="20.1640625" bestFit="1" customWidth="1" min="94" max="94"/>
    <col width="8.33203125" bestFit="1" customWidth="1" min="95" max="95"/>
    <col width="11.5" bestFit="1" customWidth="1" min="96" max="96"/>
    <col width="16.1640625" bestFit="1" customWidth="1" min="97" max="97"/>
    <col width="13.1640625" bestFit="1" customWidth="1" min="98" max="98"/>
    <col width="13.83203125" bestFit="1" customWidth="1" min="99" max="99"/>
    <col width="10.5" bestFit="1" customWidth="1" min="100" max="100"/>
    <col width="18.83203125" bestFit="1" customWidth="1" min="101" max="101"/>
    <col width="22" bestFit="1" customWidth="1" min="102" max="102"/>
    <col width="12.83203125" bestFit="1" customWidth="1" min="103" max="103"/>
    <col width="22.1640625" bestFit="1" customWidth="1" min="104" max="104"/>
    <col width="12.83203125" bestFit="1" customWidth="1" min="105" max="105"/>
    <col width="13.83203125" bestFit="1" customWidth="1" min="106" max="107"/>
    <col width="12.83203125" bestFit="1" customWidth="1" min="108" max="108"/>
    <col width="22.1640625" bestFit="1" customWidth="1" min="109" max="109"/>
    <col width="20.83203125" bestFit="1" customWidth="1" min="110" max="110"/>
    <col width="18" bestFit="1" customWidth="1" min="111" max="111"/>
    <col width="21.6640625" bestFit="1" customWidth="1" min="112" max="112"/>
    <col width="13.83203125" bestFit="1" customWidth="1" min="113" max="113"/>
    <col width="10.1640625" bestFit="1" customWidth="1" min="114" max="114"/>
    <col width="9.1640625" bestFit="1" customWidth="1" min="115" max="115"/>
    <col width="12.83203125" bestFit="1" customWidth="1" min="116" max="116"/>
    <col width="22" bestFit="1" customWidth="1" min="117" max="117"/>
    <col width="12.5" bestFit="1" customWidth="1" min="118" max="118"/>
    <col width="17.1640625" bestFit="1" customWidth="1" min="119" max="119"/>
    <col width="11.33203125" bestFit="1" customWidth="1" min="120" max="120"/>
    <col width="15.33203125" customWidth="1" min="121" max="121"/>
    <col width="16" customWidth="1" min="122" max="122"/>
    <col width="18" customWidth="1" min="123" max="125"/>
    <col width="22" customWidth="1" min="124" max="124"/>
    <col width="40" customWidth="1" min="126" max="126"/>
    <col width="18" customWidth="1" min="127" max="127"/>
    <col width="40" customWidth="1" min="128" max="128"/>
    <col width="26" customWidth="1" min="129" max="129"/>
    <col width="28" customWidth="1" min="130" max="130"/>
    <col width="16" customWidth="1" style="1" min="131" max="131"/>
    <col width="16" customWidth="1" style="1" min="132" max="16384"/>
    <col width="18" customWidth="1" min="139" max="139"/>
    <col width="21" customWidth="1" min="140" max="140"/>
    <col width="20" customWidth="1" min="141" max="141"/>
    <col width="24" customWidth="1" min="142" max="142"/>
    <col width="18" customWidth="1" min="143" max="143"/>
    <col width="18" customWidth="1" min="144" max="144"/>
    <col width="19" customWidth="1" min="145" max="145"/>
    <col width="20" customWidth="1" min="146" max="146"/>
    <col width="22" customWidth="1" min="147" max="147"/>
    <col width="21" customWidth="1" min="148" max="148"/>
    <col width="20" customWidth="1" min="149" max="149"/>
    <col width="24" customWidth="1" min="150" max="150"/>
    <col width="18" customWidth="1" min="151" max="151"/>
    <col width="18" customWidth="1" min="152" max="152"/>
    <col width="19" customWidth="1" min="153" max="153"/>
    <col width="20" customWidth="1" min="154" max="154"/>
    <col width="22" customWidth="1" min="155" max="155"/>
    <col width="26" customWidth="1" min="156" max="156"/>
    <col width="22" customWidth="1" min="157" max="157"/>
    <col width="24" customWidth="1" min="158" max="158"/>
    <col width="22" customWidth="1" min="159" max="159"/>
    <col width="24" customWidth="1" min="160" max="160"/>
    <col width="21" customWidth="1" min="161" max="161"/>
    <col width="22" customWidth="1" min="162" max="162"/>
    <col width="32" customWidth="1" min="163" max="163"/>
    <col width="35" customWidth="1" min="164" max="164"/>
    <col width="25" customWidth="1" min="165" max="165"/>
    <col width="36" customWidth="1" min="166" max="166"/>
    <col width="38" customWidth="1" min="167" max="167"/>
    <col width="44" customWidth="1" min="168" max="168"/>
    <col width="41" customWidth="1" min="169" max="169"/>
    <col width="47" customWidth="1" min="170" max="170"/>
    <col width="48" customWidth="1" min="171" max="171"/>
    <col width="44" customWidth="1" min="172" max="172"/>
    <col width="33" customWidth="1" min="173" max="173"/>
    <col width="31" customWidth="1" min="174" max="174"/>
    <col width="34" customWidth="1" min="175" max="175"/>
    <col width="32" customWidth="1" min="176" max="176"/>
    <col width="35" customWidth="1" min="177" max="177"/>
    <col width="33" customWidth="1" min="178" max="178"/>
    <col width="36" customWidth="1" min="179" max="179"/>
    <col width="39" customWidth="1" min="180" max="180"/>
    <col width="31" customWidth="1" min="181" max="181"/>
    <col width="36" customWidth="1" min="182" max="182"/>
    <col width="48" customWidth="1" min="183" max="183"/>
    <col width="33" customWidth="1" min="184" max="184"/>
    <col width="62" customWidth="1" min="185" max="185"/>
    <col width="68" customWidth="1" min="186" max="186"/>
    <col width="38" customWidth="1" min="187" max="187"/>
    <col width="40" customWidth="1" min="188" max="188"/>
    <col width="40" customWidth="1" min="189" max="189"/>
    <col width="20" customWidth="1" min="190" max="190"/>
    <col width="22" customWidth="1" min="191" max="191"/>
    <col width="41" customWidth="1" min="192" max="192"/>
    <col width="40" customWidth="1" min="193" max="193"/>
    <col width="52" customWidth="1" min="194" max="194"/>
    <col width="34" customWidth="1" min="195" max="195"/>
    <col width="29" customWidth="1" min="196" max="196"/>
    <col width="40" customWidth="1" min="197" max="197"/>
    <col width="31" customWidth="1" min="198" max="198"/>
    <col width="39" customWidth="1" min="199" max="199"/>
    <col width="35" customWidth="1" min="200" max="200"/>
    <col width="33" customWidth="1" min="201" max="201"/>
    <col width="29" customWidth="1" min="202" max="202"/>
  </cols>
  <sheetData>
    <row r="1" ht="120" customFormat="1" customHeight="1" s="21" thickBot="1">
      <c r="A1" s="32" t="inlineStr">
        <is>
          <t>HKEx file# of the year</t>
        </is>
      </c>
      <c r="B1" s="123" t="inlineStr">
        <is>
          <t>Stock Code</t>
        </is>
      </c>
      <c r="C1" s="34" t="inlineStr">
        <is>
          <t>Company Name at time of listing
(exclude Chapter 20 cases)</t>
        </is>
      </c>
      <c r="D1" s="35" t="inlineStr">
        <is>
          <t>Date of Prospectus (dd/mm/yy)</t>
        </is>
      </c>
      <c r="E1" s="35" t="inlineStr">
        <is>
          <t>Date of Listing (dd/mm/yy)</t>
        </is>
      </c>
      <c r="F1" s="36" t="inlineStr">
        <is>
          <t>Sponsor(s)</t>
        </is>
      </c>
      <c r="G1" s="36" t="inlineStr">
        <is>
          <t>Reporting Accountants</t>
        </is>
      </c>
      <c r="H1" s="36" t="inlineStr">
        <is>
          <t>Valuer(s)</t>
        </is>
      </c>
      <c r="I1" s="124" t="inlineStr">
        <is>
          <t>Funds Raised HK (a)</t>
        </is>
      </c>
      <c r="J1" s="125" t="inlineStr">
        <is>
          <t>Funds Raised Int.(b)</t>
        </is>
      </c>
      <c r="K1" s="126" t="inlineStr">
        <is>
          <t xml:space="preserve"> IPO Subscription Price (HK$)</t>
        </is>
      </c>
      <c r="L1" s="29" t="inlineStr">
        <is>
          <t>Total (without option)</t>
        </is>
      </c>
      <c r="M1" s="29" t="inlineStr">
        <is>
          <t>Global Offering (without option)</t>
        </is>
      </c>
      <c r="N1" s="29" t="inlineStr">
        <is>
          <t>Number of offer shares under the capitalization Issue</t>
        </is>
      </c>
      <c r="O1" s="127" t="inlineStr">
        <is>
          <t>Number of offer shares under Capitalization Rest</t>
        </is>
      </c>
      <c r="P1" s="127" t="inlineStr">
        <is>
          <t>Sale Shares</t>
        </is>
      </c>
      <c r="Q1" s="127" t="inlineStr">
        <is>
          <t xml:space="preserve">New shares </t>
        </is>
      </c>
      <c r="R1" s="29" t="inlineStr">
        <is>
          <t>Placing Shares</t>
        </is>
      </c>
      <c r="S1" s="29" t="inlineStr">
        <is>
          <t>Public Offer shares</t>
        </is>
      </c>
      <c r="T1" s="128" t="inlineStr">
        <is>
          <t>Maximum Offer Price</t>
        </is>
      </c>
      <c r="U1" s="128" t="inlineStr">
        <is>
          <t>Minimum Offer Price</t>
        </is>
      </c>
      <c r="V1" s="166" t="inlineStr">
        <is>
          <t>Filing price revision (%)</t>
        </is>
      </c>
      <c r="W1" s="166" t="inlineStr">
        <is>
          <t>Filing range width (%)</t>
        </is>
      </c>
      <c r="X1" s="166" t="inlineStr">
        <is>
          <t>Pricing position in filing range</t>
        </is>
      </c>
      <c r="Y1" s="42" t="inlineStr">
        <is>
          <t>currency in financial information</t>
        </is>
      </c>
      <c r="Z1" s="42" t="inlineStr">
        <is>
          <t>total assets in year-3 (3 years before IPO)</t>
        </is>
      </c>
      <c r="AA1" s="42" t="inlineStr">
        <is>
          <t>total assets in year-2</t>
        </is>
      </c>
      <c r="AB1" s="42" t="inlineStr">
        <is>
          <t>total assets in year-1</t>
        </is>
      </c>
      <c r="AC1" s="42" t="inlineStr">
        <is>
          <t>total equity in year-3</t>
        </is>
      </c>
      <c r="AD1" s="42" t="inlineStr">
        <is>
          <t>total equity in year-2</t>
        </is>
      </c>
      <c r="AE1" s="42" t="inlineStr">
        <is>
          <t>total equity in year-1</t>
        </is>
      </c>
      <c r="AF1" s="42" t="inlineStr">
        <is>
          <t>total liability in year-3</t>
        </is>
      </c>
      <c r="AG1" s="42" t="inlineStr">
        <is>
          <t>total liability in year-2</t>
        </is>
      </c>
      <c r="AH1" s="42" t="inlineStr">
        <is>
          <t>total liability in year-1</t>
        </is>
      </c>
      <c r="AI1" s="42" t="inlineStr">
        <is>
          <t>Net sales in year-3</t>
        </is>
      </c>
      <c r="AJ1" s="42" t="inlineStr">
        <is>
          <t>Net sales in year-2</t>
        </is>
      </c>
      <c r="AK1" s="29" t="inlineStr">
        <is>
          <t>Net sales in year-1</t>
        </is>
      </c>
      <c r="AL1" s="29" t="inlineStr">
        <is>
          <t>Profit before tax in year-3</t>
        </is>
      </c>
      <c r="AM1" s="29" t="inlineStr">
        <is>
          <t>Profit before tax in year-2</t>
        </is>
      </c>
      <c r="AN1" s="29" t="inlineStr">
        <is>
          <t>Profit before tax in year-1</t>
        </is>
      </c>
      <c r="AO1" s="29" t="inlineStr">
        <is>
          <t>Profit for the year in year-3</t>
        </is>
      </c>
      <c r="AP1" s="29" t="inlineStr">
        <is>
          <t>Profit for the year in year-2</t>
        </is>
      </c>
      <c r="AQ1" s="29" t="inlineStr">
        <is>
          <t>Profit for the year in year-1</t>
        </is>
      </c>
      <c r="AR1" s="29" t="inlineStr">
        <is>
          <t>Underwriting Commission (% of fund raised HK (a)</t>
        </is>
      </c>
      <c r="AS1" s="29" t="inlineStr">
        <is>
          <t>Underwriting Commission (% of fund raised Int.(b)</t>
        </is>
      </c>
      <c r="AT1" s="29" t="inlineStr">
        <is>
          <t>Over-allotment Option (%)</t>
        </is>
      </c>
      <c r="AU1" s="29" t="inlineStr">
        <is>
          <t>Principal business / industry</t>
        </is>
      </c>
      <c r="AV1" s="29" t="inlineStr">
        <is>
          <t>Listing route / applicable chapter</t>
        </is>
      </c>
      <c r="AW1" s="29" t="inlineStr">
        <is>
          <t>Year-1 financial period end (dd/mm/yy)</t>
        </is>
      </c>
      <c r="AX1" s="29" t="inlineStr">
        <is>
          <t>Operating cash flow in year-1 (before annualization)</t>
        </is>
      </c>
      <c r="AY1" s="29" t="inlineStr">
        <is>
          <t>Cash and cash equivalents at year-1 end</t>
        </is>
      </c>
      <c r="AZ1" s="29" t="inlineStr">
        <is>
          <t>R&amp;D expensed in year-1 (before annualization)</t>
        </is>
      </c>
      <c r="BA1" s="29" t="inlineStr">
        <is>
          <t>Development costs capitalized in year-1 (additions, before annualization)</t>
        </is>
      </c>
      <c r="BB1" s="29" t="inlineStr">
        <is>
          <t>Top 5 customers (% of year-1 revenue)</t>
        </is>
      </c>
      <c r="BC1" s="57" t="inlineStr">
        <is>
          <t>Comments (nearest sales&amp; profit adjustment factor - original data duration in year, eg. 6 month pls input 0.5)</t>
        </is>
      </c>
      <c r="BD1" s="56" t="inlineStr">
        <is>
          <t>Pre-IPO VC/PE backing (1=yes; 0=no)</t>
        </is>
      </c>
      <c r="BE1" s="160" t="inlineStr">
        <is>
          <t>Pre-IPO VC backing (1=yes; 0=no)</t>
        </is>
      </c>
      <c r="BF1" s="160" t="inlineStr">
        <is>
          <t>Pre-IPO PE backing (1=yes; 0=no)</t>
        </is>
      </c>
      <c r="BG1" s="160" t="inlineStr">
        <is>
          <t>Pre-IPO CVC backing (1=yes; 0=no)</t>
        </is>
      </c>
      <c r="BH1" s="160" t="inlineStr">
        <is>
          <t>Pre-IPO State/Gov backing (1=yes; 0=no)</t>
        </is>
      </c>
      <c r="BI1" s="160" t="inlineStr">
        <is>
          <t>Top-tier VC/PE backing (1=yes; 0=no)</t>
        </is>
      </c>
      <c r="BJ1" s="160" t="inlineStr">
        <is>
          <t>Key Pre-IPO investors</t>
        </is>
      </c>
      <c r="BK1" s="160" t="inlineStr">
        <is>
          <t>Pre-IPO institutional shareholding (%)</t>
        </is>
      </c>
      <c r="BL1" s="160" t="inlineStr">
        <is>
          <t>Pre-IPO investor board seat (1=yes; 0=no)</t>
        </is>
      </c>
      <c r="BM1" s="160" t="inlineStr">
        <is>
          <t>Earliest Pre-IPO investment round</t>
        </is>
      </c>
      <c r="BN1" s="160" t="inlineStr">
        <is>
          <t>Pre-IPO holding duration (years)</t>
        </is>
      </c>
      <c r="BO1" s="56" t="inlineStr">
        <is>
          <t>Ultimate controller type</t>
        </is>
      </c>
      <c r="BP1" s="56" t="inlineStr">
        <is>
          <t>Controller economic interest at listing (%)</t>
        </is>
      </c>
      <c r="BQ1" s="56" t="inlineStr">
        <is>
          <t>Controller voting rights at listing (%)</t>
        </is>
      </c>
      <c r="BR1" s="57" t="inlineStr">
        <is>
          <t>Interest-bearing debt at year-1 end</t>
        </is>
      </c>
      <c r="BS1" s="129" t="inlineStr">
        <is>
          <t>Technology commercialization stage</t>
        </is>
      </c>
      <c r="BT1" s="129" t="inlineStr">
        <is>
          <t>Debt repayment (% of planned net IPO proceeds)</t>
        </is>
      </c>
      <c r="BU1" s="129" t="inlineStr">
        <is>
          <t>Listing board</t>
        </is>
      </c>
      <c r="BV1" s="129" t="inlineStr">
        <is>
          <t>Share class</t>
        </is>
      </c>
      <c r="BW1" s="129" t="inlineStr">
        <is>
          <t>A+H issuer flag</t>
        </is>
      </c>
      <c r="BX1" s="129" t="inlineStr">
        <is>
          <t>WVR flag</t>
        </is>
      </c>
      <c r="BY1" s="129" t="inlineStr">
        <is>
          <t>Chapter 18A flag</t>
        </is>
      </c>
      <c r="BZ1" s="129" t="inlineStr">
        <is>
          <t>Chapter 18C flag</t>
        </is>
      </c>
      <c r="CA1" s="129" t="inlineStr">
        <is>
          <t>Industry classification code</t>
        </is>
      </c>
      <c r="CB1" s="129" t="inlineStr">
        <is>
          <t>Industry classification system and version</t>
        </is>
      </c>
      <c r="CC1" s="129" t="inlineStr">
        <is>
          <t>Incorporation date</t>
        </is>
      </c>
      <c r="CD1" s="167" t="inlineStr">
        <is>
          <t>Firm age at IPO (years)</t>
        </is>
      </c>
      <c r="CE1" s="129" t="inlineStr">
        <is>
          <t>Place of incorporation</t>
        </is>
      </c>
      <c r="CF1" s="129" t="inlineStr">
        <is>
          <t>Principal place of business</t>
        </is>
      </c>
      <c r="CG1" s="129" t="inlineStr">
        <is>
          <t>Financial statement unit multiplier</t>
        </is>
      </c>
      <c r="CH1" s="129" t="inlineStr">
        <is>
          <t>Accounting standard</t>
        </is>
      </c>
      <c r="CI1" s="129" t="inlineStr">
        <is>
          <t>Year-3 financial period start</t>
        </is>
      </c>
      <c r="CJ1" s="129" t="inlineStr">
        <is>
          <t>Year-3 financial period end</t>
        </is>
      </c>
      <c r="CK1" s="129" t="inlineStr">
        <is>
          <t>Year-2 financial period start</t>
        </is>
      </c>
      <c r="CL1" s="129" t="inlineStr">
        <is>
          <t>Year-2 financial period end</t>
        </is>
      </c>
      <c r="CM1" s="129" t="inlineStr">
        <is>
          <t>Year-1 financial period start</t>
        </is>
      </c>
      <c r="CN1" s="129" t="inlineStr">
        <is>
          <t>Year-1 net sales (original, pre-annualization)</t>
        </is>
      </c>
      <c r="CO1" s="129" t="inlineStr">
        <is>
          <t>Year-1 profit before tax (original)</t>
        </is>
      </c>
      <c r="CP1" s="129" t="inlineStr">
        <is>
          <t>Year-1 profit for period (original)</t>
        </is>
      </c>
      <c r="CQ1" s="129" t="inlineStr">
        <is>
          <t>Subscription opening date</t>
        </is>
      </c>
      <c r="CR1" s="129" t="inlineStr">
        <is>
          <t>Subscription closing date</t>
        </is>
      </c>
      <c r="CS1" s="129" t="inlineStr">
        <is>
          <t>H shares after IPO (base; no options)</t>
        </is>
      </c>
      <c r="CT1" s="129" t="inlineStr">
        <is>
          <t>Gross profit in year-1</t>
        </is>
      </c>
      <c r="CU1" s="129" t="inlineStr">
        <is>
          <t>Capital expenditure in year-1</t>
        </is>
      </c>
      <c r="CV1" s="129" t="inlineStr">
        <is>
          <t>Audit opinion (year-1)</t>
        </is>
      </c>
      <c r="CW1" s="129" t="inlineStr">
        <is>
          <t>Listing expenses (HK$)</t>
        </is>
      </c>
      <c r="CX1" s="55" t="inlineStr">
        <is>
          <t>Cornerstone investor names</t>
        </is>
      </c>
      <c r="CY1" s="55" t="inlineStr">
        <is>
          <t>Final cornerstone allocation (% of base offer)</t>
        </is>
      </c>
      <c r="CZ1" s="55" t="inlineStr">
        <is>
          <t>Earliest cornerstone unlock date (dd/mm/yy)</t>
        </is>
      </c>
      <c r="DA1" s="55" t="inlineStr">
        <is>
          <t>Subscription Ratio (times)</t>
        </is>
      </c>
      <c r="DB1" s="58" t="inlineStr">
        <is>
          <t>Public applicants</t>
        </is>
      </c>
      <c r="DC1" s="58" t="inlineStr">
        <is>
          <t>Public valid applied shares</t>
        </is>
      </c>
      <c r="DD1" s="58" t="inlineStr">
        <is>
          <t>Public subscription original wording</t>
        </is>
      </c>
      <c r="DE1" s="58" t="inlineStr">
        <is>
          <t>Pricing date</t>
        </is>
      </c>
      <c r="DF1" s="58" t="inlineStr">
        <is>
          <t>Allotment announcement date</t>
        </is>
      </c>
      <c r="DG1" s="58" t="inlineStr">
        <is>
          <t>Final global offering shares (before over-allotment)</t>
        </is>
      </c>
      <c r="DH1" s="58" t="inlineStr">
        <is>
          <t>Final public offer shares</t>
        </is>
      </c>
      <c r="DI1" s="58" t="inlineStr">
        <is>
          <t>Final placing shares</t>
        </is>
      </c>
      <c r="DJ1" s="58" t="inlineStr">
        <is>
          <t>Over-allotment shares actually issued</t>
        </is>
      </c>
      <c r="DK1" s="168" t="inlineStr">
        <is>
          <t>Greenshoe exercise rate (%)</t>
        </is>
      </c>
      <c r="DL1" s="58" t="inlineStr">
        <is>
          <t>Actual clawback / reallocation description</t>
        </is>
      </c>
      <c r="DM1" s="55" t="inlineStr">
        <is>
          <t>Net IPO proceeds to issuer (HK$)</t>
        </is>
      </c>
      <c r="DN1" s="55" t="inlineStr">
        <is>
          <t>Public shareholding at listing (%)</t>
        </is>
      </c>
      <c r="DO1" s="55" t="inlineStr">
        <is>
          <t>Share base used for both public shareholding ratios</t>
        </is>
      </c>
      <c r="DP1" s="55" t="inlineStr">
        <is>
          <t>Unrestricted public shareholding at listing (%)</t>
        </is>
      </c>
      <c r="DQ1" s="58" t="inlineStr">
        <is>
          <t>Free float denominator description</t>
        </is>
      </c>
      <c r="DR1" s="58" t="inlineStr">
        <is>
          <t>Free float denominator shares</t>
        </is>
      </c>
      <c r="DS1" s="55" t="inlineStr">
        <is>
          <t>HSI return over 20 trading days before prospectus (%)</t>
        </is>
      </c>
      <c r="DT1" s="55" t="inlineStr">
        <is>
          <t>HK ordinary IPO count in 90 calendar days before prospectus</t>
        </is>
      </c>
      <c r="DU1" s="55" t="inlineStr">
        <is>
          <t>1-month HIBOR before prospectus (%)</t>
        </is>
      </c>
      <c r="DV1" s="55" t="inlineStr">
        <is>
          <t>Banking system aggregate balance before prospectus (HK$)</t>
        </is>
      </c>
      <c r="DW1" s="55" t="inlineStr">
        <is>
          <t>First trading day closing price (HK$)</t>
        </is>
      </c>
      <c r="DX1" s="168" t="inlineStr">
        <is>
          <t>First-day return / Underpricing (%)</t>
        </is>
      </c>
      <c r="DY1" s="168" t="inlineStr">
        <is>
          <t>Money left on the table (HK$)</t>
        </is>
      </c>
      <c r="DZ1" s="58" t="inlineStr">
        <is>
          <t>First trading day opening price (HK$)</t>
        </is>
      </c>
      <c r="EA1" s="58" t="inlineStr">
        <is>
          <t>First trading day high (HK$)</t>
        </is>
      </c>
      <c r="EB1" s="58" t="inlineStr">
        <is>
          <t>First trading day low (HK$)</t>
        </is>
      </c>
      <c r="EC1" s="58" t="inlineStr">
        <is>
          <t>First trading day volume (shares)</t>
        </is>
      </c>
      <c r="ED1" s="168" t="inlineStr">
        <is>
          <t>First-day flipping ratio (%)</t>
        </is>
      </c>
      <c r="EE1" s="58" t="inlineStr">
        <is>
          <t>First trading day turnover (HK$)</t>
        </is>
      </c>
      <c r="EF1" s="58" t="inlineStr">
        <is>
          <t>Offer mechanism</t>
        </is>
      </c>
      <c r="EG1" s="58" t="inlineStr">
        <is>
          <t>Applicable IPO rules / transition basis</t>
        </is>
      </c>
      <c r="EH1" s="55" t="inlineStr">
        <is>
          <t>Company Chinese Name</t>
        </is>
      </c>
      <c r="EI1" s="173" t="inlineStr">
        <is>
          <t>Current listing status</t>
        </is>
      </c>
      <c r="EJ1" s="173" t="inlineStr">
        <is>
          <t>1-month post-IPO close price (HK$)</t>
        </is>
      </c>
      <c r="EK1" s="173" t="inlineStr">
        <is>
          <t>1-month BHR from Day-1 close (%)</t>
        </is>
      </c>
      <c r="EL1" s="173" t="inlineStr">
        <is>
          <t>1-month total return from offer price (%)</t>
        </is>
      </c>
      <c r="EM1" s="173" t="inlineStr">
        <is>
          <t>1-month HSI return (%)</t>
        </is>
      </c>
      <c r="EN1" s="173" t="inlineStr">
        <is>
          <t>1-month HSTECH return (%)</t>
        </is>
      </c>
      <c r="EO1" s="173" t="inlineStr">
        <is>
          <t>1-month wealth relative vs HSI</t>
        </is>
      </c>
      <c r="EP1" s="173" t="inlineStr">
        <is>
          <t>1-month wealth relative vs HSTECH</t>
        </is>
      </c>
      <c r="EQ1" s="173" t="inlineStr">
        <is>
          <t>1-month average daily turnover (HK$)</t>
        </is>
      </c>
      <c r="ER1" s="173" t="inlineStr">
        <is>
          <t>6-month post-IPO close price (HK$)</t>
        </is>
      </c>
      <c r="ES1" s="173" t="inlineStr">
        <is>
          <t>6-month BHR from Day-1 close (%)</t>
        </is>
      </c>
      <c r="ET1" s="173" t="inlineStr">
        <is>
          <t>6-month total return from offer price (%)</t>
        </is>
      </c>
      <c r="EU1" s="173" t="inlineStr">
        <is>
          <t>6-month HSI return (%)</t>
        </is>
      </c>
      <c r="EV1" s="173" t="inlineStr">
        <is>
          <t>6-month HSTECH return (%)</t>
        </is>
      </c>
      <c r="EW1" s="173" t="inlineStr">
        <is>
          <t>6-month wealth relative vs HSI</t>
        </is>
      </c>
      <c r="EX1" s="173" t="inlineStr">
        <is>
          <t>6-month wealth relative vs HSTECH</t>
        </is>
      </c>
      <c r="EY1" s="173" t="inlineStr">
        <is>
          <t>6-month average daily turnover (HK$)</t>
        </is>
      </c>
      <c r="EZ1" s="173" t="inlineStr">
        <is>
          <t>Liquidity decay ratio (6M vs Day-1 turnover)</t>
        </is>
      </c>
      <c r="FA1" s="173" t="inlineStr">
        <is>
          <t>1-year post-IPO return (%) [Reserved]</t>
        </is>
      </c>
      <c r="FB1" s="173" t="inlineStr">
        <is>
          <t>1-year wealth relative vs HSI [Reserved]</t>
        </is>
      </c>
      <c r="FC1" s="173" t="inlineStr">
        <is>
          <t>3-year post-IPO return (%) [Reserved]</t>
        </is>
      </c>
      <c r="FD1" s="173" t="inlineStr">
        <is>
          <t>3-year wealth relative vs HSI [Reserved]</t>
        </is>
      </c>
      <c r="FE1" s="173" t="inlineStr">
        <is>
          <t>18A/18C regulatory milestone status</t>
        </is>
      </c>
      <c r="FF1" s="180" t="inlineStr">
        <is>
          <t>Stabilizing manager</t>
        </is>
      </c>
      <c r="FG1" s="180" t="inlineStr">
        <is>
          <t>Stabilization period end date</t>
        </is>
      </c>
      <c r="FH1" s="180" t="inlineStr">
        <is>
          <t>Stabilization purchases occurred</t>
        </is>
      </c>
      <c r="FI1" s="180" t="inlineStr">
        <is>
          <t>Over-allocation shares</t>
        </is>
      </c>
      <c r="FJ1" s="180" t="inlineStr">
        <is>
          <t>Over-allocation (% of base offer)</t>
        </is>
      </c>
      <c r="FK1" s="180" t="inlineStr">
        <is>
          <t>Over-allotment option exercise date</t>
        </is>
      </c>
      <c r="FL1" s="180" t="inlineStr">
        <is>
          <t>Shares issued under over-allotment option</t>
        </is>
      </c>
      <c r="FM1" s="180" t="inlineStr">
        <is>
          <t>Over-allotment exercise percentage (%)</t>
        </is>
      </c>
      <c r="FN1" s="180" t="inlineStr">
        <is>
          <t>Post-stabilization cliff return [-5, +5] (%)</t>
        </is>
      </c>
      <c r="FO1" s="180" t="inlineStr">
        <is>
          <t>Post-stabilization 20-day return [0, +20] (%)</t>
        </is>
      </c>
      <c r="FP1" s="180" t="inlineStr">
        <is>
          <t>Post-stabilization volume decay ratio (%)</t>
        </is>
      </c>
      <c r="FQ1" s="180" t="inlineStr">
        <is>
          <t>Day-5 BHR from Day-1 close (%)</t>
        </is>
      </c>
      <c r="FR1" s="180" t="inlineStr">
        <is>
          <t>Day-5 wealth relative vs HSI</t>
        </is>
      </c>
      <c r="FS1" s="180" t="inlineStr">
        <is>
          <t>Day-20 BHR from Day-1 close (%)</t>
        </is>
      </c>
      <c r="FT1" s="180" t="inlineStr">
        <is>
          <t>Day-20 wealth relative vs HSI</t>
        </is>
      </c>
      <c r="FU1" s="180" t="inlineStr">
        <is>
          <t>3-month BHR from Day-1 close (%)</t>
        </is>
      </c>
      <c r="FV1" s="180" t="inlineStr">
        <is>
          <t>3-month wealth relative vs HSI</t>
        </is>
      </c>
      <c r="FW1" s="180" t="inlineStr">
        <is>
          <t>3-month wealth relative vs HSTECH</t>
        </is>
      </c>
      <c r="FX1" s="180" t="inlineStr">
        <is>
          <t>3-month average daily turnover (HK$)</t>
        </is>
      </c>
      <c r="FY1" s="180" t="inlineStr">
        <is>
          <t>Amihud illiquidity (6M mean)</t>
        </is>
      </c>
      <c r="FZ1" s="180" t="inlineStr">
        <is>
          <t>Zero-volume days count (first 6M)</t>
        </is>
      </c>
      <c r="GA1" s="180" t="inlineStr">
        <is>
          <t>Return volatility (first 6M daily std dev, %)</t>
        </is>
      </c>
      <c r="GB1" s="180" t="inlineStr">
        <is>
          <t>Maximum drawdown (first 6M, %)</t>
        </is>
      </c>
      <c r="GC1" s="180" t="inlineStr">
        <is>
          <t>Controlling shareholder 6-month disposal lockup expiry date</t>
        </is>
      </c>
      <c r="GD1" s="180" t="inlineStr">
        <is>
          <t>Controlling shareholder 12-month cessation of control expiry date</t>
        </is>
      </c>
      <c r="GE1" s="180" t="inlineStr">
        <is>
          <t>Cornerstone unlock CAR [-5, +5] (%)</t>
        </is>
      </c>
      <c r="GF1" s="180" t="inlineStr">
        <is>
          <t>Cornerstone unlock CAR [-20, +20] (%)</t>
        </is>
      </c>
      <c r="GG1" s="180" t="inlineStr">
        <is>
          <t>Cornerstone unlock volume shock ratio</t>
        </is>
      </c>
      <c r="GH1" s="180" t="inlineStr">
        <is>
          <t>Lead sponsor name</t>
        </is>
      </c>
      <c r="GI1" s="180" t="inlineStr">
        <is>
          <t>Joint sponsor count</t>
        </is>
      </c>
      <c r="GJ1" s="180" t="inlineStr">
        <is>
          <t>Sponsor commercial bank affiliate flag</t>
        </is>
      </c>
      <c r="GK1" s="180" t="inlineStr">
        <is>
          <t>Underwriting base commission rate (%)</t>
        </is>
      </c>
      <c r="GL1" s="180" t="inlineStr">
        <is>
          <t>Underwriting discretionary incentive fee rate (%)</t>
        </is>
      </c>
      <c r="GM1" s="180" t="inlineStr">
        <is>
          <t>Total underwriting fee rate (%)</t>
        </is>
      </c>
      <c r="GN1" s="180" t="inlineStr">
        <is>
          <t>Cornerstone investor count</t>
        </is>
      </c>
      <c r="GO1" s="180" t="inlineStr">
        <is>
          <t>Cornerstone state-owned presence flag</t>
        </is>
      </c>
      <c r="GP1" s="180" t="inlineStr">
        <is>
          <t>Crossover fund presence flag</t>
        </is>
      </c>
      <c r="GQ1" s="180" t="inlineStr">
        <is>
          <t>Pre-IPO institutional investor count</t>
        </is>
      </c>
      <c r="GR1" s="180" t="inlineStr">
        <is>
          <t>Pre-IPO state-owned backing flag</t>
        </is>
      </c>
      <c r="GS1" s="180" t="inlineStr">
        <is>
          <t>FINI digital settlement regime</t>
        </is>
      </c>
      <c r="GT1" s="180" t="inlineStr">
        <is>
          <t>2025 pricing reform regime</t>
        </is>
      </c>
    </row>
    <row r="2" ht="103" customFormat="1" customHeight="1" s="12" thickTop="1">
      <c r="A2" s="43" t="n">
        <v>70</v>
      </c>
      <c r="B2" s="47" t="inlineStr">
        <is>
          <t>2652.HK</t>
        </is>
      </c>
      <c r="C2" s="44" t="inlineStr">
        <is>
          <t>CF PharmTech, Inc. - H shares</t>
        </is>
      </c>
      <c r="D2" s="130" t="n">
        <v>45926</v>
      </c>
      <c r="E2" s="48" t="n">
        <v>45938</v>
      </c>
      <c r="F2" s="43" t="inlineStr">
        <is>
          <t>CITIC Securities (Hong Kong) Limited/
CMB International Capital Limited</t>
        </is>
      </c>
      <c r="G2" s="43" t="inlineStr">
        <is>
          <t>Ernst &amp; Young</t>
        </is>
      </c>
      <c r="H2" s="43" t="inlineStr">
        <is>
          <t>Cushman &amp; Wakefield Limited</t>
        </is>
      </c>
      <c r="I2" s="131" t="n">
        <v>60770000</v>
      </c>
      <c r="J2" s="132" t="n">
        <v>546900500</v>
      </c>
      <c r="K2" s="133" t="n">
        <v>14.75</v>
      </c>
      <c r="L2" t="n">
        <v>411978387</v>
      </c>
      <c r="M2" s="67" t="n">
        <v>41198000</v>
      </c>
      <c r="N2" t="n">
        <v>370780387</v>
      </c>
      <c r="O2" t="n">
        <v>370780387</v>
      </c>
      <c r="P2" t="n">
        <v>0</v>
      </c>
      <c r="Q2" t="n">
        <v>41198000</v>
      </c>
      <c r="R2" s="67" t="n">
        <v>37078000</v>
      </c>
      <c r="S2" s="67" t="n">
        <v>4120000</v>
      </c>
      <c r="T2" s="134" t="n">
        <v>14.75</v>
      </c>
      <c r="U2" s="134" t="n">
        <v>14.75</v>
      </c>
      <c r="V2" s="169" t="n">
        <v>0</v>
      </c>
      <c r="W2" s="169" t="n">
        <v>0</v>
      </c>
      <c r="X2" s="170" t="inlineStr">
        <is>
          <t>Fixed price</t>
        </is>
      </c>
      <c r="Y2" s="26" t="inlineStr">
        <is>
          <t>RMB</t>
        </is>
      </c>
      <c r="Z2" s="117" t="n">
        <v>1135145000</v>
      </c>
      <c r="AA2" s="117" t="n">
        <v>1259026000</v>
      </c>
      <c r="AB2" s="117" t="n">
        <v>1247980000</v>
      </c>
      <c r="AC2" s="117" t="n">
        <v>910023000</v>
      </c>
      <c r="AD2" s="117" t="n">
        <v>939282000</v>
      </c>
      <c r="AE2" s="117" t="n">
        <v>958737000</v>
      </c>
      <c r="AF2" s="117" t="n">
        <v>225122000</v>
      </c>
      <c r="AG2" s="117" t="n">
        <v>319744000</v>
      </c>
      <c r="AH2" s="117" t="n">
        <v>289243000</v>
      </c>
      <c r="AI2" s="117" t="n">
        <v>556421000</v>
      </c>
      <c r="AJ2" s="117" t="n">
        <v>607752000</v>
      </c>
      <c r="AK2" s="117" t="n">
        <v>543768000</v>
      </c>
      <c r="AL2" s="117" t="n">
        <v>22443000</v>
      </c>
      <c r="AM2" s="117" t="n">
        <v>19184000</v>
      </c>
      <c r="AN2" s="117" t="n">
        <v>45708000</v>
      </c>
      <c r="AO2" s="117" t="n">
        <v>31726000</v>
      </c>
      <c r="AP2" s="117" t="n">
        <v>21088000</v>
      </c>
      <c r="AQ2" s="117" t="n">
        <v>51260000</v>
      </c>
      <c r="AR2" s="135" t="n">
        <v>0.03</v>
      </c>
      <c r="AS2" s="135" t="n">
        <v>0.03</v>
      </c>
      <c r="AT2" s="70" t="inlineStr">
        <is>
          <t>NaN</t>
        </is>
      </c>
      <c r="AU2" s="51" t="inlineStr">
        <is>
          <t>R&amp;D, manufacturing and commercialization of inhalation technologies and inhalation drugs for respiratory diseases</t>
        </is>
      </c>
      <c r="AV2" s="51" t="inlineStr">
        <is>
          <t>Main Board, Rule 8.05(3) market capitalisation/revenue test</t>
        </is>
      </c>
      <c r="AW2" s="136" t="n">
        <v>45747</v>
      </c>
      <c r="AX2" s="137" t="n">
        <v>-6851000</v>
      </c>
      <c r="AY2" s="117" t="n">
        <v>90001000</v>
      </c>
      <c r="AZ2" s="117" t="n">
        <v>32338000</v>
      </c>
      <c r="BA2" s="117" t="n">
        <v>5900000</v>
      </c>
      <c r="BB2" s="138" t="n">
        <v>0.656</v>
      </c>
      <c r="BC2" s="139" t="n">
        <v>0.25</v>
      </c>
      <c r="BD2" s="80" t="n">
        <v>1</v>
      </c>
      <c r="BE2" s="161" t="n">
        <v>1</v>
      </c>
      <c r="BF2" s="161" t="n">
        <v>1</v>
      </c>
      <c r="BG2" s="161" t="inlineStr">
        <is>
          <t>NaN</t>
        </is>
      </c>
      <c r="BH2" s="161" t="n">
        <v>1</v>
      </c>
      <c r="BI2" s="161" t="inlineStr">
        <is>
          <t>NaN</t>
        </is>
      </c>
      <c r="BJ2" s="162" t="inlineStr">
        <is>
          <t>FIIF; China-Singapore Ventures; Jiequan Oriza; Shanghai Sihongda; SL Pharmaceutical; Jiangsu CMB; Nanjing CMB; Lianyi Investment; Shenzhen GTJA; Jiangsu GTJA; CICC Generation Fund; Meimin Investment; GP Healthcare Capital Phase I; Longmen Changfeng; CICC Biomedical Fund; Yuanming Capital; Unique Classic Limited; Longmen No. 1; Longmen Yusen; CCBI Investment; Yantai Duoying; Qingdao Finnova; Shanghai Hanren; Changzhou Longcheng; Ningbo Yuanchuan; Guangzhou Yongping; Changzhou Yongjun; Cornerstone Fund; Jinpu Merger Fund; Shanghai Jianli; Mengxi Venture; Tianjin Yuanyi; Langma No. 18; Langma No. 17; Boyuan Venture; Yangtze River Delta Fund; Changzhou Feijun; Guangzhou Feijun; Qianhai Kangda; Wosheng Huijia; Taichu Investment; Yangzhou Tenglan; Changzhou Tengren; Wuxi Lejin; Xinfei Dingke; Xinding Kenge; Suzhou Yueliang; Shengyuan Investment; Ms. CHEN Xiangyun; Xinxing Venture; Zhiyuan Investment; Suzhou Wosheng; Shenzhen Gongying; Mr. MI Jinyong; Mr. GENG Shaofeng</t>
        </is>
      </c>
      <c r="BK2" s="163" t="inlineStr">
        <is>
          <t>NaN</t>
        </is>
      </c>
      <c r="BL2" s="161" t="inlineStr">
        <is>
          <t>NaN</t>
        </is>
      </c>
      <c r="BM2" s="164" t="inlineStr">
        <is>
          <t>Series A Financing</t>
        </is>
      </c>
      <c r="BN2" s="165" t="n">
        <v>14.79</v>
      </c>
      <c r="BO2" s="51" t="inlineStr">
        <is>
          <t>自然人 (natural persons acting in concert)</t>
        </is>
      </c>
      <c r="BP2" s="135" t="n">
        <v>0.2453</v>
      </c>
      <c r="BQ2" s="135" t="n">
        <v>0.2453</v>
      </c>
      <c r="BR2" s="137" t="n">
        <v>78803000</v>
      </c>
      <c r="BS2" s="73" t="inlineStr">
        <is>
          <t>规模商业化/商业化初期 (CF017 approved May 2021 and included in VBP; six NMPA/FDA approvals; over 20 candidates)</t>
        </is>
      </c>
      <c r="BT2" s="138" t="n">
        <v>0</v>
      </c>
      <c r="BU2" s="60" t="inlineStr">
        <is>
          <t>Main Board</t>
        </is>
      </c>
      <c r="BV2" s="89" t="inlineStr">
        <is>
          <t>H Shares</t>
        </is>
      </c>
      <c r="BW2" s="61" t="n">
        <v>0</v>
      </c>
      <c r="BX2" s="77" t="n">
        <v>0</v>
      </c>
      <c r="BY2" s="77" t="n">
        <v>0</v>
      </c>
      <c r="BZ2" s="78" t="n">
        <v>0</v>
      </c>
      <c r="CA2" s="60" t="inlineStr">
        <is>
          <t>281010</t>
        </is>
      </c>
      <c r="CB2" s="76" t="inlineStr">
        <is>
          <t>HSICS (Hang Seng Industry Classification System) 2026</t>
        </is>
      </c>
      <c r="CC2" s="140" t="n">
        <v>41298</v>
      </c>
      <c r="CD2" s="171" t="n">
        <v>12.7</v>
      </c>
      <c r="CE2" s="76" t="inlineStr">
        <is>
          <t>PRC</t>
        </is>
      </c>
      <c r="CF2" s="89" t="inlineStr">
        <is>
          <t>Suzhou, Jiangsu Province, PRC</t>
        </is>
      </c>
      <c r="CG2" s="91" t="n"/>
      <c r="CH2" s="60" t="inlineStr">
        <is>
          <t>IFRS Accounting Standards</t>
        </is>
      </c>
      <c r="CI2" s="141" t="n">
        <v>44927</v>
      </c>
      <c r="CJ2" s="141" t="n">
        <v>45291</v>
      </c>
      <c r="CK2" s="141" t="n">
        <v>45292</v>
      </c>
      <c r="CL2" s="141" t="n">
        <v>45657</v>
      </c>
      <c r="CM2" s="141" t="n">
        <v>45658</v>
      </c>
      <c r="CN2" s="92" t="n">
        <v>135942000</v>
      </c>
      <c r="CO2" s="64" t="n">
        <v>11427000</v>
      </c>
      <c r="CP2" s="64" t="n">
        <v>12815000</v>
      </c>
      <c r="CQ2" s="141" t="n">
        <v>45926</v>
      </c>
      <c r="CR2" s="141" t="n">
        <v>45932</v>
      </c>
      <c r="CS2" s="63" t="n">
        <v>302223586</v>
      </c>
      <c r="CT2" s="64" t="n">
        <v>107922000</v>
      </c>
      <c r="CU2" s="64" t="n">
        <v>24632000</v>
      </c>
      <c r="CV2" s="59" t="inlineStr">
        <is>
          <t>Unqualified opinion</t>
        </is>
      </c>
      <c r="CW2" s="64" t="n">
        <v>82300000</v>
      </c>
      <c r="CX2" s="51" t="inlineStr">
        <is>
          <t>NA</t>
        </is>
      </c>
      <c r="CY2" s="142" t="n">
        <v>0</v>
      </c>
      <c r="CZ2" s="136" t="inlineStr">
        <is>
          <t>NA</t>
        </is>
      </c>
      <c r="DA2" s="143" t="n">
        <v>6697.8</v>
      </c>
      <c r="DB2" s="63" t="n">
        <v>264209</v>
      </c>
      <c r="DC2" s="63" t="n">
        <v>27594936000</v>
      </c>
      <c r="DD2" s="59" t="inlineStr">
        <is>
          <t>Subscription level 6,697.80 times</t>
        </is>
      </c>
      <c r="DE2" s="141" t="inlineStr">
        <is>
          <t>NA</t>
        </is>
      </c>
      <c r="DF2" s="141" t="n">
        <v>45936</v>
      </c>
      <c r="DG2" s="63" t="n">
        <v>41198000</v>
      </c>
      <c r="DH2" s="63" t="n">
        <v>4120000</v>
      </c>
      <c r="DI2" s="63" t="n">
        <v>37078000</v>
      </c>
      <c r="DJ2" s="63" t="n">
        <v>0</v>
      </c>
      <c r="DK2" s="169" t="n">
        <v>0</v>
      </c>
      <c r="DL2" s="59" t="inlineStr">
        <is>
          <t>Claw-back triggered N/A ; No. of Offer Shares reallocated from the International Offering (claw-back) N/A</t>
        </is>
      </c>
      <c r="DM2" s="144" t="n">
        <v>525400000</v>
      </c>
      <c r="DN2" s="142" t="n">
        <v>0.5610000000000001</v>
      </c>
      <c r="DO2" s="51" t="n">
        <v>411978387</v>
      </c>
      <c r="DP2" s="142" t="n">
        <v>0.1</v>
      </c>
      <c r="DQ2" s="59" t="inlineStr">
        <is>
          <t>Free float denominator = total issued Shares upon Listing (411,978,387, per 'Number of issued Shares upon Listing'); numerator = Global Offering shares less cornerstone allocation = 41,198,000 - 0 = 41,198,000</t>
        </is>
      </c>
      <c r="DR2" s="63" t="n">
        <v>411978387</v>
      </c>
      <c r="DS2" s="142" t="n">
        <v>0.05943721</v>
      </c>
      <c r="DT2" s="80" t="n">
        <v>24</v>
      </c>
      <c r="DU2" s="142" t="n">
        <v>0.0362202</v>
      </c>
      <c r="DV2" s="144" t="n">
        <v>54208000000</v>
      </c>
      <c r="DW2" s="145" t="n">
        <v>38.5</v>
      </c>
      <c r="DX2" s="169" t="n">
        <v>1.610169</v>
      </c>
      <c r="DY2" s="172" t="n">
        <v>978452500</v>
      </c>
      <c r="DZ2" s="146" t="n">
        <v>47</v>
      </c>
      <c r="EA2" s="146" t="n">
        <v>48.8</v>
      </c>
      <c r="EB2" s="146" t="n">
        <v>37.46</v>
      </c>
      <c r="EC2" s="63" t="n">
        <v>13550698</v>
      </c>
      <c r="ED2" s="169" t="n">
        <v>0.328916</v>
      </c>
      <c r="EE2" s="64" t="n"/>
      <c r="EF2" s="60" t="inlineStr">
        <is>
          <t>Mechanism B</t>
        </is>
      </c>
      <c r="EG2" s="59" t="inlineStr">
        <is>
          <t>FINI (from 22/11/2023); 2025-08-04 pricing reform (Mechanism A/B; six-month cornerstone lock-up retained); this IPO: Mechanism B</t>
        </is>
      </c>
      <c r="EH2" t="inlineStr">
        <is>
          <t>长风药业股份有限公司</t>
        </is>
      </c>
      <c r="EI2" s="174" t="inlineStr">
        <is>
          <t>Active</t>
        </is>
      </c>
      <c r="EJ2" s="175" t="n">
        <v>29.34</v>
      </c>
      <c r="EK2" s="176" t="n">
        <v>-0.237922</v>
      </c>
      <c r="EL2" s="176" t="n">
        <v>0.9891529999999999</v>
      </c>
      <c r="EM2" s="176" t="n">
        <v>-0.033323</v>
      </c>
      <c r="EN2" s="176" t="n">
        <v>-0.111808</v>
      </c>
      <c r="EO2" s="179" t="n">
        <v>0.7883</v>
      </c>
      <c r="EP2" s="179" t="n">
        <v>0.858</v>
      </c>
      <c r="EQ2" s="178" t="n">
        <v>48591755</v>
      </c>
      <c r="ER2" s="175" t="n">
        <v>23.08</v>
      </c>
      <c r="ES2" s="176" t="n">
        <v>-0.400519</v>
      </c>
      <c r="ET2" s="176" t="n">
        <v>0.564746</v>
      </c>
      <c r="EU2" s="176" t="n">
        <v>-0.034903</v>
      </c>
      <c r="EV2" s="176" t="n">
        <v>-0.244227</v>
      </c>
      <c r="EW2" s="179" t="n">
        <v>0.6212</v>
      </c>
      <c r="EX2" s="179" t="n">
        <v>0.7932</v>
      </c>
      <c r="EY2" s="178" t="n">
        <v>42844470</v>
      </c>
      <c r="EZ2" s="176" t="n">
        <v>0.07013</v>
      </c>
      <c r="FA2" s="176" t="n"/>
      <c r="FB2" s="179" t="n"/>
      <c r="FC2" s="176" t="n"/>
      <c r="FD2" s="179" t="n"/>
      <c r="FE2" s="174" t="inlineStr">
        <is>
          <t>Standard</t>
        </is>
      </c>
      <c r="FF2" s="181" t="n"/>
      <c r="FG2" s="185" t="n"/>
      <c r="FH2" s="183" t="n"/>
      <c r="FI2" s="178" t="n"/>
      <c r="FJ2" s="176" t="n"/>
      <c r="FK2" s="185" t="n"/>
      <c r="FL2" s="178" t="n"/>
      <c r="FM2" s="176" t="n"/>
      <c r="FN2" s="176" t="n"/>
      <c r="FO2" s="176" t="n"/>
      <c r="FP2" s="176" t="n"/>
      <c r="FQ2" s="176" t="n">
        <v>-0.281558</v>
      </c>
      <c r="FR2" s="179" t="n">
        <v>0.7576000000000001</v>
      </c>
      <c r="FS2" s="176" t="n">
        <v>-0.237922</v>
      </c>
      <c r="FT2" s="179" t="n">
        <v>0.7883</v>
      </c>
      <c r="FU2" s="176" t="n">
        <v>-0.158442</v>
      </c>
      <c r="FV2" s="179" t="n">
        <v>0.8633999999999999</v>
      </c>
      <c r="FW2" s="179" t="n">
        <v>0.9654</v>
      </c>
      <c r="FX2" s="178" t="n">
        <v>21991390.48</v>
      </c>
      <c r="FY2" s="186" t="n">
        <v>0.002482314049586777</v>
      </c>
      <c r="FZ2" s="183" t="n">
        <v>0</v>
      </c>
      <c r="GA2" s="176" t="n">
        <v>0.1524316750458491</v>
      </c>
      <c r="GB2" s="176" t="n">
        <v>0.545902</v>
      </c>
      <c r="GC2" s="185" t="n"/>
      <c r="GD2" s="185" t="n"/>
      <c r="GE2" s="176" t="n"/>
      <c r="GF2" s="176" t="n"/>
      <c r="GG2" s="179" t="n"/>
      <c r="GH2" s="181" t="inlineStr">
        <is>
          <t>CITIC Securities (Hong Kong) Limited</t>
        </is>
      </c>
      <c r="GI2" s="183" t="n">
        <v>2</v>
      </c>
      <c r="GJ2" s="183" t="n">
        <v>1</v>
      </c>
      <c r="GK2" s="176" t="n">
        <v>0.03</v>
      </c>
      <c r="GL2" s="176" t="n"/>
      <c r="GM2" s="176" t="n"/>
      <c r="GN2" s="183" t="n">
        <v>0</v>
      </c>
      <c r="GO2" s="183" t="n">
        <v>0</v>
      </c>
      <c r="GP2" s="183" t="n">
        <v>0</v>
      </c>
      <c r="GQ2" s="183" t="n">
        <v>55</v>
      </c>
      <c r="GR2" s="183" t="n">
        <v>1</v>
      </c>
      <c r="GS2" s="181" t="inlineStr">
        <is>
          <t>POST_FINI</t>
        </is>
      </c>
      <c r="GT2" s="181" t="inlineStr">
        <is>
          <t>POST_2025_REFORM</t>
        </is>
      </c>
    </row>
    <row r="3" ht="51" customFormat="1" customHeight="1" s="12">
      <c r="A3" s="43" t="n">
        <v>71</v>
      </c>
      <c r="B3" s="47" t="inlineStr">
        <is>
          <t>2650.HK</t>
        </is>
      </c>
      <c r="C3" s="44" t="inlineStr">
        <is>
          <t>Shanghai Zhida Technology Development Co., Ltd.
-  H shares</t>
        </is>
      </c>
      <c r="D3" s="130" t="n">
        <v>45930</v>
      </c>
      <c r="E3" s="48" t="n">
        <v>45940</v>
      </c>
      <c r="F3" s="43" t="inlineStr">
        <is>
          <t>Shenwan Hongyuan Capital (H.K.) Limited</t>
        </is>
      </c>
      <c r="G3" s="43" t="inlineStr">
        <is>
          <t>PricewaterhouseCoopers</t>
        </is>
      </c>
      <c r="H3" s="43" t="n"/>
      <c r="I3" s="131" t="n">
        <v>40011468</v>
      </c>
      <c r="J3" s="132" t="n">
        <v>360096520</v>
      </c>
      <c r="K3" s="133" t="n">
        <v>66.92</v>
      </c>
      <c r="L3" t="n">
        <v>59788807</v>
      </c>
      <c r="M3" s="67" t="n">
        <v>5978900</v>
      </c>
      <c r="N3" t="n">
        <v>53809907</v>
      </c>
      <c r="O3" t="n">
        <v>53809907</v>
      </c>
      <c r="P3" t="n">
        <v>0</v>
      </c>
      <c r="Q3" t="n">
        <v>5978900</v>
      </c>
      <c r="R3" s="67" t="n">
        <v>5381000</v>
      </c>
      <c r="S3" s="67" t="n">
        <v>597900</v>
      </c>
      <c r="T3" s="134" t="n">
        <v>83.63</v>
      </c>
      <c r="U3" s="134" t="n">
        <v>66.92</v>
      </c>
      <c r="V3" s="169" t="n">
        <v>-0.110993</v>
      </c>
      <c r="W3" s="169" t="n">
        <v>0.221986</v>
      </c>
      <c r="X3" s="170" t="inlineStr">
        <is>
          <t>At low</t>
        </is>
      </c>
      <c r="Y3" s="26" t="inlineStr">
        <is>
          <t>RMB</t>
        </is>
      </c>
      <c r="Z3" s="137" t="n">
        <v>917663000</v>
      </c>
      <c r="AA3" s="137" t="n">
        <v>836438000</v>
      </c>
      <c r="AB3" s="137" t="n">
        <v>949225000</v>
      </c>
      <c r="AC3" s="137" t="n">
        <v>265243000</v>
      </c>
      <c r="AD3" s="137" t="n">
        <v>49152000</v>
      </c>
      <c r="AE3" s="137" t="n">
        <v>52125000</v>
      </c>
      <c r="AF3" s="137" t="n">
        <v>652420000</v>
      </c>
      <c r="AG3" s="137" t="n">
        <v>787286000</v>
      </c>
      <c r="AH3" s="137" t="n">
        <v>897100000</v>
      </c>
      <c r="AI3" s="137" t="n">
        <v>670733000</v>
      </c>
      <c r="AJ3" s="137" t="n">
        <v>593408000</v>
      </c>
      <c r="AK3" s="137" t="n">
        <v>868408000</v>
      </c>
      <c r="AL3" s="137" t="n">
        <v>-69226000</v>
      </c>
      <c r="AM3" s="137" t="n">
        <v>-231916000</v>
      </c>
      <c r="AN3" s="137" t="n">
        <v>-61664000</v>
      </c>
      <c r="AO3" s="137" t="n">
        <v>-58116000</v>
      </c>
      <c r="AP3" s="137" t="n">
        <v>-235897000</v>
      </c>
      <c r="AQ3" s="137" t="n">
        <v>-68312000</v>
      </c>
      <c r="AR3" s="135" t="n">
        <v>0.03</v>
      </c>
      <c r="AS3" s="135" t="n">
        <v>0.03</v>
      </c>
      <c r="AT3" s="70" t="n">
        <v>0.15</v>
      </c>
      <c r="AU3" s="51" t="inlineStr">
        <is>
          <t>EV home charging solutions: smart home EV chargers and accessories, installation and after-sales services, and a digital home energy management platform</t>
        </is>
      </c>
      <c r="AV3" s="51" t="inlineStr">
        <is>
          <t>Main Board — Rule 8.05(3) market capitalisation/revenue test</t>
        </is>
      </c>
      <c r="AW3" s="136" t="n">
        <v>45747</v>
      </c>
      <c r="AX3" s="137" t="n">
        <v>-67924000</v>
      </c>
      <c r="AY3" s="117" t="n">
        <v>146167000</v>
      </c>
      <c r="AZ3" s="117" t="n">
        <v>13594000</v>
      </c>
      <c r="BA3" s="117" t="inlineStr">
        <is>
          <t>NaN</t>
        </is>
      </c>
      <c r="BB3" s="138" t="n">
        <v>0.535</v>
      </c>
      <c r="BC3" s="139" t="n">
        <v>0.25</v>
      </c>
      <c r="BD3" s="80" t="n">
        <v>1</v>
      </c>
      <c r="BE3" s="161" t="n">
        <v>1</v>
      </c>
      <c r="BF3" s="161" t="n">
        <v>1</v>
      </c>
      <c r="BG3" s="161" t="inlineStr">
        <is>
          <t>NaN</t>
        </is>
      </c>
      <c r="BH3" s="161" t="n">
        <v>1</v>
      </c>
      <c r="BI3" s="161" t="inlineStr">
        <is>
          <t>NaN</t>
        </is>
      </c>
      <c r="BJ3" s="162" t="inlineStr">
        <is>
          <t>Anhui Zhongding; Zhenghai Juhong; Beida Guangju; Jingzhou Zhida; Shanghai China Power Investment; Ningbo Longhuahui; Anhui Jintong; Suzhou Xinjing; Ningbo Zhizun; Jiangsu Jiequan; BYD; Chuangqi Kaiying; Hubei Qingyan; Jiaxing Xiuzhou; Zhejiang Dongxin; Xuancheng Jintong; Anqing Jintong; Zhuhai Zhidingli; Shiji Guanghua; Xuancheng Fund</t>
        </is>
      </c>
      <c r="BK3" s="163" t="inlineStr">
        <is>
          <t>NaN</t>
        </is>
      </c>
      <c r="BL3" s="161" t="inlineStr">
        <is>
          <t>NaN</t>
        </is>
      </c>
      <c r="BM3" s="164" t="inlineStr">
        <is>
          <t>Series A</t>
        </is>
      </c>
      <c r="BN3" s="165" t="n">
        <v>10.12</v>
      </c>
      <c r="BO3" s="51" t="inlineStr">
        <is>
          <t>Natural person</t>
        </is>
      </c>
      <c r="BP3" s="135" t="n">
        <v>0.4293</v>
      </c>
      <c r="BQ3" s="135" t="n">
        <v>0.4293</v>
      </c>
      <c r="BR3" s="137" t="n">
        <v>469306000</v>
      </c>
      <c r="BS3" s="73" t="inlineStr">
        <is>
          <t>Mass production / commercially scaled</t>
        </is>
      </c>
      <c r="BT3" s="142" t="n">
        <v>0</v>
      </c>
      <c r="BU3" s="60" t="inlineStr">
        <is>
          <t>Main Board</t>
        </is>
      </c>
      <c r="BV3" s="89" t="inlineStr">
        <is>
          <t>H Shares</t>
        </is>
      </c>
      <c r="BW3" s="61" t="n">
        <v>0</v>
      </c>
      <c r="BX3" s="77" t="n">
        <v>0</v>
      </c>
      <c r="BY3" s="77" t="n">
        <v>0</v>
      </c>
      <c r="BZ3" s="78" t="n">
        <v>0</v>
      </c>
      <c r="CA3" s="60" t="inlineStr">
        <is>
          <t>101020</t>
        </is>
      </c>
      <c r="CB3" s="76" t="inlineStr">
        <is>
          <t>HSICS (Hang Seng Industry Classification System) 2026</t>
        </is>
      </c>
      <c r="CC3" s="140" t="n">
        <v>40507</v>
      </c>
      <c r="CD3" s="171" t="n">
        <v>14.87</v>
      </c>
      <c r="CE3" s="76" t="inlineStr">
        <is>
          <t>PRC</t>
        </is>
      </c>
      <c r="CF3" s="89" t="inlineStr">
        <is>
          <t>Shanghai, PRC</t>
        </is>
      </c>
      <c r="CG3" s="91" t="n"/>
      <c r="CH3" s="60" t="inlineStr">
        <is>
          <t>IFRS Accounting Standards</t>
        </is>
      </c>
      <c r="CI3" s="141" t="n">
        <v>44927</v>
      </c>
      <c r="CJ3" s="141" t="n">
        <v>45291</v>
      </c>
      <c r="CK3" s="141" t="n">
        <v>45292</v>
      </c>
      <c r="CL3" s="141" t="n">
        <v>45657</v>
      </c>
      <c r="CM3" s="141" t="n">
        <v>45658</v>
      </c>
      <c r="CN3" s="92" t="n">
        <v>217102000</v>
      </c>
      <c r="CO3" s="64" t="n">
        <v>-15416000</v>
      </c>
      <c r="CP3" s="64" t="n">
        <v>-17078000</v>
      </c>
      <c r="CQ3" s="141" t="n">
        <v>45930</v>
      </c>
      <c r="CR3" s="141" t="n">
        <v>45936</v>
      </c>
      <c r="CS3" s="63" t="n">
        <v>59788807</v>
      </c>
      <c r="CT3" s="64" t="n">
        <v>35784000</v>
      </c>
      <c r="CU3" s="64" t="n">
        <v>3355000</v>
      </c>
      <c r="CV3" s="59" t="inlineStr">
        <is>
          <t>Unqualified opinion</t>
        </is>
      </c>
      <c r="CW3" s="64" t="n">
        <v>75043000</v>
      </c>
      <c r="CX3" s="51" t="inlineStr">
        <is>
          <t>NA</t>
        </is>
      </c>
      <c r="CY3" s="142" t="n">
        <v>0</v>
      </c>
      <c r="CZ3" s="136" t="inlineStr">
        <is>
          <t>NA</t>
        </is>
      </c>
      <c r="DA3" s="143" t="n">
        <v>5440.8</v>
      </c>
      <c r="DB3" s="63" t="n">
        <v>201807</v>
      </c>
      <c r="DC3" s="63" t="n">
        <v>3253057250</v>
      </c>
      <c r="DD3" s="59" t="inlineStr">
        <is>
          <t>Subscription level 5,440.80 times</t>
        </is>
      </c>
      <c r="DE3" s="141" t="n">
        <v>45938</v>
      </c>
      <c r="DF3" s="141" t="n">
        <v>45939</v>
      </c>
      <c r="DG3" s="63" t="n">
        <v>5978900</v>
      </c>
      <c r="DH3" s="63" t="n">
        <v>597900</v>
      </c>
      <c r="DI3" s="63" t="n">
        <v>5381000</v>
      </c>
      <c r="DJ3" s="63" t="n">
        <v>0</v>
      </c>
      <c r="DK3" s="169" t="n">
        <v>0</v>
      </c>
      <c r="DL3" s="59" t="inlineStr">
        <is>
          <t>No claw-back triggered (Claw-back triggered: N/A); the final Hong Kong Public Offer shares remained 597,900, i.e. 10.00% of the Global Offering</t>
        </is>
      </c>
      <c r="DM3" s="144" t="n">
        <v>326580000</v>
      </c>
      <c r="DN3" s="142" t="n">
        <v>0.5707</v>
      </c>
      <c r="DO3" s="51" t="n">
        <v>59788807</v>
      </c>
      <c r="DP3" s="142" t="n">
        <v>0.1</v>
      </c>
      <c r="DQ3" s="59" t="inlineStr">
        <is>
          <t>Total issued Shares upon Listing (59,788,807 Shares) less locked-up shares: Controlling Shareholders 25,669,015 H Shares (42.93%) and Pre-IPO Investors 28,140,892 H Shares (47.07%); free float is the 5,978,900 H Shares of the Global Offering</t>
        </is>
      </c>
      <c r="DR3" s="63" t="n">
        <v>59788807</v>
      </c>
      <c r="DS3" s="142" t="n">
        <v>0.03924911</v>
      </c>
      <c r="DT3" s="80" t="n">
        <v>21</v>
      </c>
      <c r="DU3" s="142" t="n">
        <v>0.0359804</v>
      </c>
      <c r="DV3" s="144" t="n">
        <v>54208000000</v>
      </c>
      <c r="DW3" s="145" t="n">
        <v>195.5</v>
      </c>
      <c r="DX3" s="169" t="n">
        <v>1.921399</v>
      </c>
      <c r="DY3" s="172" t="n">
        <v>768766962</v>
      </c>
      <c r="DZ3" s="146" t="n">
        <v>190</v>
      </c>
      <c r="EA3" s="146" t="n">
        <v>197</v>
      </c>
      <c r="EB3" s="146" t="n">
        <v>171.2</v>
      </c>
      <c r="EC3" s="63" t="n">
        <v>1558550</v>
      </c>
      <c r="ED3" s="169" t="n">
        <v>0.260675</v>
      </c>
      <c r="EE3" s="64" t="n"/>
      <c r="EF3" s="60" t="inlineStr">
        <is>
          <t>Mechanism B</t>
        </is>
      </c>
      <c r="EG3" s="59" t="inlineStr">
        <is>
          <t>FINI (from 22/11/2023); 2025-08-04 pricing reform (Mechanism A/B; six-month cornerstone lock-up retained); this IPO: Mechanism B</t>
        </is>
      </c>
      <c r="EH3" t="inlineStr">
        <is>
          <t>上海挚达科技发展股份有限公司</t>
        </is>
      </c>
      <c r="EI3" s="174" t="inlineStr">
        <is>
          <t>Active</t>
        </is>
      </c>
      <c r="EJ3" s="175" t="n">
        <v>36.38</v>
      </c>
      <c r="EK3" s="176" t="n">
        <v>-0.069565</v>
      </c>
      <c r="EL3" s="176" t="n">
        <v>1.718171</v>
      </c>
      <c r="EM3" s="176" t="n">
        <v>-0.001844</v>
      </c>
      <c r="EN3" s="176" t="n">
        <v>-0.067477</v>
      </c>
      <c r="EO3" s="179" t="n">
        <v>0.9322</v>
      </c>
      <c r="EP3" s="179" t="n">
        <v>0.9978</v>
      </c>
      <c r="EQ3" s="178" t="n">
        <v>24562111.5</v>
      </c>
      <c r="ER3" s="175" t="n">
        <v>38.02</v>
      </c>
      <c r="ES3" s="176" t="n">
        <v>-0.027621</v>
      </c>
      <c r="ET3" s="176" t="n">
        <v>1.840705</v>
      </c>
      <c r="EU3" s="176" t="n">
        <v>-0.015092</v>
      </c>
      <c r="EV3" s="176" t="n">
        <v>-0.22357</v>
      </c>
      <c r="EW3" s="179" t="n">
        <v>0.9873</v>
      </c>
      <c r="EX3" s="179" t="n">
        <v>1.2524</v>
      </c>
      <c r="EY3" s="178" t="n">
        <v>19645476.5</v>
      </c>
      <c r="EZ3" s="176" t="n">
        <v>0.06795</v>
      </c>
      <c r="FA3" s="176" t="n"/>
      <c r="FB3" s="179" t="n"/>
      <c r="FC3" s="176" t="n"/>
      <c r="FD3" s="179" t="n"/>
      <c r="FE3" s="174" t="inlineStr">
        <is>
          <t>Standard</t>
        </is>
      </c>
      <c r="FF3" s="181" t="n"/>
      <c r="FG3" s="185" t="n"/>
      <c r="FH3" s="183" t="n"/>
      <c r="FI3" s="178" t="n"/>
      <c r="FJ3" s="176" t="n"/>
      <c r="FK3" s="185" t="n"/>
      <c r="FL3" s="178" t="n"/>
      <c r="FM3" s="176" t="n"/>
      <c r="FN3" s="176" t="n"/>
      <c r="FO3" s="176" t="n"/>
      <c r="FP3" s="176" t="n"/>
      <c r="FQ3" s="176" t="n">
        <v>-0.041944</v>
      </c>
      <c r="FR3" s="179" t="n">
        <v>0.9729</v>
      </c>
      <c r="FS3" s="176" t="n">
        <v>-0.069565</v>
      </c>
      <c r="FT3" s="179" t="n">
        <v>0.9322</v>
      </c>
      <c r="FU3" s="176" t="n">
        <v>0.172379</v>
      </c>
      <c r="FV3" s="179" t="n">
        <v>1.1584</v>
      </c>
      <c r="FW3" s="179" t="n">
        <v>1.2517</v>
      </c>
      <c r="FX3" s="178" t="n">
        <v>16790311.75</v>
      </c>
      <c r="FY3" s="186" t="n">
        <v>0.00375297520661157</v>
      </c>
      <c r="FZ3" s="183" t="n">
        <v>0</v>
      </c>
      <c r="GA3" s="176" t="n">
        <v>0.06616458313581955</v>
      </c>
      <c r="GB3" s="176" t="n">
        <v>0.603554</v>
      </c>
      <c r="GC3" s="185" t="n"/>
      <c r="GD3" s="185" t="n"/>
      <c r="GE3" s="176" t="n"/>
      <c r="GF3" s="176" t="n"/>
      <c r="GG3" s="179" t="n"/>
      <c r="GH3" s="181" t="inlineStr">
        <is>
          <t>Shenwan Hongyuan Capital (H.K.) Limited</t>
        </is>
      </c>
      <c r="GI3" s="183" t="n">
        <v>1</v>
      </c>
      <c r="GJ3" s="183" t="n">
        <v>0</v>
      </c>
      <c r="GK3" s="176" t="n">
        <v>0.03</v>
      </c>
      <c r="GL3" s="176" t="n"/>
      <c r="GM3" s="176" t="n"/>
      <c r="GN3" s="183" t="n">
        <v>0</v>
      </c>
      <c r="GO3" s="183" t="n">
        <v>0</v>
      </c>
      <c r="GP3" s="183" t="n">
        <v>0</v>
      </c>
      <c r="GQ3" s="183" t="n">
        <v>20</v>
      </c>
      <c r="GR3" s="183" t="n">
        <v>1</v>
      </c>
      <c r="GS3" s="181" t="inlineStr">
        <is>
          <t>POST_FINI</t>
        </is>
      </c>
      <c r="GT3" s="181" t="inlineStr">
        <is>
          <t>POST_2025_REFORM</t>
        </is>
      </c>
    </row>
    <row r="4" ht="34" customFormat="1" customHeight="1" s="12">
      <c r="A4" s="43" t="n">
        <v>72</v>
      </c>
      <c r="B4" s="47" t="inlineStr">
        <is>
          <t>2575.HK</t>
        </is>
      </c>
      <c r="C4" s="44" t="inlineStr">
        <is>
          <t>Xuanzhu Biopharmaceutical Co., Ltd. - B - H shares</t>
        </is>
      </c>
      <c r="D4" s="130" t="n">
        <v>45936</v>
      </c>
      <c r="E4" s="48" t="n">
        <v>45945</v>
      </c>
      <c r="F4" s="43" t="inlineStr">
        <is>
          <t>China International Capital Corporation
Hong Kong Securities Limited</t>
        </is>
      </c>
      <c r="G4" s="43" t="inlineStr">
        <is>
          <t>Ernst &amp; Young</t>
        </is>
      </c>
      <c r="H4" s="43" t="n"/>
      <c r="I4" s="131" t="n">
        <v>78108600</v>
      </c>
      <c r="J4" s="132" t="n">
        <v>702960000</v>
      </c>
      <c r="K4" s="133" t="n">
        <v>11.6</v>
      </c>
      <c r="L4" s="81" t="n">
        <v>517947790</v>
      </c>
      <c r="M4" s="82" t="n">
        <v>67333500</v>
      </c>
      <c r="N4" s="81" t="n">
        <v>450614290</v>
      </c>
      <c r="O4" s="81" t="n">
        <v>450614290</v>
      </c>
      <c r="P4" s="81" t="n">
        <v>0</v>
      </c>
      <c r="Q4" s="81" t="n">
        <v>67333500</v>
      </c>
      <c r="R4" s="82" t="n">
        <v>60600000</v>
      </c>
      <c r="S4" s="82" t="n">
        <v>6733500</v>
      </c>
      <c r="T4" s="147" t="n">
        <v>11.6</v>
      </c>
      <c r="U4" s="147" t="n">
        <v>11.6</v>
      </c>
      <c r="V4" s="169" t="n">
        <v>0</v>
      </c>
      <c r="W4" s="169" t="n">
        <v>0</v>
      </c>
      <c r="X4" s="170" t="inlineStr">
        <is>
          <t>Fixed price</t>
        </is>
      </c>
      <c r="Y4" s="26" t="inlineStr">
        <is>
          <t>RMB</t>
        </is>
      </c>
      <c r="Z4" s="137" t="n">
        <v>1321010000</v>
      </c>
      <c r="AA4" s="137" t="n">
        <v>1196619000</v>
      </c>
      <c r="AB4" s="137" t="n">
        <v>1066302000</v>
      </c>
      <c r="AC4" s="137" t="n">
        <v>1110247000</v>
      </c>
      <c r="AD4" s="137" t="n">
        <v>956714000</v>
      </c>
      <c r="AE4" s="137" t="n">
        <v>845805000</v>
      </c>
      <c r="AF4" s="137" t="n">
        <v>210763000</v>
      </c>
      <c r="AG4" s="137" t="n">
        <v>239905000</v>
      </c>
      <c r="AH4" s="137" t="n">
        <v>220497000</v>
      </c>
      <c r="AI4" s="137" t="n">
        <v>29000</v>
      </c>
      <c r="AJ4" s="137" t="n">
        <v>30094000</v>
      </c>
      <c r="AK4" s="137" t="n">
        <v>35786000</v>
      </c>
      <c r="AL4" s="137" t="n">
        <v>-300556000</v>
      </c>
      <c r="AM4" s="137" t="n">
        <v>-556424000</v>
      </c>
      <c r="AN4" s="137" t="n">
        <v>-221806000</v>
      </c>
      <c r="AO4" s="137" t="n">
        <v>-300562000</v>
      </c>
      <c r="AP4" s="137" t="n">
        <v>-556430000</v>
      </c>
      <c r="AQ4" s="137" t="n">
        <v>-221818000</v>
      </c>
      <c r="AR4" s="135" t="n">
        <v>0.03</v>
      </c>
      <c r="AS4" s="135" t="n">
        <v>0.03</v>
      </c>
      <c r="AT4" s="84" t="n">
        <v>0</v>
      </c>
      <c r="AU4" s="51" t="inlineStr">
        <is>
          <t>R&amp;D, manufacturing and commercialization of innovative drugs (biopharmaceutical)</t>
        </is>
      </c>
      <c r="AV4" s="51" t="inlineStr">
        <is>
          <t>Chapter 18A of the Listing Rules (biotechnology company)</t>
        </is>
      </c>
      <c r="AW4" s="136" t="n">
        <v>45838</v>
      </c>
      <c r="AX4" s="137" t="n">
        <v>-122767000</v>
      </c>
      <c r="AY4" s="117" t="n">
        <v>8558000</v>
      </c>
      <c r="AZ4" s="117" t="n">
        <v>83705000</v>
      </c>
      <c r="BA4" s="117" t="n">
        <v>22643000</v>
      </c>
      <c r="BB4" s="138" t="n">
        <v>0.64</v>
      </c>
      <c r="BC4" s="139" t="n">
        <v>0.5</v>
      </c>
      <c r="BD4" s="80" t="n">
        <v>1</v>
      </c>
      <c r="BE4" s="161" t="n">
        <v>1</v>
      </c>
      <c r="BF4" s="161" t="n">
        <v>1</v>
      </c>
      <c r="BG4" s="161" t="inlineStr">
        <is>
          <t>NaN</t>
        </is>
      </c>
      <c r="BH4" s="161" t="n">
        <v>1</v>
      </c>
      <c r="BI4" s="161" t="inlineStr">
        <is>
          <t>NaN</t>
        </is>
      </c>
      <c r="BJ4" s="162" t="inlineStr">
        <is>
          <t>Metropolitan Industrial Investment Fund; Future Industry Investment Fund II; Shijiazhuang Keshuo Investment Centre (Limited Partnership); Beijing Tonghe Yinxing Innovative Asset Management Centre (Limited Partnership); Beijing SL Pharmaceutical Co., Ltd.; Shanghai Yunxin Venture Capital Partnership (Limited Partnership)</t>
        </is>
      </c>
      <c r="BK4" s="163" t="n">
        <v>0.256</v>
      </c>
      <c r="BL4" s="161" t="n">
        <v>1</v>
      </c>
      <c r="BM4" s="164" t="inlineStr">
        <is>
          <t>Series A-1 Financing</t>
        </is>
      </c>
      <c r="BN4" s="165" t="n">
        <v>5.16</v>
      </c>
      <c r="BO4" s="51" t="inlineStr">
        <is>
          <t>Natural persons (acting in concert)</t>
        </is>
      </c>
      <c r="BP4" s="135" t="n">
        <v>0.4913</v>
      </c>
      <c r="BQ4" s="135" t="n">
        <v>0.4913</v>
      </c>
      <c r="BR4" s="137" t="n">
        <v>1067000</v>
      </c>
      <c r="BS4" s="73" t="inlineStr">
        <is>
          <t>Early commercialization stage (KBP-3571, XZP-3287 and XZP-3621 NDA-approved; other candidates in clinical development)</t>
        </is>
      </c>
      <c r="BT4" s="142" t="n">
        <v>0</v>
      </c>
      <c r="BU4" s="60" t="inlineStr">
        <is>
          <t>Main Board</t>
        </is>
      </c>
      <c r="BV4" s="89" t="inlineStr">
        <is>
          <t>H Shares</t>
        </is>
      </c>
      <c r="BW4" s="61" t="n">
        <v>0</v>
      </c>
      <c r="BX4" s="77" t="n">
        <v>0</v>
      </c>
      <c r="BY4" s="77" t="n">
        <v>1</v>
      </c>
      <c r="BZ4" s="78" t="n">
        <v>0</v>
      </c>
      <c r="CA4" s="60" t="inlineStr">
        <is>
          <t>281020</t>
        </is>
      </c>
      <c r="CB4" s="76" t="inlineStr">
        <is>
          <t>HSICS (Hang Seng Industry Classification System) 2026</t>
        </is>
      </c>
      <c r="CC4" s="140" t="n">
        <v>43348</v>
      </c>
      <c r="CD4" s="171" t="n">
        <v>7.11</v>
      </c>
      <c r="CE4" s="76" t="inlineStr">
        <is>
          <t>PRC</t>
        </is>
      </c>
      <c r="CF4" s="89" t="inlineStr">
        <is>
          <t>Beijing, PRC</t>
        </is>
      </c>
      <c r="CG4" s="91" t="n"/>
      <c r="CH4" s="60" t="inlineStr">
        <is>
          <t>IFRS Accounting Standards</t>
        </is>
      </c>
      <c r="CI4" s="141" t="n">
        <v>44927</v>
      </c>
      <c r="CJ4" s="141" t="n">
        <v>45291</v>
      </c>
      <c r="CK4" s="141" t="n">
        <v>45292</v>
      </c>
      <c r="CL4" s="141" t="n">
        <v>45657</v>
      </c>
      <c r="CM4" s="141" t="n">
        <v>45658</v>
      </c>
      <c r="CN4" s="64" t="n">
        <v>17893000</v>
      </c>
      <c r="CO4" s="64" t="n">
        <v>-110903000</v>
      </c>
      <c r="CP4" s="64" t="n">
        <v>-110909000</v>
      </c>
      <c r="CQ4" s="141" t="n">
        <v>45936</v>
      </c>
      <c r="CR4" s="141" t="n">
        <v>45940</v>
      </c>
      <c r="CS4" s="63" t="n">
        <v>160701996</v>
      </c>
      <c r="CT4" s="64" t="n">
        <v>10206000</v>
      </c>
      <c r="CU4" s="64" t="n">
        <v>21000</v>
      </c>
      <c r="CV4" s="59" t="inlineStr">
        <is>
          <t>Unqualified opinion (true and fair view)</t>
        </is>
      </c>
      <c r="CW4" s="64" t="n">
        <v>80100000</v>
      </c>
      <c r="CX4" s="51" t="inlineStr">
        <is>
          <t>Beijing Denov Ruilang Phase XV Equity Investment Fund Center (Limited Partnership)</t>
        </is>
      </c>
      <c r="CY4" s="142" t="n">
        <v>0.09810000000000001</v>
      </c>
      <c r="CZ4" s="136" t="n">
        <v>46127</v>
      </c>
      <c r="DA4" s="143" t="n">
        <v>4908.33</v>
      </c>
      <c r="DB4" s="63" t="n">
        <v>376021</v>
      </c>
      <c r="DC4" s="63" t="n">
        <v>33050210000</v>
      </c>
      <c r="DD4" s="59" t="inlineStr">
        <is>
          <t>Subscription level 4,908.33 times</t>
        </is>
      </c>
      <c r="DE4" s="141" t="inlineStr">
        <is>
          <t>NA</t>
        </is>
      </c>
      <c r="DF4" s="141" t="n">
        <v>45944</v>
      </c>
      <c r="DG4" s="63" t="n">
        <v>67333500</v>
      </c>
      <c r="DH4" s="63" t="n">
        <v>6733500</v>
      </c>
      <c r="DI4" s="63" t="n">
        <v>60600000</v>
      </c>
      <c r="DJ4" s="63" t="n">
        <v>0</v>
      </c>
      <c r="DK4" s="169" t="n">
        <v>0</v>
      </c>
      <c r="DL4" s="59" t="inlineStr">
        <is>
          <t>Number of Offer Shares reallocated from International Offering to Hong Kong Public Offering 0</t>
        </is>
      </c>
      <c r="DM4" s="144" t="n">
        <v>701000000</v>
      </c>
      <c r="DN4" s="142" t="n">
        <v>0.2598</v>
      </c>
      <c r="DO4" s="51" t="n">
        <v>517947790</v>
      </c>
      <c r="DP4" s="142" t="n">
        <v>0.1172</v>
      </c>
      <c r="DQ4" s="59" t="inlineStr">
        <is>
          <t>Free float denominator = total issued shares upon listing (col_CZ); numerator = offer shares minus cornerstone allocation</t>
        </is>
      </c>
      <c r="DR4" s="63" t="n">
        <v>517947790</v>
      </c>
      <c r="DS4" s="142" t="n">
        <v>0.08310191</v>
      </c>
      <c r="DT4" s="80" t="n">
        <v>21</v>
      </c>
      <c r="DU4" s="142" t="n">
        <v>0.0351464</v>
      </c>
      <c r="DV4" s="144" t="n">
        <v>54147000000</v>
      </c>
      <c r="DW4" s="145" t="n">
        <v>26.3</v>
      </c>
      <c r="DX4" s="169" t="n">
        <v>1.267241</v>
      </c>
      <c r="DY4" s="172" t="n">
        <v>989802450</v>
      </c>
      <c r="DZ4" s="146" t="n">
        <v>29.46</v>
      </c>
      <c r="EA4" s="146" t="n">
        <v>31</v>
      </c>
      <c r="EB4" s="146" t="n">
        <v>26.3</v>
      </c>
      <c r="EC4" s="63" t="n">
        <v>14744267</v>
      </c>
      <c r="ED4" s="169" t="n">
        <v>0.218974</v>
      </c>
      <c r="EE4" s="64" t="n"/>
      <c r="EF4" s="60" t="inlineStr">
        <is>
          <t>Mechanism B</t>
        </is>
      </c>
      <c r="EG4" s="59" t="inlineStr">
        <is>
          <t>FINI (from 22/11/2023); 2025-08-04 pricing reform (Mechanism A/B; six-month cornerstone lock-up retained); this IPO: Mechanism B</t>
        </is>
      </c>
      <c r="EH4" t="inlineStr">
        <is>
          <t>轩竹生物科技股份有限公司</t>
        </is>
      </c>
      <c r="EI4" s="174" t="inlineStr">
        <is>
          <t>Active</t>
        </is>
      </c>
      <c r="EJ4" s="175" t="n">
        <v>63.6</v>
      </c>
      <c r="EK4" s="176" t="n">
        <v>1.418251</v>
      </c>
      <c r="EL4" s="176" t="n">
        <v>4.482759</v>
      </c>
      <c r="EM4" s="176" t="n">
        <v>0.039062</v>
      </c>
      <c r="EN4" s="176" t="n">
        <v>-0.023255</v>
      </c>
      <c r="EO4" s="179" t="n">
        <v>2.3273</v>
      </c>
      <c r="EP4" s="179" t="n">
        <v>2.4758</v>
      </c>
      <c r="EQ4" s="178" t="n">
        <v>82229290</v>
      </c>
      <c r="ER4" s="175" t="n">
        <v>36.02</v>
      </c>
      <c r="ES4" s="176" t="n">
        <v>0.369582</v>
      </c>
      <c r="ET4" s="176" t="n">
        <v>2.105172</v>
      </c>
      <c r="EU4" s="176" t="n">
        <v>0.001417</v>
      </c>
      <c r="EV4" s="176" t="n">
        <v>-0.191511</v>
      </c>
      <c r="EW4" s="179" t="n">
        <v>1.3676</v>
      </c>
      <c r="EX4" s="179" t="n">
        <v>1.694</v>
      </c>
      <c r="EY4" s="178" t="n">
        <v>76682165</v>
      </c>
      <c r="EZ4" s="176" t="n">
        <v>0.178526</v>
      </c>
      <c r="FA4" s="176" t="n"/>
      <c r="FB4" s="179" t="n"/>
      <c r="FC4" s="176" t="n"/>
      <c r="FD4" s="179" t="n"/>
      <c r="FE4" s="174" t="inlineStr">
        <is>
          <t>18A (Biotech / B-tag)</t>
        </is>
      </c>
      <c r="FF4" s="181" t="n"/>
      <c r="FG4" s="185" t="n"/>
      <c r="FH4" s="183" t="n"/>
      <c r="FI4" s="178" t="n"/>
      <c r="FJ4" s="176" t="n"/>
      <c r="FK4" s="185" t="n"/>
      <c r="FL4" s="178" t="n"/>
      <c r="FM4" s="176" t="n"/>
      <c r="FN4" s="176" t="n"/>
      <c r="FO4" s="176" t="n"/>
      <c r="FP4" s="176" t="n"/>
      <c r="FQ4" s="176" t="n">
        <v>0.730038</v>
      </c>
      <c r="FR4" s="179" t="n">
        <v>1.7223</v>
      </c>
      <c r="FS4" s="176" t="n">
        <v>1.418251</v>
      </c>
      <c r="FT4" s="179" t="n">
        <v>2.3273</v>
      </c>
      <c r="FU4" s="176" t="n">
        <v>1.581749</v>
      </c>
      <c r="FV4" s="179" t="n">
        <v>2.4846</v>
      </c>
      <c r="FW4" s="179" t="n">
        <v>2.6911</v>
      </c>
      <c r="FX4" s="178" t="n">
        <v>42913236.51</v>
      </c>
      <c r="FY4" s="186" t="n">
        <v>0.001337504132231405</v>
      </c>
      <c r="FZ4" s="183" t="n">
        <v>0</v>
      </c>
      <c r="GA4" s="176" t="n">
        <v>0.1339230515393121</v>
      </c>
      <c r="GB4" s="176" t="n">
        <v>0.69742</v>
      </c>
      <c r="GC4" s="185" t="n"/>
      <c r="GD4" s="185" t="n"/>
      <c r="GE4" s="176" t="n"/>
      <c r="GF4" s="176" t="n"/>
      <c r="GG4" s="179" t="n"/>
      <c r="GH4" s="181" t="inlineStr">
        <is>
          <t>China International Capital Corporation Hong Kong Securities Limited</t>
        </is>
      </c>
      <c r="GI4" s="183" t="n">
        <v>1</v>
      </c>
      <c r="GJ4" s="183" t="n">
        <v>0</v>
      </c>
      <c r="GK4" s="176" t="n">
        <v>0.03</v>
      </c>
      <c r="GL4" s="176" t="n"/>
      <c r="GM4" s="176" t="n"/>
      <c r="GN4" s="183" t="n">
        <v>1</v>
      </c>
      <c r="GO4" s="183" t="n">
        <v>1</v>
      </c>
      <c r="GP4" s="183" t="n">
        <v>0</v>
      </c>
      <c r="GQ4" s="183" t="n">
        <v>7</v>
      </c>
      <c r="GR4" s="183" t="n">
        <v>1</v>
      </c>
      <c r="GS4" s="181" t="inlineStr">
        <is>
          <t>POST_FINI</t>
        </is>
      </c>
      <c r="GT4" s="181" t="inlineStr">
        <is>
          <t>POST_2025_REFORM</t>
        </is>
      </c>
    </row>
    <row r="5" ht="51" customFormat="1" customHeight="1" s="12">
      <c r="A5" s="43" t="n">
        <v>73</v>
      </c>
      <c r="B5" s="47" t="inlineStr">
        <is>
          <t>2670.HK</t>
        </is>
      </c>
      <c r="C5" s="44" t="inlineStr">
        <is>
          <t>Beijing Yunji Technology Co., Ltd. -  H shares</t>
        </is>
      </c>
      <c r="D5" s="130" t="n">
        <v>45938</v>
      </c>
      <c r="E5" s="48" t="n">
        <v>45946</v>
      </c>
      <c r="F5" s="43" t="inlineStr">
        <is>
          <t>CITIC Securities (Hong Kong) Limited/
CCB International Capital Limited</t>
        </is>
      </c>
      <c r="G5" s="43" t="inlineStr">
        <is>
          <t>KPMG</t>
        </is>
      </c>
      <c r="H5" s="43" t="n"/>
      <c r="I5" s="131" t="n">
        <v>131928000</v>
      </c>
      <c r="J5" s="132" t="n">
        <v>626658000</v>
      </c>
      <c r="K5" s="133" t="n">
        <v>95.59999999999999</v>
      </c>
      <c r="L5" s="81" t="n">
        <v>68718182</v>
      </c>
      <c r="M5" s="82" t="n">
        <v>6900000</v>
      </c>
      <c r="N5" s="81" t="n">
        <v>61818182</v>
      </c>
      <c r="O5" s="81" t="n">
        <v>61818182</v>
      </c>
      <c r="P5" s="81" t="n">
        <v>0</v>
      </c>
      <c r="Q5" s="81" t="n">
        <v>6900000</v>
      </c>
      <c r="R5" s="82" t="n">
        <v>6555000</v>
      </c>
      <c r="S5" s="82" t="n">
        <v>345000</v>
      </c>
      <c r="T5" s="147" t="n">
        <v>95.59999999999999</v>
      </c>
      <c r="U5" s="147" t="n">
        <v>95.59999999999999</v>
      </c>
      <c r="V5" s="169" t="n">
        <v>0</v>
      </c>
      <c r="W5" s="169" t="n">
        <v>0</v>
      </c>
      <c r="X5" s="170" t="inlineStr">
        <is>
          <t>Fixed price</t>
        </is>
      </c>
      <c r="Y5" s="26" t="inlineStr">
        <is>
          <t>RMB</t>
        </is>
      </c>
      <c r="Z5" s="137" t="n">
        <v>647362000</v>
      </c>
      <c r="AA5" s="137" t="n">
        <v>517191000</v>
      </c>
      <c r="AB5" s="137" t="n">
        <v>440538000</v>
      </c>
      <c r="AC5" s="137" t="n">
        <v>-1104091000</v>
      </c>
      <c r="AD5" s="137" t="n">
        <v>-1356056000</v>
      </c>
      <c r="AE5" s="137" t="n">
        <v>-1616854000</v>
      </c>
      <c r="AF5" s="137" t="n">
        <v>1751453000</v>
      </c>
      <c r="AG5" s="137" t="n">
        <v>1873247000</v>
      </c>
      <c r="AH5" s="137" t="n">
        <v>2057392000</v>
      </c>
      <c r="AI5" s="137" t="n">
        <v>161280000</v>
      </c>
      <c r="AJ5" s="137" t="n">
        <v>145153000</v>
      </c>
      <c r="AK5" s="137" t="n">
        <v>211989600</v>
      </c>
      <c r="AL5" s="137" t="n">
        <v>-365420000</v>
      </c>
      <c r="AM5" s="137" t="n">
        <v>-264523000</v>
      </c>
      <c r="AN5" s="137" t="n">
        <v>-284032800</v>
      </c>
      <c r="AO5" s="137" t="n">
        <v>-365420000</v>
      </c>
      <c r="AP5" s="137" t="n">
        <v>-264523000</v>
      </c>
      <c r="AQ5" s="137" t="n">
        <v>-284032800</v>
      </c>
      <c r="AR5" s="135" t="n">
        <v>0.03</v>
      </c>
      <c r="AS5" s="135" t="n">
        <v>0.03</v>
      </c>
      <c r="AT5" s="84" t="n">
        <v>0.15</v>
      </c>
      <c r="AU5" s="51" t="inlineStr">
        <is>
          <t>Hospitality robotic-based AI-empowered technology company: robots and functional kits, and AI digitalization system services</t>
        </is>
      </c>
      <c r="AV5" s="51" t="inlineStr">
        <is>
          <t>Chapter 18C of the Listing Rules (Specialist Technology Company, Commercial Company)</t>
        </is>
      </c>
      <c r="AW5" s="136" t="n">
        <v>45808</v>
      </c>
      <c r="AX5" s="137" t="n">
        <v>-52987000</v>
      </c>
      <c r="AY5" s="117" t="n">
        <v>75135000</v>
      </c>
      <c r="AZ5" s="117" t="n">
        <v>24948000</v>
      </c>
      <c r="BA5" s="117" t="n">
        <v>0</v>
      </c>
      <c r="BB5" s="138" t="n">
        <v>0.119</v>
      </c>
      <c r="BC5" s="139" t="n">
        <v>0.416667</v>
      </c>
      <c r="BD5" s="80" t="n">
        <v>1</v>
      </c>
      <c r="BE5" s="161" t="n">
        <v>1</v>
      </c>
      <c r="BF5" s="161" t="n">
        <v>1</v>
      </c>
      <c r="BG5" s="161" t="n">
        <v>1</v>
      </c>
      <c r="BH5" s="161" t="n">
        <v>1</v>
      </c>
      <c r="BI5" s="161" t="n">
        <v>1</v>
      </c>
      <c r="BJ5" s="162" t="inlineStr">
        <is>
          <t>Anhui Artificial Intelligence Company; Beijing Onion; Haihang Chuangtou; Lanting Shiling; Linzhi Tencent; Maoji No. 1; Maoji No. 2; Shanghai Kehui; Guangkong Zhongying; Wenzhou Haiyin; Lenovo Fund; Shanghai Yushu; AlphaX; TransLink; QM165; Feidian No. 1; Feidian No. 2; CITIC Securities Investment; Beijing Qiming; Lanting Qiyue; Ruiju Investment; Alibaba Internet Technology; Henan Ketou; Shanghai Feidian; Taizhoudongnanwentou Fund; Hainan Feidian; Tianjin Haiyin; Hangzhou Haoyue</t>
        </is>
      </c>
      <c r="BK5" s="163" t="inlineStr">
        <is>
          <t>NaN</t>
        </is>
      </c>
      <c r="BL5" s="161" t="inlineStr">
        <is>
          <t>NaN</t>
        </is>
      </c>
      <c r="BM5" s="164" t="inlineStr">
        <is>
          <t>Series Angel Investment</t>
        </is>
      </c>
      <c r="BN5" s="165" t="n">
        <v>11.25</v>
      </c>
      <c r="BO5" s="51" t="inlineStr">
        <is>
          <t>Natural person (Ms. Zhi Tao, co-founder, chairwoman and president)</t>
        </is>
      </c>
      <c r="BP5" s="135" t="n">
        <v>0.3105</v>
      </c>
      <c r="BQ5" s="135" t="n">
        <v>0.3286</v>
      </c>
      <c r="BR5" s="137" t="n">
        <v>1926255000</v>
      </c>
      <c r="BS5" s="73" t="inlineStr">
        <is>
          <t>Early-stage commercialization</t>
        </is>
      </c>
      <c r="BT5" s="142" t="n">
        <v>0</v>
      </c>
      <c r="BU5" s="60" t="inlineStr">
        <is>
          <t>Main Board</t>
        </is>
      </c>
      <c r="BV5" s="89" t="inlineStr">
        <is>
          <t>H Shares</t>
        </is>
      </c>
      <c r="BW5" s="61" t="n">
        <v>0</v>
      </c>
      <c r="BX5" s="77" t="n">
        <v>0</v>
      </c>
      <c r="BY5" s="77" t="n">
        <v>0</v>
      </c>
      <c r="BZ5" s="78" t="n">
        <v>1</v>
      </c>
      <c r="CA5" s="60" t="inlineStr">
        <is>
          <t>701030</t>
        </is>
      </c>
      <c r="CB5" s="76" t="inlineStr">
        <is>
          <t>HSICS (Hang Seng Industry Classification System) 2026</t>
        </is>
      </c>
      <c r="CC5" s="140" t="n">
        <v>41668</v>
      </c>
      <c r="CD5" s="171" t="n">
        <v>11.71</v>
      </c>
      <c r="CE5" s="76" t="inlineStr">
        <is>
          <t>PRC</t>
        </is>
      </c>
      <c r="CF5" s="89" t="inlineStr">
        <is>
          <t>Beijing, the PRC</t>
        </is>
      </c>
      <c r="CG5" s="91" t="n"/>
      <c r="CH5" s="60" t="inlineStr">
        <is>
          <t>IFRS Accounting Standards</t>
        </is>
      </c>
      <c r="CI5" s="141" t="n">
        <v>44927</v>
      </c>
      <c r="CJ5" s="141" t="n">
        <v>45291</v>
      </c>
      <c r="CK5" s="141" t="n">
        <v>45292</v>
      </c>
      <c r="CL5" s="141" t="n">
        <v>45657</v>
      </c>
      <c r="CM5" s="141" t="n">
        <v>45658</v>
      </c>
      <c r="CN5" s="64" t="n">
        <v>88329000</v>
      </c>
      <c r="CO5" s="64" t="n">
        <v>-118347000</v>
      </c>
      <c r="CP5" s="64" t="n">
        <v>-118347000</v>
      </c>
      <c r="CQ5" s="141" t="n">
        <v>45938</v>
      </c>
      <c r="CR5" s="141" t="n">
        <v>45943</v>
      </c>
      <c r="CS5" s="63" t="n">
        <v>61564638</v>
      </c>
      <c r="CT5" s="64" t="n">
        <v>34889000</v>
      </c>
      <c r="CU5" s="64" t="n">
        <v>588000</v>
      </c>
      <c r="CV5" s="59" t="inlineStr">
        <is>
          <t>Unqualified opinion</t>
        </is>
      </c>
      <c r="CW5" s="64" t="n">
        <v>69700000</v>
      </c>
      <c r="CX5" s="51" t="inlineStr">
        <is>
          <t>NA</t>
        </is>
      </c>
      <c r="CY5" s="142" t="n">
        <v>0</v>
      </c>
      <c r="CZ5" s="136" t="inlineStr">
        <is>
          <t>NA</t>
        </is>
      </c>
      <c r="DA5" s="143" t="n">
        <v>5657.2</v>
      </c>
      <c r="DB5" s="63" t="n">
        <v>260092</v>
      </c>
      <c r="DC5" s="63" t="n">
        <v>1951733600</v>
      </c>
      <c r="DD5" s="59" t="inlineStr">
        <is>
          <t>Subscription level 5,657.20 times (on the initially available 345,000 Hong Kong Offer Shares)</t>
        </is>
      </c>
      <c r="DE5" s="141" t="inlineStr">
        <is>
          <t>NA</t>
        </is>
      </c>
      <c r="DF5" s="141" t="n">
        <v>45945</v>
      </c>
      <c r="DG5" s="63" t="n">
        <v>6900000</v>
      </c>
      <c r="DH5" s="63" t="n">
        <v>1380000</v>
      </c>
      <c r="DI5" s="63" t="n">
        <v>5520000</v>
      </c>
      <c r="DJ5" s="63" t="n">
        <v>1035000</v>
      </c>
      <c r="DK5" s="169" t="n">
        <v>1</v>
      </c>
      <c r="DL5" s="59" t="inlineStr">
        <is>
          <t>Reallocation/clawback: 1,035,000 Offer Shares reallocated from the International Offer to the Hong Kong Public Offering</t>
        </is>
      </c>
      <c r="DM5" s="144" t="n">
        <v>593300000</v>
      </c>
      <c r="DN5" s="142" t="n">
        <v>0.5853</v>
      </c>
      <c r="DO5" s="51" t="n">
        <v>68718182</v>
      </c>
      <c r="DP5" s="142" t="n">
        <v>0.1004</v>
      </c>
      <c r="DQ5" s="59" t="inlineStr">
        <is>
          <t>Free float denominator = total issued share capital upon Listing (68,718,182 Shares, assuming the Over-allotment Option is not exercised); shares subject to disposal restrictions excluded</t>
        </is>
      </c>
      <c r="DR5" s="63" t="n">
        <v>68718182</v>
      </c>
      <c r="DS5" s="142" t="n">
        <v>0.06057873</v>
      </c>
      <c r="DT5" s="80" t="n">
        <v>16</v>
      </c>
      <c r="DU5" s="142" t="n">
        <v>0.0358667</v>
      </c>
      <c r="DV5" s="144" t="n">
        <v>54147000000</v>
      </c>
      <c r="DW5" s="145" t="n">
        <v>120.5</v>
      </c>
      <c r="DX5" s="169" t="n">
        <v>0.26046</v>
      </c>
      <c r="DY5" s="172" t="n">
        <v>171810000</v>
      </c>
      <c r="DZ5" s="146" t="n">
        <v>142.8</v>
      </c>
      <c r="EA5" s="146" t="n">
        <v>142.8</v>
      </c>
      <c r="EB5" s="146" t="n">
        <v>120.1</v>
      </c>
      <c r="EC5" s="63" t="n">
        <v>3230450</v>
      </c>
      <c r="ED5" s="169" t="n">
        <v>0.468181</v>
      </c>
      <c r="EE5" s="64" t="n"/>
      <c r="EF5" s="60" t="inlineStr">
        <is>
          <t>Mechanism A</t>
        </is>
      </c>
      <c r="EG5" s="59" t="inlineStr">
        <is>
          <t>FINI (from 22/11/2023); 2025-08-04 pricing reform (Mechanism A/B; six-month cornerstone lock-up retained); this IPO: Mechanism A</t>
        </is>
      </c>
      <c r="EH5" t="inlineStr">
        <is>
          <t>北京云迹科技股份有限公司</t>
        </is>
      </c>
      <c r="EI5" s="174" t="inlineStr">
        <is>
          <t>Active</t>
        </is>
      </c>
      <c r="EJ5" s="175" t="n">
        <v>11.52</v>
      </c>
      <c r="EK5" s="176" t="n">
        <v>-0.043983</v>
      </c>
      <c r="EL5" s="176" t="n">
        <v>0.205021</v>
      </c>
      <c r="EM5" s="176" t="n">
        <v>0.045755</v>
      </c>
      <c r="EN5" s="176" t="n">
        <v>-0.003708</v>
      </c>
      <c r="EO5" s="179" t="n">
        <v>0.9142</v>
      </c>
      <c r="EP5" s="179" t="n">
        <v>0.9596</v>
      </c>
      <c r="EQ5" s="178" t="n">
        <v>41802926</v>
      </c>
      <c r="ER5" s="175" t="n">
        <v>23.98</v>
      </c>
      <c r="ES5" s="176" t="n">
        <v>0.9900409999999999</v>
      </c>
      <c r="ET5" s="176" t="n">
        <v>1.508368</v>
      </c>
      <c r="EU5" s="176" t="n">
        <v>0.019536</v>
      </c>
      <c r="EV5" s="176" t="n">
        <v>-0.151823</v>
      </c>
      <c r="EW5" s="179" t="n">
        <v>1.9519</v>
      </c>
      <c r="EX5" s="179" t="n">
        <v>2.3463</v>
      </c>
      <c r="EY5" s="178" t="n">
        <v>14623449</v>
      </c>
      <c r="EZ5" s="176" t="n">
        <v>0.030208</v>
      </c>
      <c r="FA5" s="176" t="n"/>
      <c r="FB5" s="179" t="n"/>
      <c r="FC5" s="176" t="n"/>
      <c r="FD5" s="179" t="n"/>
      <c r="FE5" s="174" t="inlineStr">
        <is>
          <t>18C (Specialist Tech)</t>
        </is>
      </c>
      <c r="FF5" s="181" t="n"/>
      <c r="FG5" s="185" t="n"/>
      <c r="FH5" s="183" t="n"/>
      <c r="FI5" s="178" t="n"/>
      <c r="FJ5" s="176" t="n"/>
      <c r="FK5" s="185" t="n"/>
      <c r="FL5" s="178" t="n"/>
      <c r="FM5" s="176" t="n"/>
      <c r="FN5" s="176" t="n"/>
      <c r="FO5" s="176" t="n"/>
      <c r="FP5" s="176" t="n"/>
      <c r="FQ5" s="176" t="n">
        <v>0.004979</v>
      </c>
      <c r="FR5" s="179" t="n">
        <v>1.0091</v>
      </c>
      <c r="FS5" s="176" t="n">
        <v>-0.043983</v>
      </c>
      <c r="FT5" s="179" t="n">
        <v>0.9142</v>
      </c>
      <c r="FU5" s="176" t="n">
        <v>0.006639</v>
      </c>
      <c r="FV5" s="179" t="n">
        <v>0.9708</v>
      </c>
      <c r="FW5" s="179" t="n">
        <v>1.038</v>
      </c>
      <c r="FX5" s="178" t="n">
        <v>23560290.79</v>
      </c>
      <c r="FY5" s="186" t="n">
        <v>0.003923925619834711</v>
      </c>
      <c r="FZ5" s="183" t="n">
        <v>0</v>
      </c>
      <c r="GA5" s="176" t="n">
        <v>0.09457919855267902</v>
      </c>
      <c r="GB5" s="176" t="n">
        <v>0.462626</v>
      </c>
      <c r="GC5" s="185" t="n"/>
      <c r="GD5" s="185" t="n"/>
      <c r="GE5" s="176" t="n"/>
      <c r="GF5" s="176" t="n"/>
      <c r="GG5" s="179" t="n"/>
      <c r="GH5" s="181" t="inlineStr">
        <is>
          <t>CITIC Securities (Hong Kong) Limited</t>
        </is>
      </c>
      <c r="GI5" s="183" t="n">
        <v>2</v>
      </c>
      <c r="GJ5" s="183" t="n">
        <v>1</v>
      </c>
      <c r="GK5" s="176" t="n">
        <v>0.03</v>
      </c>
      <c r="GL5" s="176" t="n"/>
      <c r="GM5" s="176" t="n"/>
      <c r="GN5" s="183" t="n">
        <v>0</v>
      </c>
      <c r="GO5" s="183" t="n">
        <v>0</v>
      </c>
      <c r="GP5" s="183" t="n">
        <v>0</v>
      </c>
      <c r="GQ5" s="183" t="n">
        <v>28</v>
      </c>
      <c r="GR5" s="183" t="n">
        <v>1</v>
      </c>
      <c r="GS5" s="181" t="inlineStr">
        <is>
          <t>POST_FINI</t>
        </is>
      </c>
      <c r="GT5" s="181" t="inlineStr">
        <is>
          <t>POST_2025_REFORM</t>
        </is>
      </c>
    </row>
    <row r="6" ht="68" customFormat="1" customHeight="1" s="12">
      <c r="A6" s="43" t="n">
        <v>74</v>
      </c>
      <c r="B6" s="47" t="inlineStr">
        <is>
          <t>2637.HK</t>
        </is>
      </c>
      <c r="C6" s="44" t="inlineStr">
        <is>
          <t>Fujian Haixi Pharmaceuticals Co., Ltd. - H shares</t>
        </is>
      </c>
      <c r="D6" s="130" t="n">
        <v>45939</v>
      </c>
      <c r="E6" s="48" t="n">
        <v>45950</v>
      </c>
      <c r="F6" s="43" t="inlineStr">
        <is>
          <t>Huatai Financial Holdings (Hong Kong) Limited/
CMB International Capital Limited</t>
        </is>
      </c>
      <c r="G6" s="43" t="inlineStr">
        <is>
          <t>Deloitte Touche Tohmatsu</t>
        </is>
      </c>
      <c r="H6" s="43" t="n"/>
      <c r="I6" s="131" t="n">
        <v>99360000</v>
      </c>
      <c r="J6" s="132" t="n">
        <v>894240000</v>
      </c>
      <c r="K6" s="133" t="n">
        <v>86.40000000000001</v>
      </c>
      <c r="L6" s="81" t="n">
        <v>78707270</v>
      </c>
      <c r="M6" s="82" t="n">
        <v>11500000</v>
      </c>
      <c r="N6" s="81" t="n">
        <v>67207270</v>
      </c>
      <c r="O6" s="81" t="n">
        <v>67207270</v>
      </c>
      <c r="P6" s="81" t="n">
        <v>0</v>
      </c>
      <c r="Q6" s="81" t="n">
        <v>11500000</v>
      </c>
      <c r="R6" s="82" t="n">
        <v>10350000</v>
      </c>
      <c r="S6" s="82" t="n">
        <v>1150000</v>
      </c>
      <c r="T6" s="147" t="n">
        <v>86.40000000000001</v>
      </c>
      <c r="U6" s="147" t="n">
        <v>69.88</v>
      </c>
      <c r="V6" s="169" t="n">
        <v>0.105708</v>
      </c>
      <c r="W6" s="169" t="n">
        <v>0.211415</v>
      </c>
      <c r="X6" s="170" t="inlineStr">
        <is>
          <t>At high</t>
        </is>
      </c>
      <c r="Y6" s="26" t="inlineStr">
        <is>
          <t>RMB</t>
        </is>
      </c>
      <c r="Z6" s="137" t="n">
        <v>561544000</v>
      </c>
      <c r="AA6" s="137" t="n">
        <v>755819000</v>
      </c>
      <c r="AB6" s="137" t="n">
        <v>821920000</v>
      </c>
      <c r="AC6" s="137" t="n">
        <v>405247000</v>
      </c>
      <c r="AD6" s="137" t="n">
        <v>541327000</v>
      </c>
      <c r="AE6" s="137" t="n">
        <v>631536000</v>
      </c>
      <c r="AF6" s="137" t="n">
        <v>156297000</v>
      </c>
      <c r="AG6" s="137" t="n">
        <v>214492000</v>
      </c>
      <c r="AH6" s="137" t="n">
        <v>190384000</v>
      </c>
      <c r="AI6" s="137" t="n">
        <v>316633000</v>
      </c>
      <c r="AJ6" s="137" t="n">
        <v>466683000</v>
      </c>
      <c r="AK6" s="137" t="n">
        <v>598118400</v>
      </c>
      <c r="AL6" s="137" t="n">
        <v>132813000</v>
      </c>
      <c r="AM6" s="137" t="n">
        <v>148994000</v>
      </c>
      <c r="AN6" s="137" t="n">
        <v>248318400</v>
      </c>
      <c r="AO6" s="137" t="n">
        <v>117454000</v>
      </c>
      <c r="AP6" s="137" t="n">
        <v>136079000</v>
      </c>
      <c r="AQ6" s="137" t="n">
        <v>216501600</v>
      </c>
      <c r="AR6" s="135" t="n">
        <v>0.015</v>
      </c>
      <c r="AS6" s="135" t="n">
        <v>0.015</v>
      </c>
      <c r="AT6" s="84" t="inlineStr">
        <is>
          <t>NaN</t>
        </is>
      </c>
      <c r="AU6" s="51" t="inlineStr">
        <is>
          <t>Pharmaceutical company - R&amp;D, production and sales of generic drugs and of innovative drug candidates</t>
        </is>
      </c>
      <c r="AV6" s="51" t="inlineStr">
        <is>
          <t>Main Board - H-share issuer (PRC issuer; Chapter 19A of the Listing Rules)</t>
        </is>
      </c>
      <c r="AW6" s="136" t="n">
        <v>45808</v>
      </c>
      <c r="AX6" s="137" t="n">
        <v>80135000</v>
      </c>
      <c r="AY6" s="117" t="n">
        <v>46259000</v>
      </c>
      <c r="AZ6" s="117" t="n">
        <v>22513000</v>
      </c>
      <c r="BA6" s="117" t="inlineStr">
        <is>
          <t>NaN</t>
        </is>
      </c>
      <c r="BB6" s="138" t="n">
        <v>0.717</v>
      </c>
      <c r="BC6" s="139" t="n">
        <v>0.416667</v>
      </c>
      <c r="BD6" s="80" t="n">
        <v>1</v>
      </c>
      <c r="BE6" s="161" t="n">
        <v>1</v>
      </c>
      <c r="BF6" s="161" t="n">
        <v>1</v>
      </c>
      <c r="BG6" s="161" t="inlineStr">
        <is>
          <t>NaN</t>
        </is>
      </c>
      <c r="BH6" s="161" t="n">
        <v>1</v>
      </c>
      <c r="BI6" s="161" t="inlineStr">
        <is>
          <t>NaN</t>
        </is>
      </c>
      <c r="BJ6" s="162" t="inlineStr">
        <is>
          <t>Zhanhongda Investment; Jindonghong Capital; Jindongshi Capital; Huaxinyue Investment; Hongrang Investment; Xinrui Investment; Hongpan Investment; Huifu Chuangjing</t>
        </is>
      </c>
      <c r="BK6" s="163" t="n">
        <v>0.3766</v>
      </c>
      <c r="BL6" s="161" t="inlineStr">
        <is>
          <t>NaN</t>
        </is>
      </c>
      <c r="BM6" s="164" t="inlineStr">
        <is>
          <t>Capital increase in 2018 and 2019</t>
        </is>
      </c>
      <c r="BN6" s="165" t="n">
        <v>7.39</v>
      </c>
      <c r="BO6" s="51" t="inlineStr">
        <is>
          <t>Natural persons (co-founders acting in concert)</t>
        </is>
      </c>
      <c r="BP6" s="135" t="n">
        <v>0.3515</v>
      </c>
      <c r="BQ6" s="135" t="n">
        <v>0.3515</v>
      </c>
      <c r="BR6" s="137" t="n">
        <v>38770000</v>
      </c>
      <c r="BS6" s="73" t="inlineStr">
        <is>
          <t>Commercial-stage (commercialised generic drugs; four innovative drug candidates in clinical/preclinical development)</t>
        </is>
      </c>
      <c r="BT6" s="142" t="n">
        <v>0</v>
      </c>
      <c r="BU6" s="60" t="inlineStr">
        <is>
          <t>Main Board</t>
        </is>
      </c>
      <c r="BV6" s="89" t="inlineStr">
        <is>
          <t>H Shares</t>
        </is>
      </c>
      <c r="BW6" s="61" t="n">
        <v>0</v>
      </c>
      <c r="BX6" s="77" t="n">
        <v>0</v>
      </c>
      <c r="BY6" s="77" t="n">
        <v>0</v>
      </c>
      <c r="BZ6" s="78" t="n">
        <v>0</v>
      </c>
      <c r="CA6" s="60" t="inlineStr">
        <is>
          <t>281010</t>
        </is>
      </c>
      <c r="CB6" s="76" t="inlineStr">
        <is>
          <t>HSICS (Hang Seng Industry Classification System) 2026</t>
        </is>
      </c>
      <c r="CC6" s="140" t="n">
        <v>40995</v>
      </c>
      <c r="CD6" s="171" t="n">
        <v>13.57</v>
      </c>
      <c r="CE6" s="76" t="inlineStr">
        <is>
          <t>PRC</t>
        </is>
      </c>
      <c r="CF6" s="89" t="inlineStr">
        <is>
          <t>Fuzhou, Fujian Province, PRC</t>
        </is>
      </c>
      <c r="CG6" s="91" t="n"/>
      <c r="CH6" s="60" t="inlineStr">
        <is>
          <t>IFRS Accounting Standards</t>
        </is>
      </c>
      <c r="CI6" s="141" t="n">
        <v>44927</v>
      </c>
      <c r="CJ6" s="141" t="n">
        <v>45291</v>
      </c>
      <c r="CK6" s="141" t="n">
        <v>45292</v>
      </c>
      <c r="CL6" s="141" t="n">
        <v>45657</v>
      </c>
      <c r="CM6" s="141" t="n">
        <v>45658</v>
      </c>
      <c r="CN6" s="64" t="n">
        <v>249216000</v>
      </c>
      <c r="CO6" s="64" t="n">
        <v>103466000</v>
      </c>
      <c r="CP6" s="64" t="n">
        <v>90209000</v>
      </c>
      <c r="CQ6" s="141" t="n">
        <v>45939</v>
      </c>
      <c r="CR6" s="141" t="n">
        <v>45944</v>
      </c>
      <c r="CS6" s="63" t="n">
        <v>78707270</v>
      </c>
      <c r="CT6" s="64" t="n">
        <v>209276000</v>
      </c>
      <c r="CU6" s="64" t="n">
        <v>8723000</v>
      </c>
      <c r="CV6" s="59" t="inlineStr">
        <is>
          <t>Unqualified opinion</t>
        </is>
      </c>
      <c r="CW6" s="64" t="n">
        <v>50600000</v>
      </c>
      <c r="CX6" s="51" t="inlineStr">
        <is>
          <t>Harvest International Premium Value (Secondary Market) Fund SPC acting on behalf of and for the account of Harvest Oriental SP</t>
        </is>
      </c>
      <c r="CY6" s="142" t="n">
        <v>0.1723</v>
      </c>
      <c r="CZ6" s="136" t="n">
        <v>46132</v>
      </c>
      <c r="DA6" s="143" t="n">
        <v>3165.1</v>
      </c>
      <c r="DB6" s="63" t="n">
        <v>316139</v>
      </c>
      <c r="DC6" s="63" t="n">
        <v>3639820300</v>
      </c>
      <c r="DD6" s="59" t="inlineStr">
        <is>
          <t>Subscription level 3,165.1 times</t>
        </is>
      </c>
      <c r="DE6" s="141" t="n">
        <v>45945</v>
      </c>
      <c r="DF6" s="141" t="n">
        <v>45947</v>
      </c>
      <c r="DG6" s="63" t="n">
        <v>11500000</v>
      </c>
      <c r="DH6" s="63" t="n">
        <v>1150000</v>
      </c>
      <c r="DI6" s="63" t="n">
        <v>10350000</v>
      </c>
      <c r="DJ6" s="63" t="n">
        <v>0</v>
      </c>
      <c r="DK6" s="169" t="n">
        <v>0</v>
      </c>
      <c r="DL6" s="59" t="inlineStr">
        <is>
          <t>No reallocation/clawback; the final number of Hong Kong Public Offer Shares remained 1,150,000, being 10.00% of the Global Offering</t>
        </is>
      </c>
      <c r="DM6" s="144" t="n">
        <v>940130000</v>
      </c>
      <c r="DN6" s="142" t="n">
        <v>0.2672</v>
      </c>
      <c r="DO6" s="51" t="n">
        <v>78707270</v>
      </c>
      <c r="DP6" s="142" t="n">
        <v>0.1209</v>
      </c>
      <c r="DQ6" s="59" t="inlineStr">
        <is>
          <t>Free float denominator = total issued shares upon listing (col_CZ); numerator = offer shares minus cornerstone allocation</t>
        </is>
      </c>
      <c r="DR6" s="63" t="n">
        <v>78707270</v>
      </c>
      <c r="DS6" s="142" t="n">
        <v>0.04663943</v>
      </c>
      <c r="DT6" s="80" t="n">
        <v>17</v>
      </c>
      <c r="DU6" s="142" t="n">
        <v>0.0355417</v>
      </c>
      <c r="DV6" s="144" t="n">
        <v>54167000000</v>
      </c>
      <c r="DW6" s="145" t="n">
        <v>104.2</v>
      </c>
      <c r="DX6" s="169" t="n">
        <v>0.206019</v>
      </c>
      <c r="DY6" s="172" t="n">
        <v>204700000</v>
      </c>
      <c r="DZ6" s="146" t="n">
        <v>102</v>
      </c>
      <c r="EA6" s="146" t="n">
        <v>117.8</v>
      </c>
      <c r="EB6" s="146" t="n">
        <v>100</v>
      </c>
      <c r="EC6" s="63" t="n">
        <v>2398750</v>
      </c>
      <c r="ED6" s="169" t="n">
        <v>0.208587</v>
      </c>
      <c r="EE6" s="64" t="n"/>
      <c r="EF6" s="60" t="inlineStr">
        <is>
          <t>Mechanism B</t>
        </is>
      </c>
      <c r="EG6" s="59" t="inlineStr">
        <is>
          <t>FINI (from 22/11/2023); 2025-08-04 pricing reform (Mechanism A/B; six-month cornerstone lock-up retained); this IPO: Mechanism B</t>
        </is>
      </c>
      <c r="EH6" t="inlineStr">
        <is>
          <t>福建海西新药创制股份有限公司</t>
        </is>
      </c>
      <c r="EI6" s="174" t="inlineStr">
        <is>
          <t>Active</t>
        </is>
      </c>
      <c r="EJ6" s="175" t="n">
        <v>134.8</v>
      </c>
      <c r="EK6" s="176" t="n">
        <v>0.293666</v>
      </c>
      <c r="EL6" s="176" t="n">
        <v>0.560185</v>
      </c>
      <c r="EM6" s="176" t="n">
        <v>0.02032</v>
      </c>
      <c r="EN6" s="176" t="n">
        <v>-0.029713</v>
      </c>
      <c r="EO6" s="179" t="n">
        <v>1.2679</v>
      </c>
      <c r="EP6" s="179" t="n">
        <v>1.3333</v>
      </c>
      <c r="EQ6" s="178" t="n">
        <v>29110280</v>
      </c>
      <c r="ER6" s="175" t="n">
        <v>190</v>
      </c>
      <c r="ES6" s="176" t="n">
        <v>0.823417</v>
      </c>
      <c r="ET6" s="176" t="n">
        <v>1.199074</v>
      </c>
      <c r="EU6" s="176" t="n">
        <v>0.019422</v>
      </c>
      <c r="EV6" s="176" t="n">
        <v>-0.146219</v>
      </c>
      <c r="EW6" s="179" t="n">
        <v>1.7887</v>
      </c>
      <c r="EX6" s="179" t="n">
        <v>2.1357</v>
      </c>
      <c r="EY6" s="178" t="n">
        <v>83444180</v>
      </c>
      <c r="EZ6" s="176" t="n">
        <v>0.306965</v>
      </c>
      <c r="FA6" s="176" t="n"/>
      <c r="FB6" s="179" t="n"/>
      <c r="FC6" s="176" t="n"/>
      <c r="FD6" s="179" t="n"/>
      <c r="FE6" s="174" t="inlineStr">
        <is>
          <t>Standard</t>
        </is>
      </c>
      <c r="FF6" s="181" t="n"/>
      <c r="FG6" s="185" t="n"/>
      <c r="FH6" s="183" t="n"/>
      <c r="FI6" s="178" t="n"/>
      <c r="FJ6" s="176" t="n"/>
      <c r="FK6" s="185" t="n"/>
      <c r="FL6" s="178" t="n"/>
      <c r="FM6" s="176" t="n"/>
      <c r="FN6" s="176" t="n"/>
      <c r="FO6" s="176" t="n"/>
      <c r="FP6" s="176" t="n"/>
      <c r="FQ6" s="176" t="n">
        <v>0.050864</v>
      </c>
      <c r="FR6" s="179" t="n">
        <v>1.0388</v>
      </c>
      <c r="FS6" s="176" t="n">
        <v>0.293666</v>
      </c>
      <c r="FT6" s="179" t="n">
        <v>1.2679</v>
      </c>
      <c r="FU6" s="176" t="n">
        <v>0.451056</v>
      </c>
      <c r="FV6" s="179" t="n">
        <v>1.4166</v>
      </c>
      <c r="FW6" s="179" t="n">
        <v>1.5148</v>
      </c>
      <c r="FX6" s="178" t="n">
        <v>15803115.87</v>
      </c>
      <c r="FY6" s="186" t="n">
        <v>0.001839471074380165</v>
      </c>
      <c r="FZ6" s="183" t="n">
        <v>0</v>
      </c>
      <c r="GA6" s="176" t="n">
        <v>0.04349096495509708</v>
      </c>
      <c r="GB6" s="176" t="n">
        <v>0.225108</v>
      </c>
      <c r="GC6" s="185" t="n"/>
      <c r="GD6" s="185" t="n"/>
      <c r="GE6" s="176" t="n"/>
      <c r="GF6" s="176" t="n"/>
      <c r="GG6" s="179" t="n"/>
      <c r="GH6" s="181" t="inlineStr">
        <is>
          <t>Huatai Financial Holdings (Hong Kong) Limited</t>
        </is>
      </c>
      <c r="GI6" s="183" t="n">
        <v>2</v>
      </c>
      <c r="GJ6" s="183" t="n">
        <v>1</v>
      </c>
      <c r="GK6" s="176" t="n">
        <v>0.015</v>
      </c>
      <c r="GL6" s="176" t="n"/>
      <c r="GM6" s="176" t="n"/>
      <c r="GN6" s="183" t="n">
        <v>1</v>
      </c>
      <c r="GO6" s="183" t="n">
        <v>1</v>
      </c>
      <c r="GP6" s="183" t="n">
        <v>0</v>
      </c>
      <c r="GQ6" s="183" t="n">
        <v>8</v>
      </c>
      <c r="GR6" s="183" t="n">
        <v>1</v>
      </c>
      <c r="GS6" s="181" t="inlineStr">
        <is>
          <t>POST_FINI</t>
        </is>
      </c>
      <c r="GT6" s="181" t="inlineStr">
        <is>
          <t>POST_2025_REFORM</t>
        </is>
      </c>
    </row>
    <row r="7" ht="68" customFormat="1" customHeight="1" s="12">
      <c r="A7" s="43" t="n">
        <v>75</v>
      </c>
      <c r="B7" s="47" t="inlineStr">
        <is>
          <t>6687.HK</t>
        </is>
      </c>
      <c r="C7" s="44" t="inlineStr">
        <is>
          <t>JST Group Corporation Limited</t>
        </is>
      </c>
      <c r="D7" s="130" t="n">
        <v>45943</v>
      </c>
      <c r="E7" s="48" t="n">
        <v>45951</v>
      </c>
      <c r="F7" s="43" t="inlineStr">
        <is>
          <t>China International Capital Corporation
Hong Kong Securities Limited/
J.P. Morgan Securities (Far East) Limited</t>
        </is>
      </c>
      <c r="G7" s="43" t="inlineStr">
        <is>
          <t>PricewaterhouseCoopers</t>
        </is>
      </c>
      <c r="H7" s="43" t="n"/>
      <c r="I7" s="131" t="n">
        <v>208591020</v>
      </c>
      <c r="J7" s="132" t="n">
        <v>2190176640</v>
      </c>
      <c r="K7" s="133" t="n">
        <v>30.6</v>
      </c>
      <c r="L7" s="81" t="n">
        <v>426038600</v>
      </c>
      <c r="M7" s="82" t="n">
        <v>68166200</v>
      </c>
      <c r="N7" s="81" t="n">
        <v>357872400</v>
      </c>
      <c r="O7" s="81" t="n">
        <v>357872400</v>
      </c>
      <c r="P7" s="81" t="n">
        <v>0</v>
      </c>
      <c r="Q7" s="81" t="n">
        <v>68166200</v>
      </c>
      <c r="R7" s="82" t="n">
        <v>61349500</v>
      </c>
      <c r="S7" s="82" t="n">
        <v>6816700</v>
      </c>
      <c r="T7" s="147" t="n">
        <v>30.6</v>
      </c>
      <c r="U7" s="147" t="n">
        <v>30.6</v>
      </c>
      <c r="V7" s="169" t="n">
        <v>0</v>
      </c>
      <c r="W7" s="169" t="n">
        <v>0</v>
      </c>
      <c r="X7" s="170" t="inlineStr">
        <is>
          <t>Fixed price</t>
        </is>
      </c>
      <c r="Y7" s="26" t="inlineStr">
        <is>
          <t>RMB</t>
        </is>
      </c>
      <c r="Z7" s="137" t="n">
        <v>1458512000</v>
      </c>
      <c r="AA7" s="137" t="n">
        <v>1743112000</v>
      </c>
      <c r="AB7" s="137" t="n">
        <v>2215325000</v>
      </c>
      <c r="AC7" s="137" t="n">
        <v>-1513067000</v>
      </c>
      <c r="AD7" s="137" t="n">
        <v>-3673221000</v>
      </c>
      <c r="AE7" s="137" t="n">
        <v>-3649496000</v>
      </c>
      <c r="AF7" s="137" t="n">
        <v>2971579000</v>
      </c>
      <c r="AG7" s="137" t="n">
        <v>5416333000</v>
      </c>
      <c r="AH7" s="137" t="n">
        <v>5864821000</v>
      </c>
      <c r="AI7" s="137" t="n">
        <v>523078000</v>
      </c>
      <c r="AJ7" s="137" t="n">
        <v>697191000</v>
      </c>
      <c r="AK7" s="137" t="n">
        <v>909750000</v>
      </c>
      <c r="AL7" s="137" t="n">
        <v>-507079000</v>
      </c>
      <c r="AM7" s="137" t="n">
        <v>-490023000</v>
      </c>
      <c r="AN7" s="137" t="n">
        <v>-79641000</v>
      </c>
      <c r="AO7" s="137" t="n">
        <v>-507079000</v>
      </c>
      <c r="AP7" s="137" t="n">
        <v>-490023000</v>
      </c>
      <c r="AQ7" s="137" t="n">
        <v>10583000</v>
      </c>
      <c r="AR7" s="135" t="n">
        <v>0.024</v>
      </c>
      <c r="AS7" s="135" t="n">
        <v>0.024</v>
      </c>
      <c r="AT7" s="84" t="n">
        <v>0.15</v>
      </c>
      <c r="AU7" s="51" t="inlineStr">
        <is>
          <t>E-commerce SaaS ERP provider (software-as-a-service enterprise resource planning for e-commerce merchants)</t>
        </is>
      </c>
      <c r="AV7" s="51" t="inlineStr">
        <is>
          <t>Chapter 8 of the Listing Rules (market capitalisation/revenue test under Rule 8.05(3))</t>
        </is>
      </c>
      <c r="AW7" s="136" t="n">
        <v>45657</v>
      </c>
      <c r="AX7" s="137" t="n">
        <v>279170000</v>
      </c>
      <c r="AY7" s="117" t="n">
        <v>1085276000</v>
      </c>
      <c r="AZ7" s="117" t="n">
        <v>239798000</v>
      </c>
      <c r="BA7" s="117" t="n">
        <v>0</v>
      </c>
      <c r="BB7" s="138" t="n">
        <v>0.01</v>
      </c>
      <c r="BC7" s="139" t="n">
        <v>1</v>
      </c>
      <c r="BD7" s="80" t="n">
        <v>1</v>
      </c>
      <c r="BE7" s="161" t="n">
        <v>1</v>
      </c>
      <c r="BF7" s="161" t="n">
        <v>1</v>
      </c>
      <c r="BG7" s="161" t="n">
        <v>1</v>
      </c>
      <c r="BH7" s="161" t="inlineStr">
        <is>
          <t>NaN</t>
        </is>
      </c>
      <c r="BI7" s="161" t="inlineStr">
        <is>
          <t>NaN</t>
        </is>
      </c>
      <c r="BJ7" s="162" t="inlineStr">
        <is>
          <t>GRANITE ASIA VIII INVESTMENTS PTE. LTD.; Shanghai Jingyu Enterprise Management Consulting Partnership (L.P.); VP JST II LP; VP JST I LP; Shanghai Blue Lake; Blue Lake Capital Fund II, L.P.; Blue Lake Capital Opportunity Fund I, L.P.; Max Dazzle Limited; CICC Gongying Fund; Shanghai Zhuolu Management Consulting Partnership (L.P.); IKARIA GROUP LIMITED; Seashine Capital Limited; Beijing Weiguang Equity Investment Partnership (L.P.); Ameba Bamboo Limited; Ameba Mercury Limited; Fuzhou Ameba; Suzhou Yuanjing; Hangzhou Yuanjing; Huzhou Wanlu; Dimension Enterprises Limited; Jiaxing Huihai; Daniel and Owen Limited; Bottle Tea Limited</t>
        </is>
      </c>
      <c r="BK7" s="163" t="inlineStr">
        <is>
          <t>NaN</t>
        </is>
      </c>
      <c r="BL7" s="161" t="n">
        <v>1</v>
      </c>
      <c r="BM7" s="164" t="inlineStr">
        <is>
          <t>Series Angel</t>
        </is>
      </c>
      <c r="BN7" s="165" t="n">
        <v>9.92</v>
      </c>
      <c r="BO7" s="51" t="inlineStr">
        <is>
          <t>Natural person (Mr. Luo Haidong)</t>
        </is>
      </c>
      <c r="BP7" s="135" t="n">
        <v>0.1916</v>
      </c>
      <c r="BQ7" s="135" t="n">
        <v>0.3937</v>
      </c>
      <c r="BR7" s="137" t="n">
        <v>16178000</v>
      </c>
      <c r="BS7" s="73" t="inlineStr">
        <is>
          <t>Commercialised SaaS products with recurring subscription revenue</t>
        </is>
      </c>
      <c r="BT7" s="142" t="n">
        <v>0</v>
      </c>
      <c r="BU7" s="60" t="inlineStr">
        <is>
          <t>Main Board</t>
        </is>
      </c>
      <c r="BV7" s="89" t="inlineStr">
        <is>
          <t>Ordinary Shares</t>
        </is>
      </c>
      <c r="BW7" s="61" t="n">
        <v>0</v>
      </c>
      <c r="BX7" s="77" t="n">
        <v>0</v>
      </c>
      <c r="BY7" s="77" t="n">
        <v>0</v>
      </c>
      <c r="BZ7" s="78" t="n">
        <v>0</v>
      </c>
      <c r="CA7" s="60" t="inlineStr">
        <is>
          <t>702030</t>
        </is>
      </c>
      <c r="CB7" s="76" t="inlineStr">
        <is>
          <t>HSICS (Hang Seng Industry Classification System) 2026</t>
        </is>
      </c>
      <c r="CC7" s="140" t="n">
        <v>44410</v>
      </c>
      <c r="CD7" s="171" t="n">
        <v>4.22</v>
      </c>
      <c r="CE7" s="76" t="inlineStr">
        <is>
          <t>Cayman Islands</t>
        </is>
      </c>
      <c r="CF7" s="89" t="inlineStr">
        <is>
          <t>Shanghai, PRC</t>
        </is>
      </c>
      <c r="CG7" s="91" t="n">
        <v>1000</v>
      </c>
      <c r="CH7" s="60" t="inlineStr">
        <is>
          <t>IFRS Accounting Standards</t>
        </is>
      </c>
      <c r="CI7" s="141" t="n">
        <v>44562</v>
      </c>
      <c r="CJ7" s="141" t="n">
        <v>44926</v>
      </c>
      <c r="CK7" s="141" t="n">
        <v>44927</v>
      </c>
      <c r="CL7" s="141" t="n">
        <v>45291</v>
      </c>
      <c r="CM7" s="141" t="n">
        <v>45292</v>
      </c>
      <c r="CN7" s="64" t="n">
        <v>909750000</v>
      </c>
      <c r="CO7" s="64" t="n">
        <v>-79641000</v>
      </c>
      <c r="CP7" s="64" t="n">
        <v>10583000</v>
      </c>
      <c r="CQ7" s="141" t="n">
        <v>45943</v>
      </c>
      <c r="CR7" s="141" t="n">
        <v>45946</v>
      </c>
      <c r="CS7" s="63" t="n">
        <v>426038600</v>
      </c>
      <c r="CT7" s="64" t="n">
        <v>622851000</v>
      </c>
      <c r="CU7" s="64" t="n">
        <v>1818000</v>
      </c>
      <c r="CV7" s="59" t="inlineStr">
        <is>
          <t>Unqualified opinion</t>
        </is>
      </c>
      <c r="CW7" s="64" t="n">
        <v>148300000</v>
      </c>
      <c r="CX7" s="51" t="inlineStr">
        <is>
          <t>Blue Lake Capital Opportunity Fund; CUAM Entities; DAMSIMF; Fourier Global Master Fund; GRANITE ASIA VIII INVESTMENTS PTE. LTD.; Greenwoods HK; GTCS Holdings; HongShan Growth; Jain Global Master Fund; Perseverance Asset Management; Stoneylake Global Alpha Fund; WT Asset Management; 3W Fund</t>
        </is>
      </c>
      <c r="CY7" s="142" t="n">
        <v>0.485</v>
      </c>
      <c r="CZ7" s="136" t="n">
        <v>46133</v>
      </c>
      <c r="DA7" s="143" t="n">
        <v>1952.95</v>
      </c>
      <c r="DB7" s="63" t="n">
        <v>386815</v>
      </c>
      <c r="DC7" s="63" t="n">
        <v>13312663300</v>
      </c>
      <c r="DD7" s="59" t="inlineStr">
        <is>
          <t>Subscription level 1,952.95 times (Hong Kong Public Offering); International Offering Subscription Level 22.89 times</t>
        </is>
      </c>
      <c r="DE7" s="141" t="inlineStr">
        <is>
          <t>NA</t>
        </is>
      </c>
      <c r="DF7" s="141" t="n">
        <v>45950</v>
      </c>
      <c r="DG7" s="63" t="n">
        <v>68166200</v>
      </c>
      <c r="DH7" s="63" t="n">
        <v>6816700</v>
      </c>
      <c r="DI7" s="63" t="n">
        <v>61349500</v>
      </c>
      <c r="DJ7" s="63" t="n">
        <v>10224900</v>
      </c>
      <c r="DK7" s="169" t="n">
        <v>1</v>
      </c>
      <c r="DL7" s="59" t="inlineStr">
        <is>
          <t>Claw-back not triggered; final no. of Offer Shares under the Hong Kong Public Offering 6,816,700, i.e. 10% of the Global Offering</t>
        </is>
      </c>
      <c r="DM7" s="144" t="n">
        <v>1937620000</v>
      </c>
      <c r="DN7" s="142" t="n">
        <v>0.6063</v>
      </c>
      <c r="DO7" s="51" t="n">
        <v>426038600</v>
      </c>
      <c r="DP7" s="142" t="n">
        <v>0.0824</v>
      </c>
      <c r="DQ7" s="59" t="inlineStr">
        <is>
          <t>Total issued Shares upon Listing (426,038,600) net of pre-Listing Shareholders' lock-up (84.00%) and Cornerstone Investors' six-month lock-up (7.76%)</t>
        </is>
      </c>
      <c r="DR7" s="63" t="n">
        <v>426038600</v>
      </c>
      <c r="DS7" s="142" t="n">
        <v>0.00343737</v>
      </c>
      <c r="DT7" s="80" t="n">
        <v>18</v>
      </c>
      <c r="DU7" s="142" t="n">
        <v>0.0348435</v>
      </c>
      <c r="DV7" s="144" t="n">
        <v>54167000000</v>
      </c>
      <c r="DW7" s="145" t="n">
        <v>37.9</v>
      </c>
      <c r="DX7" s="169" t="n">
        <v>0.238562</v>
      </c>
      <c r="DY7" s="172" t="n">
        <v>497613260</v>
      </c>
      <c r="DZ7" s="146" t="n">
        <v>38</v>
      </c>
      <c r="EA7" s="146" t="n">
        <v>40.58</v>
      </c>
      <c r="EB7" s="146" t="n">
        <v>35.1</v>
      </c>
      <c r="EC7" s="63" t="n">
        <v>37490701</v>
      </c>
      <c r="ED7" s="169" t="n">
        <v>0.54999</v>
      </c>
      <c r="EE7" s="64" t="n"/>
      <c r="EF7" s="60" t="inlineStr">
        <is>
          <t>Mechanism B</t>
        </is>
      </c>
      <c r="EG7" s="59" t="inlineStr">
        <is>
          <t>FINI (from 22/11/2023); 2025-08-04 pricing reform (Mechanism A/B; six-month cornerstone lock-up retained); this IPO: Mechanism B</t>
        </is>
      </c>
      <c r="EH7" t="inlineStr">
        <is>
          <t>聚水潭集团股份有限公司</t>
        </is>
      </c>
      <c r="EI7" s="174" t="inlineStr">
        <is>
          <t>Active</t>
        </is>
      </c>
      <c r="EJ7" s="175" t="n">
        <v>27.26</v>
      </c>
      <c r="EK7" s="176" t="n">
        <v>-0.280739</v>
      </c>
      <c r="EL7" s="176" t="n">
        <v>-0.10915</v>
      </c>
      <c r="EM7" s="176" t="n">
        <v>-0.003747</v>
      </c>
      <c r="EN7" s="176" t="n">
        <v>-0.060289</v>
      </c>
      <c r="EO7" s="179" t="n">
        <v>0.722</v>
      </c>
      <c r="EP7" s="179" t="n">
        <v>0.7654</v>
      </c>
      <c r="EQ7" s="178" t="n">
        <v>122984155</v>
      </c>
      <c r="ER7" s="175" t="n">
        <v>18.57</v>
      </c>
      <c r="ES7" s="176" t="n">
        <v>-0.510026</v>
      </c>
      <c r="ET7" s="176" t="n">
        <v>-0.393137</v>
      </c>
      <c r="EU7" s="176" t="n">
        <v>0.017671</v>
      </c>
      <c r="EV7" s="176" t="n">
        <v>-0.157532</v>
      </c>
      <c r="EW7" s="179" t="n">
        <v>0.4815</v>
      </c>
      <c r="EX7" s="179" t="n">
        <v>0.5816</v>
      </c>
      <c r="EY7" s="178" t="n">
        <v>42254405</v>
      </c>
      <c r="EZ7" s="176" t="n">
        <v>0.029333</v>
      </c>
      <c r="FA7" s="176" t="n"/>
      <c r="FB7" s="179" t="n"/>
      <c r="FC7" s="176" t="n"/>
      <c r="FD7" s="179" t="n"/>
      <c r="FE7" s="174" t="inlineStr">
        <is>
          <t>Standard</t>
        </is>
      </c>
      <c r="FF7" s="181" t="n"/>
      <c r="FG7" s="185" t="n"/>
      <c r="FH7" s="183" t="n"/>
      <c r="FI7" s="178" t="n"/>
      <c r="FJ7" s="176" t="n"/>
      <c r="FK7" s="185" t="n"/>
      <c r="FL7" s="178" t="n"/>
      <c r="FM7" s="176" t="n"/>
      <c r="FN7" s="176" t="n"/>
      <c r="FO7" s="176" t="n"/>
      <c r="FP7" s="176" t="n"/>
      <c r="FQ7" s="176" t="n">
        <v>-0.077573</v>
      </c>
      <c r="FR7" s="179" t="n">
        <v>0.9083</v>
      </c>
      <c r="FS7" s="176" t="n">
        <v>-0.280739</v>
      </c>
      <c r="FT7" s="179" t="n">
        <v>0.722</v>
      </c>
      <c r="FU7" s="176" t="n">
        <v>-0.25752</v>
      </c>
      <c r="FV7" s="179" t="n">
        <v>0.7269</v>
      </c>
      <c r="FW7" s="179" t="n">
        <v>0.7763</v>
      </c>
      <c r="FX7" s="178" t="n">
        <v>44576422.22</v>
      </c>
      <c r="FY7" s="186" t="n">
        <v>0.003170793388429752</v>
      </c>
      <c r="FZ7" s="183" t="n">
        <v>0</v>
      </c>
      <c r="GA7" s="176" t="n">
        <v>0.05327005904615513</v>
      </c>
      <c r="GB7" s="176" t="n">
        <v>0.5970760000000001</v>
      </c>
      <c r="GC7" s="185" t="n"/>
      <c r="GD7" s="185" t="n"/>
      <c r="GE7" s="176" t="n"/>
      <c r="GF7" s="176" t="n"/>
      <c r="GG7" s="179" t="n"/>
      <c r="GH7" s="181" t="inlineStr">
        <is>
          <t>China International Capital Corporation Hong Kong Securities Limited</t>
        </is>
      </c>
      <c r="GI7" s="183" t="n">
        <v>2</v>
      </c>
      <c r="GJ7" s="183" t="n">
        <v>0</v>
      </c>
      <c r="GK7" s="176" t="n">
        <v>0.024</v>
      </c>
      <c r="GL7" s="176" t="n"/>
      <c r="GM7" s="176" t="n"/>
      <c r="GN7" s="183" t="n">
        <v>13</v>
      </c>
      <c r="GO7" s="183" t="n">
        <v>1</v>
      </c>
      <c r="GP7" s="183" t="n">
        <v>0</v>
      </c>
      <c r="GQ7" s="183" t="n">
        <v>25</v>
      </c>
      <c r="GR7" s="183" t="n">
        <v>1</v>
      </c>
      <c r="GS7" s="181" t="inlineStr">
        <is>
          <t>POST_FINI</t>
        </is>
      </c>
      <c r="GT7" s="181" t="inlineStr">
        <is>
          <t>POST_2025_REFORM</t>
        </is>
      </c>
    </row>
    <row r="8" ht="34" customFormat="1" customHeight="1" s="12">
      <c r="A8" s="43" t="n">
        <v>76</v>
      </c>
      <c r="B8" s="47" t="inlineStr">
        <is>
          <t>0638.HK</t>
        </is>
      </c>
      <c r="C8" s="44" t="inlineStr">
        <is>
          <t>Fibocom Wireless Inc. - H  shares</t>
        </is>
      </c>
      <c r="D8" s="130" t="n">
        <v>45944</v>
      </c>
      <c r="E8" s="48" t="n">
        <v>45952</v>
      </c>
      <c r="F8" s="43" t="inlineStr">
        <is>
          <t>CITIC Securities (Hong Kong) Limited</t>
        </is>
      </c>
      <c r="G8" s="43" t="inlineStr">
        <is>
          <t>Grant Thornton 
Hong Kong Limited</t>
        </is>
      </c>
      <c r="H8" s="43" t="n"/>
      <c r="I8" s="131" t="n">
        <v>290426300</v>
      </c>
      <c r="J8" s="148" t="n">
        <v>2613798000</v>
      </c>
      <c r="K8" s="133" t="n">
        <v>21.5</v>
      </c>
      <c r="L8" t="n">
        <v>900533742</v>
      </c>
      <c r="M8" s="67" t="n">
        <v>135080200</v>
      </c>
      <c r="N8" t="n">
        <v>765453542</v>
      </c>
      <c r="O8" t="n">
        <v>765453542</v>
      </c>
      <c r="P8" t="n">
        <v>0</v>
      </c>
      <c r="Q8" t="n">
        <v>135080200</v>
      </c>
      <c r="R8" s="67" t="n">
        <v>121572000</v>
      </c>
      <c r="S8" s="67" t="n">
        <v>13508200</v>
      </c>
      <c r="T8" s="147" t="n">
        <v>21.5</v>
      </c>
      <c r="U8" s="147" t="n">
        <v>19.88</v>
      </c>
      <c r="V8" s="169" t="n">
        <v>0.039149</v>
      </c>
      <c r="W8" s="169" t="n">
        <v>0.07829899999999999</v>
      </c>
      <c r="X8" s="170" t="inlineStr">
        <is>
          <t>At high</t>
        </is>
      </c>
      <c r="Y8" s="26" t="inlineStr">
        <is>
          <t>RMB</t>
        </is>
      </c>
      <c r="Z8" s="137" t="n">
        <v>7095287000</v>
      </c>
      <c r="AA8" s="137" t="n">
        <v>7549056000</v>
      </c>
      <c r="AB8" s="137" t="n">
        <v>7830806000</v>
      </c>
      <c r="AC8" s="137" t="n">
        <v>3128609000</v>
      </c>
      <c r="AD8" s="137" t="n">
        <v>3612961000</v>
      </c>
      <c r="AE8" s="137" t="n">
        <v>3809280000</v>
      </c>
      <c r="AF8" s="137" t="n">
        <v>3966678000</v>
      </c>
      <c r="AG8" s="137" t="n">
        <v>3936095000</v>
      </c>
      <c r="AH8" s="137" t="n">
        <v>4021526000</v>
      </c>
      <c r="AI8" s="137" t="n">
        <v>5651814000</v>
      </c>
      <c r="AJ8" s="137" t="n">
        <v>6971189000</v>
      </c>
      <c r="AK8" s="137" t="n">
        <v>7441944000</v>
      </c>
      <c r="AL8" s="137" t="n">
        <v>384822000</v>
      </c>
      <c r="AM8" s="137" t="n">
        <v>370589000</v>
      </c>
      <c r="AN8" s="137" t="n">
        <v>511215000</v>
      </c>
      <c r="AO8" s="137" t="n">
        <v>564988000</v>
      </c>
      <c r="AP8" s="137" t="n">
        <v>676838000</v>
      </c>
      <c r="AQ8" s="137" t="n">
        <v>480795000</v>
      </c>
      <c r="AR8" s="142" t="n">
        <v>0.02</v>
      </c>
      <c r="AS8" s="142" t="n">
        <v>0.02</v>
      </c>
      <c r="AT8" s="84" t="n">
        <v>0.15</v>
      </c>
      <c r="AU8" s="51" t="inlineStr">
        <is>
          <t>Wireless communication module provider - design, research and development and sales of wireless communication modules and solutions (data transmission modules, smart modules, AI modules; Edge AI, robotic and other solutions)</t>
        </is>
      </c>
      <c r="AV8" s="51" t="inlineStr">
        <is>
          <t>A+H listing: new H Shares listed on the Main Board of the Stock Exchange by a PRC issuer (Listing Rules Chapter 19A; Rules 19A.13A/19A.13C/19A.15 cited); existing A Shares listed on the ChiNext Board of the Shenzhen Stock Exchange</t>
        </is>
      </c>
      <c r="AW8" s="136" t="n">
        <v>45777</v>
      </c>
      <c r="AX8" s="137" t="n">
        <v>-138710000</v>
      </c>
      <c r="AY8" s="117" t="n">
        <v>807073000</v>
      </c>
      <c r="AZ8" s="117" t="n">
        <v>182250000</v>
      </c>
      <c r="BA8" s="117" t="n">
        <v>8010000</v>
      </c>
      <c r="BB8" s="138" t="n">
        <v>0.632</v>
      </c>
      <c r="BC8" s="139" t="n">
        <v>0.333333</v>
      </c>
      <c r="BD8" s="80" t="inlineStr">
        <is>
          <t>NaN</t>
        </is>
      </c>
      <c r="BE8" s="161" t="inlineStr">
        <is>
          <t>NaN</t>
        </is>
      </c>
      <c r="BF8" s="161" t="inlineStr">
        <is>
          <t>NaN</t>
        </is>
      </c>
      <c r="BG8" s="161" t="inlineStr">
        <is>
          <t>NaN</t>
        </is>
      </c>
      <c r="BH8" s="161" t="inlineStr">
        <is>
          <t>NaN</t>
        </is>
      </c>
      <c r="BI8" s="161" t="inlineStr">
        <is>
          <t>NaN</t>
        </is>
      </c>
      <c r="BJ8" s="162" t="inlineStr">
        <is>
          <t>NA</t>
        </is>
      </c>
      <c r="BK8" s="163" t="inlineStr">
        <is>
          <t>NaN</t>
        </is>
      </c>
      <c r="BL8" s="161" t="inlineStr">
        <is>
          <t>NaN</t>
        </is>
      </c>
      <c r="BM8" s="164" t="inlineStr">
        <is>
          <t>NA</t>
        </is>
      </c>
      <c r="BN8" s="165" t="inlineStr">
        <is>
          <t>NaN</t>
        </is>
      </c>
      <c r="BO8" s="51" t="inlineStr">
        <is>
          <t>Individual</t>
        </is>
      </c>
      <c r="BP8" s="135" t="n">
        <v>0.3126</v>
      </c>
      <c r="BQ8" s="135" t="n">
        <v>0.3135</v>
      </c>
      <c r="BR8" s="137" t="n">
        <v>1395119000</v>
      </c>
      <c r="BS8" s="51" t="inlineStr">
        <is>
          <t>Commercial sales</t>
        </is>
      </c>
      <c r="BT8" s="142" t="n">
        <v>0.1</v>
      </c>
      <c r="BU8" s="60" t="inlineStr">
        <is>
          <t>Main Board</t>
        </is>
      </c>
      <c r="BV8" s="89" t="inlineStr">
        <is>
          <t>H Shares</t>
        </is>
      </c>
      <c r="BW8" s="61" t="n">
        <v>1</v>
      </c>
      <c r="BX8" s="77" t="n">
        <v>0</v>
      </c>
      <c r="BY8" s="77" t="n">
        <v>0</v>
      </c>
      <c r="BZ8" s="78" t="n">
        <v>0</v>
      </c>
      <c r="CA8" s="60" t="inlineStr">
        <is>
          <t>701010</t>
        </is>
      </c>
      <c r="CB8" s="76" t="inlineStr">
        <is>
          <t>HSICS (Hang Seng Industry Classification System) 2026</t>
        </is>
      </c>
      <c r="CC8" s="140" t="n">
        <v>36475</v>
      </c>
      <c r="CD8" s="171" t="n">
        <v>25.95</v>
      </c>
      <c r="CE8" s="76" t="inlineStr">
        <is>
          <t>PRC</t>
        </is>
      </c>
      <c r="CF8" s="89" t="inlineStr">
        <is>
          <t>Shenzhen, Guangdong, PRC</t>
        </is>
      </c>
      <c r="CG8" s="91" t="n"/>
      <c r="CH8" s="60" t="inlineStr">
        <is>
          <t>IFRS</t>
        </is>
      </c>
      <c r="CI8" s="141" t="n">
        <v>44927</v>
      </c>
      <c r="CJ8" s="141" t="n">
        <v>45291</v>
      </c>
      <c r="CK8" s="141" t="n">
        <v>45292</v>
      </c>
      <c r="CL8" s="141" t="n">
        <v>45657</v>
      </c>
      <c r="CM8" s="141" t="n">
        <v>45658</v>
      </c>
      <c r="CN8" s="64" t="n">
        <v>2480648000</v>
      </c>
      <c r="CO8" s="64" t="n">
        <v>170405000</v>
      </c>
      <c r="CP8" s="64" t="n">
        <v>160265000</v>
      </c>
      <c r="CQ8" s="141" t="n">
        <v>45944</v>
      </c>
      <c r="CR8" s="141" t="n">
        <v>45947</v>
      </c>
      <c r="CS8" s="63" t="n">
        <v>135080200</v>
      </c>
      <c r="CT8" s="64" t="n">
        <v>438851000</v>
      </c>
      <c r="CU8" s="64" t="n">
        <v>54018000</v>
      </c>
      <c r="CV8" s="59" t="inlineStr">
        <is>
          <t>Unqualified</t>
        </is>
      </c>
      <c r="CW8" s="64" t="n">
        <v>105400000</v>
      </c>
      <c r="CX8" s="51" t="inlineStr">
        <is>
          <t>Hong Kong Qindao Gantong Co., Limited; Pacific Asset Management Co., Limited; CPIC Investment Management (H.K.) Company Limited; GF Fund Management Co., Ltd.; GF International Investment Management Limited; RUIHUA (INTERNATIONAL) INVESTMENT LIMITED; Genimous Investment (Hong Kong) Co., Limited; Mr. Zhang Xiaolei; Guotai Junan Investments (Hong Kong) Limited; Dream’ee (Hong Kong) Open-ended Fund Company</t>
        </is>
      </c>
      <c r="CY8" s="142" t="n">
        <v>0.4304</v>
      </c>
      <c r="CZ8" s="136" t="n">
        <v>46134</v>
      </c>
      <c r="DA8" s="143" t="n">
        <v>550.99</v>
      </c>
      <c r="DB8" s="63" t="n">
        <v>191156</v>
      </c>
      <c r="DC8" s="63" t="n">
        <v>7442847800</v>
      </c>
      <c r="DD8" s="59" t="inlineStr">
        <is>
          <t>Subscription level 550.99 times</t>
        </is>
      </c>
      <c r="DE8" s="141" t="n">
        <v>45950</v>
      </c>
      <c r="DF8" s="141" t="n">
        <v>45951</v>
      </c>
      <c r="DG8" s="63" t="n">
        <v>135080200</v>
      </c>
      <c r="DH8" s="63" t="n">
        <v>13508200</v>
      </c>
      <c r="DI8" s="63" t="n">
        <v>121572000</v>
      </c>
      <c r="DJ8" s="63" t="n">
        <v>0</v>
      </c>
      <c r="DK8" s="169" t="n">
        <v>0</v>
      </c>
      <c r="DL8" s="59" t="inlineStr">
        <is>
          <t>No claw-back triggered; the final number of Offer Shares under the Hong Kong Public Offering remained 13,508,200, representing 10.00% of the Global Offering</t>
        </is>
      </c>
      <c r="DM8" s="144" t="n">
        <v>2810600000</v>
      </c>
      <c r="DN8" s="142" t="n">
        <v>0.1504</v>
      </c>
      <c r="DO8" s="51" t="n">
        <v>900533742</v>
      </c>
      <c r="DP8" s="142" t="n">
        <v>0.0854</v>
      </c>
      <c r="DQ8" s="59" t="inlineStr">
        <is>
          <t>Total issued shares upon Listing (before exercise of the Over-allotment Option) = 900,533,742 Shares; H Shares held by Cornerstone Investors are subject to a six-month lock-up and are excluded from free float</t>
        </is>
      </c>
      <c r="DR8" s="63" t="n">
        <v>900533742</v>
      </c>
      <c r="DS8" s="142" t="n">
        <v>-0.00754568</v>
      </c>
      <c r="DT8" s="80" t="n">
        <v>18</v>
      </c>
      <c r="DU8" s="142" t="n">
        <v>0.0344024</v>
      </c>
      <c r="DV8" s="144" t="n">
        <v>54167000000</v>
      </c>
      <c r="DW8" s="145" t="n">
        <v>18.98</v>
      </c>
      <c r="DX8" s="169" t="n">
        <v>-0.117209</v>
      </c>
      <c r="DY8" s="172" t="n">
        <v>-340402104</v>
      </c>
      <c r="DZ8" s="146" t="n">
        <v>21.5</v>
      </c>
      <c r="EA8" s="146" t="n">
        <v>21.6</v>
      </c>
      <c r="EB8" s="146" t="n">
        <v>18.89</v>
      </c>
      <c r="EC8" s="63" t="n">
        <v>31770800</v>
      </c>
      <c r="ED8" s="169" t="n">
        <v>0.2352</v>
      </c>
      <c r="EE8" s="64" t="n"/>
      <c r="EF8" s="60" t="inlineStr">
        <is>
          <t>Mechanism B</t>
        </is>
      </c>
      <c r="EG8" s="59" t="inlineStr">
        <is>
          <t>FINI (from 22/11/2023); 2025-08-04 pricing reform (Mechanism A/B; six-month cornerstone lock-up retained); this IPO: Mechanism B</t>
        </is>
      </c>
      <c r="EH8" t="inlineStr">
        <is>
          <t>深圳市广和通无线股份有限公司</t>
        </is>
      </c>
      <c r="EI8" s="174" t="inlineStr">
        <is>
          <t>Active</t>
        </is>
      </c>
      <c r="EJ8" s="175" t="n">
        <v>17.102</v>
      </c>
      <c r="EK8" s="176" t="n">
        <v>-0.08604100000000001</v>
      </c>
      <c r="EL8" s="176" t="n">
        <v>-0.193166</v>
      </c>
      <c r="EM8" s="176" t="n">
        <v>0.001896</v>
      </c>
      <c r="EN8" s="176" t="n">
        <v>-0.053383</v>
      </c>
      <c r="EO8" s="179" t="n">
        <v>0.9122</v>
      </c>
      <c r="EP8" s="179" t="n">
        <v>0.9655</v>
      </c>
      <c r="EQ8" s="178" t="n">
        <v>85160523.5</v>
      </c>
      <c r="ER8" s="175" t="n">
        <v>13.682</v>
      </c>
      <c r="ES8" s="176" t="n">
        <v>-0.268811</v>
      </c>
      <c r="ET8" s="176" t="n">
        <v>-0.354514</v>
      </c>
      <c r="EU8" s="176" t="n">
        <v>0.014796</v>
      </c>
      <c r="EV8" s="176" t="n">
        <v>-0.161934</v>
      </c>
      <c r="EW8" s="179" t="n">
        <v>0.7205</v>
      </c>
      <c r="EX8" s="179" t="n">
        <v>0.8725000000000001</v>
      </c>
      <c r="EY8" s="178" t="n">
        <v>31243209</v>
      </c>
      <c r="EZ8" s="176" t="n">
        <v>0.048388</v>
      </c>
      <c r="FA8" s="176" t="n"/>
      <c r="FB8" s="179" t="n"/>
      <c r="FC8" s="176" t="n"/>
      <c r="FD8" s="179" t="n"/>
      <c r="FE8" s="174" t="inlineStr">
        <is>
          <t>Standard</t>
        </is>
      </c>
      <c r="FF8" s="181" t="n"/>
      <c r="FG8" s="185" t="n"/>
      <c r="FH8" s="183" t="n"/>
      <c r="FI8" s="178" t="n"/>
      <c r="FJ8" s="176" t="n"/>
      <c r="FK8" s="185" t="n"/>
      <c r="FL8" s="178" t="n"/>
      <c r="FM8" s="176" t="n"/>
      <c r="FN8" s="176" t="n"/>
      <c r="FO8" s="176" t="n"/>
      <c r="FP8" s="176" t="n"/>
      <c r="FQ8" s="176" t="n">
        <v>0.004275</v>
      </c>
      <c r="FR8" s="179" t="n">
        <v>0.9828</v>
      </c>
      <c r="FS8" s="176" t="n">
        <v>-0.08604100000000001</v>
      </c>
      <c r="FT8" s="179" t="n">
        <v>0.9122</v>
      </c>
      <c r="FU8" s="176" t="n">
        <v>-0.167272</v>
      </c>
      <c r="FV8" s="179" t="n">
        <v>0.8062</v>
      </c>
      <c r="FW8" s="179" t="n">
        <v>0.8559</v>
      </c>
      <c r="FX8" s="178" t="n">
        <v>74319177.94</v>
      </c>
      <c r="FY8" s="186" t="n">
        <v>0.001015132231404959</v>
      </c>
      <c r="FZ8" s="183" t="n">
        <v>0</v>
      </c>
      <c r="GA8" s="176" t="n">
        <v>0.03782882145873186</v>
      </c>
      <c r="GB8" s="176" t="n">
        <v>0.465967</v>
      </c>
      <c r="GC8" s="185" t="n"/>
      <c r="GD8" s="185" t="n"/>
      <c r="GE8" s="176" t="n"/>
      <c r="GF8" s="176" t="n"/>
      <c r="GG8" s="179" t="n"/>
      <c r="GH8" s="181" t="inlineStr">
        <is>
          <t>CITIC Securities (Hong Kong) Limited</t>
        </is>
      </c>
      <c r="GI8" s="183" t="n">
        <v>1</v>
      </c>
      <c r="GJ8" s="183" t="n">
        <v>0</v>
      </c>
      <c r="GK8" s="176" t="n">
        <v>0.02</v>
      </c>
      <c r="GL8" s="176" t="n"/>
      <c r="GM8" s="176" t="n"/>
      <c r="GN8" s="183" t="n">
        <v>14</v>
      </c>
      <c r="GO8" s="183" t="n">
        <v>1</v>
      </c>
      <c r="GP8" s="183" t="n">
        <v>0</v>
      </c>
      <c r="GQ8" s="183" t="n">
        <v>0</v>
      </c>
      <c r="GR8" s="183" t="n">
        <v>0</v>
      </c>
      <c r="GS8" s="181" t="inlineStr">
        <is>
          <t>POST_FINI</t>
        </is>
      </c>
      <c r="GT8" s="181" t="inlineStr">
        <is>
          <t>POST_2025_REFORM</t>
        </is>
      </c>
    </row>
    <row r="9" ht="119" customFormat="1" customHeight="1" s="12">
      <c r="A9" s="43" t="n">
        <v>79</v>
      </c>
      <c r="B9" s="47" t="inlineStr">
        <is>
          <t>1384.HK</t>
        </is>
      </c>
      <c r="C9" s="44" t="inlineStr">
        <is>
          <t>Deepexi Technology Co., Ltd. - H shares</t>
        </is>
      </c>
      <c r="D9" s="130" t="n">
        <v>45950</v>
      </c>
      <c r="E9" s="48" t="n">
        <v>45958</v>
      </c>
      <c r="F9" s="43" t="inlineStr">
        <is>
          <t>CITIC Securities (Hong Kong) Limited/
CMBC International Capital Limited/
Guotai Junan Capital Limited/
SPDB International Capital Limited/
BOCOM International (Asia) Limited</t>
        </is>
      </c>
      <c r="G9" s="43" t="inlineStr">
        <is>
          <t>Ernst &amp; Young</t>
        </is>
      </c>
      <c r="H9" s="43" t="n"/>
      <c r="I9" s="131" t="n">
        <v>142001824</v>
      </c>
      <c r="J9" s="148" t="n">
        <v>568007296</v>
      </c>
      <c r="K9" s="133" t="n">
        <v>26.66</v>
      </c>
      <c r="L9" t="n">
        <v>326632000</v>
      </c>
      <c r="M9" s="67" t="n">
        <v>26632000</v>
      </c>
      <c r="N9" t="n">
        <v>300000000</v>
      </c>
      <c r="O9" t="n">
        <v>300000000</v>
      </c>
      <c r="P9" t="n">
        <v>0</v>
      </c>
      <c r="Q9" t="n">
        <v>26632000</v>
      </c>
      <c r="R9" s="67" t="n">
        <v>25300400</v>
      </c>
      <c r="S9" s="67" t="n">
        <v>1331600</v>
      </c>
      <c r="T9" s="147" t="n">
        <v>26.66</v>
      </c>
      <c r="U9" s="147" t="n">
        <v>26.66</v>
      </c>
      <c r="V9" s="169" t="n">
        <v>0</v>
      </c>
      <c r="W9" s="169" t="n">
        <v>0</v>
      </c>
      <c r="X9" s="170" t="inlineStr">
        <is>
          <t>Fixed price</t>
        </is>
      </c>
      <c r="Y9" s="26" t="inlineStr">
        <is>
          <t>RMB</t>
        </is>
      </c>
      <c r="Z9" s="137" t="n">
        <v>464976000</v>
      </c>
      <c r="AA9" s="137" t="n">
        <v>424816000</v>
      </c>
      <c r="AB9" s="137" t="n">
        <v>399182000</v>
      </c>
      <c r="AC9" s="137" t="n">
        <v>-2423904000</v>
      </c>
      <c r="AD9" s="137" t="n">
        <v>-3675914000</v>
      </c>
      <c r="AE9" s="137" t="n">
        <v>-3897179000</v>
      </c>
      <c r="AF9" s="137" t="n">
        <v>2888880000</v>
      </c>
      <c r="AG9" s="137" t="n">
        <v>4100730000</v>
      </c>
      <c r="AH9" s="137" t="n">
        <v>4296361000</v>
      </c>
      <c r="AI9" s="137" t="n">
        <v>129040000</v>
      </c>
      <c r="AJ9" s="137" t="n">
        <v>242926000</v>
      </c>
      <c r="AK9" s="137" t="n">
        <v>264206000</v>
      </c>
      <c r="AL9" s="137" t="n">
        <v>-502819000</v>
      </c>
      <c r="AM9" s="137" t="n">
        <v>-1254990000</v>
      </c>
      <c r="AN9" s="137" t="n">
        <v>-616342000</v>
      </c>
      <c r="AO9" s="137" t="n">
        <v>-502895000</v>
      </c>
      <c r="AP9" s="137" t="n">
        <v>-1254990000</v>
      </c>
      <c r="AQ9" s="137" t="n">
        <v>-616442000</v>
      </c>
      <c r="AR9" s="142" t="n">
        <v>0.0375</v>
      </c>
      <c r="AS9" s="142" t="n">
        <v>0.0375</v>
      </c>
      <c r="AT9" s="84" t="n">
        <v>0</v>
      </c>
      <c r="AU9" s="51" t="inlineStr">
        <is>
          <t>Enterprise large model AI application solutions</t>
        </is>
      </c>
      <c r="AV9" s="51" t="inlineStr">
        <is>
          <t>Chapter 18C of the Listing Rules</t>
        </is>
      </c>
      <c r="AW9" s="136" t="n">
        <v>45838</v>
      </c>
      <c r="AX9" s="137" t="n">
        <v>-100919000</v>
      </c>
      <c r="AY9" s="117" t="n">
        <v>183385000</v>
      </c>
      <c r="AZ9" s="117" t="n">
        <v>58244000</v>
      </c>
      <c r="BA9" s="117" t="n">
        <v>0</v>
      </c>
      <c r="BB9" s="138" t="n">
        <v>0.317</v>
      </c>
      <c r="BC9" s="139" t="n">
        <v>0.5</v>
      </c>
      <c r="BD9" s="80" t="n">
        <v>1</v>
      </c>
      <c r="BE9" s="161" t="n">
        <v>1</v>
      </c>
      <c r="BF9" s="161" t="n">
        <v>1</v>
      </c>
      <c r="BG9" s="161" t="n">
        <v>1</v>
      </c>
      <c r="BH9" s="161" t="n">
        <v>1</v>
      </c>
      <c r="BI9" s="161" t="n">
        <v>1</v>
      </c>
      <c r="BJ9" s="162" t="inlineStr">
        <is>
          <t>HH AUT-XV HK Holdings Limited (HH AUT); CHH AUT-XV HK Holdings Limited (CHH AUT); Evolution Holding II Limited (5Y Evolution Holding II); Tianjin Dehui Investment Management Partnership (Limited Partnership) (Tianjin Dehui); Beijing Xingtou Youxuan Entrepreneurship Investment Fund (Limited Partnership) (Youxuan Fund); Jiangsu Xingtou Xinyuan Equity Investment Fund (Limited Partnership) (Xinyuan Fund); Jiangsu Jiequan Green Industry Equity Investment Fund (Limited Partnership) (Jiequan Fund); SPDBI Waltz Limited (SPDBI Waltz); SPDBI Star Limited (SPDBI Star); Zhuhai Gaoling Zhike Equity Investment Partnership (Limited Partnership) (Zhuhai Zhike); Zhuhai Songheng Enterprise Management Partnership (Limited Partnership) (Zhuhai Songheng); Pleasure Focus Limited (Pleasure Focus); Guangzhou Chuzhe Zhixin Equity Investment Partnership (Limited Partnership) (Chuzhe Zhixin); Chuxin Growth Management Fund I Limited (Chuxin Growth); Chuxin Investment Capital I LLC (Chuxin LLC); Chuxin Investment Capital I Limited (Chuxin Limited); Lighthouse International Growth Fund L.P. (Lighthouse); Qingdao Ruidi Private Equity Investment Fund Partnership (Limited Partnership) (Qingdao Ruidi); Tianjin Ruidi Equity Investment Fund Partnership (Limited Partnership) (Tianjin Ruidi); Axilight AA6_LH1 International L.P. (Axilight); Nanjing Zhizhao No. 2 Equity Investment Partnership (Limited Partnership) (Zhizhao No. 2); Shanghai AI Industrial Equity Investment Fund Partnership (Limited Partnership) (Shanghai AI); China Merchants Venture Capital Fund, L.P. (CMVC Fund); Shenzhen China Merchant Innovation Investment Fund Center (Limited Partnership) (CM Innovation Fund); BAI GmbH (BAI); Beijing Ruihui Haina Technology Industrial Fund (Limited Partnership) (Ruihui Haina); Gongqingcheng Hangjian Equity Investment Fund Partnership (Limited Partnership) (Gongqingcheng Hangjian); Angel Prosperity Investment HK II Limited (Angel Prosperity); DDZ HK Investment Holdings Limited (DDZ Holdings); CMBC Financial Investment Capital Management (Beijing) Co., Ltd. (CMBC Financial Investment); BOCOM International Asset Management Limited (BOCOM AM); Qingdao Yinxu Youxuan No. 1 Private Equity Investment Fund Partnership (Limited Partnership) (Yinxu Youxuan No. 1)</t>
        </is>
      </c>
      <c r="BK9" s="163" t="n">
        <v>0.6505</v>
      </c>
      <c r="BL9" s="161" t="n">
        <v>1</v>
      </c>
      <c r="BM9" s="164" t="inlineStr">
        <is>
          <t>Series Angel Financing</t>
        </is>
      </c>
      <c r="BN9" s="165" t="n">
        <v>6.95</v>
      </c>
      <c r="BO9" s="51" t="inlineStr">
        <is>
          <t>自然人</t>
        </is>
      </c>
      <c r="BP9" s="135" t="n">
        <v>0.321</v>
      </c>
      <c r="BQ9" s="135" t="n">
        <v>0.321</v>
      </c>
      <c r="BR9" s="137" t="n">
        <v>4198503000</v>
      </c>
      <c r="BS9" s="51" t="inlineStr">
        <is>
          <t>Large-scale commercialization</t>
        </is>
      </c>
      <c r="BT9" s="142" t="n">
        <v>0</v>
      </c>
      <c r="BU9" s="60" t="inlineStr">
        <is>
          <t>Main Board</t>
        </is>
      </c>
      <c r="BV9" s="89" t="inlineStr">
        <is>
          <t>H Shares</t>
        </is>
      </c>
      <c r="BW9" s="61" t="n">
        <v>0</v>
      </c>
      <c r="BX9" s="77" t="n">
        <v>0</v>
      </c>
      <c r="BY9" s="77" t="n">
        <v>0</v>
      </c>
      <c r="BZ9" s="78" t="n">
        <v>1</v>
      </c>
      <c r="CA9" s="60" t="inlineStr">
        <is>
          <t>702015</t>
        </is>
      </c>
      <c r="CB9" s="76" t="inlineStr">
        <is>
          <t>HSICS (Hang Seng Industry Classification System) 2026</t>
        </is>
      </c>
      <c r="CC9" s="140" t="n">
        <v>43223</v>
      </c>
      <c r="CD9" s="171" t="n">
        <v>7.49</v>
      </c>
      <c r="CE9" s="76" t="inlineStr">
        <is>
          <t>PRC</t>
        </is>
      </c>
      <c r="CF9" s="89" t="inlineStr">
        <is>
          <t>Beijing, PRC</t>
        </is>
      </c>
      <c r="CG9" s="91" t="n">
        <v>1000</v>
      </c>
      <c r="CH9" s="60" t="inlineStr">
        <is>
          <t>HKFRS Accounting Standards</t>
        </is>
      </c>
      <c r="CI9" s="141" t="n">
        <v>44927</v>
      </c>
      <c r="CJ9" s="141" t="n">
        <v>45291</v>
      </c>
      <c r="CK9" s="141" t="n">
        <v>45292</v>
      </c>
      <c r="CL9" s="141" t="n">
        <v>45657</v>
      </c>
      <c r="CM9" s="141" t="n">
        <v>45658</v>
      </c>
      <c r="CN9" s="64" t="n">
        <v>132103000</v>
      </c>
      <c r="CO9" s="64" t="n">
        <v>-308171000</v>
      </c>
      <c r="CP9" s="64" t="n">
        <v>-308221000</v>
      </c>
      <c r="CQ9" s="141" t="n">
        <v>45950</v>
      </c>
      <c r="CR9" s="141" t="n">
        <v>45953</v>
      </c>
      <c r="CS9" s="63" t="n">
        <v>326632000</v>
      </c>
      <c r="CT9" s="64" t="n">
        <v>72706000</v>
      </c>
      <c r="CU9" s="64" t="n">
        <v>300000</v>
      </c>
      <c r="CV9" s="59" t="inlineStr">
        <is>
          <t>Unqualified opinion</t>
        </is>
      </c>
      <c r="CW9" s="64" t="n">
        <v>91500000</v>
      </c>
      <c r="CX9" s="51" t="inlineStr">
        <is>
          <t>NA</t>
        </is>
      </c>
      <c r="CY9" s="142" t="n">
        <v>0</v>
      </c>
      <c r="CZ9" s="136" t="inlineStr">
        <is>
          <t>NA</t>
        </is>
      </c>
      <c r="DA9" s="143" t="n">
        <v>7569.83</v>
      </c>
      <c r="DB9" s="63" t="n">
        <v>236934</v>
      </c>
      <c r="DC9" s="63" t="n">
        <v>10079987200</v>
      </c>
      <c r="DD9" s="59" t="inlineStr">
        <is>
          <t>Subscription level 7,569.83 times</t>
        </is>
      </c>
      <c r="DE9" s="141" t="inlineStr">
        <is>
          <t>NA</t>
        </is>
      </c>
      <c r="DF9" s="141" t="n">
        <v>45957</v>
      </c>
      <c r="DG9" s="63" t="n">
        <v>26632000</v>
      </c>
      <c r="DH9" s="63" t="n">
        <v>5326400</v>
      </c>
      <c r="DI9" s="63" t="n">
        <v>21305600</v>
      </c>
      <c r="DJ9" s="63" t="n">
        <v>0</v>
      </c>
      <c r="DK9" s="169" t="n">
        <v>0</v>
      </c>
      <c r="DL9" s="59" t="inlineStr">
        <is>
          <t>Claw-back triggered: Yes; Final no. of Offer Shares under the Public Offer (after reallocation): 5,326,400</t>
        </is>
      </c>
      <c r="DM9" s="144" t="n">
        <v>609770000</v>
      </c>
      <c r="DN9" s="142" t="n">
        <v>0.679</v>
      </c>
      <c r="DO9" s="51" t="n">
        <v>326632000</v>
      </c>
      <c r="DP9" s="142" t="n">
        <v>0.0815</v>
      </c>
      <c r="DQ9" s="59" t="inlineStr">
        <is>
          <t>Free float denominator = total issued shares upon listing (col_CZ); numerator = offer shares minus cornerstone allocation</t>
        </is>
      </c>
      <c r="DR9" s="63" t="n">
        <v>326632000</v>
      </c>
      <c r="DS9" s="142" t="n">
        <v>-0.06173877</v>
      </c>
      <c r="DT9" s="80" t="n">
        <v>20</v>
      </c>
      <c r="DU9" s="142" t="n">
        <v>0.0353167</v>
      </c>
      <c r="DV9" s="144" t="n">
        <v>54164000000</v>
      </c>
      <c r="DW9" s="145" t="n">
        <v>66.8</v>
      </c>
      <c r="DX9" s="169" t="n">
        <v>1.505626</v>
      </c>
      <c r="DY9" s="172" t="n">
        <v>1069008480</v>
      </c>
      <c r="DZ9" s="146" t="n">
        <v>56.5</v>
      </c>
      <c r="EA9" s="146" t="n">
        <v>68.40000000000001</v>
      </c>
      <c r="EB9" s="146" t="n">
        <v>52.1</v>
      </c>
      <c r="EC9" s="63" t="n">
        <v>11698160</v>
      </c>
      <c r="ED9" s="169" t="n">
        <v>0.439252</v>
      </c>
      <c r="EE9" s="64" t="n"/>
      <c r="EF9" s="60" t="inlineStr">
        <is>
          <t>Mechanism A</t>
        </is>
      </c>
      <c r="EG9" s="59" t="inlineStr">
        <is>
          <t>FINI (from 22/11/2023); 2025-08-04 pricing reform (Mechanism A/B; six-month cornerstone lock-up retained); this IPO: Mechanism A</t>
        </is>
      </c>
      <c r="EH9" t="inlineStr">
        <is>
          <t>滴普科技股份有限公司</t>
        </is>
      </c>
      <c r="EI9" s="174" t="inlineStr">
        <is>
          <t>Active</t>
        </is>
      </c>
      <c r="EJ9" s="175" t="n">
        <v>78.5</v>
      </c>
      <c r="EK9" s="176" t="n">
        <v>0.17515</v>
      </c>
      <c r="EL9" s="176" t="n">
        <v>1.944486</v>
      </c>
      <c r="EM9" s="176" t="n">
        <v>-0.017141</v>
      </c>
      <c r="EN9" s="176" t="n">
        <v>-0.07900500000000001</v>
      </c>
      <c r="EO9" s="179" t="n">
        <v>1.1956</v>
      </c>
      <c r="EP9" s="179" t="n">
        <v>1.276</v>
      </c>
      <c r="EQ9" s="178" t="n">
        <v>152660220</v>
      </c>
      <c r="ER9" s="175" t="n">
        <v>48.64</v>
      </c>
      <c r="ES9" s="176" t="n">
        <v>-0.271856</v>
      </c>
      <c r="ET9" s="176" t="n">
        <v>0.824456</v>
      </c>
      <c r="EU9" s="176" t="n">
        <v>-0.025293</v>
      </c>
      <c r="EV9" s="176" t="n">
        <v>-0.207805</v>
      </c>
      <c r="EW9" s="179" t="n">
        <v>0.747</v>
      </c>
      <c r="EX9" s="179" t="n">
        <v>0.9191</v>
      </c>
      <c r="EY9" s="178" t="n">
        <v>1036204665</v>
      </c>
      <c r="EZ9" s="176" t="n">
        <v>1.691822</v>
      </c>
      <c r="FA9" s="176" t="n"/>
      <c r="FB9" s="179" t="n"/>
      <c r="FC9" s="176" t="n"/>
      <c r="FD9" s="179" t="n"/>
      <c r="FE9" s="174" t="inlineStr">
        <is>
          <t>18C (Specialist Tech)</t>
        </is>
      </c>
      <c r="FF9" s="181" t="n"/>
      <c r="FG9" s="185" t="n"/>
      <c r="FH9" s="183" t="n"/>
      <c r="FI9" s="178" t="n"/>
      <c r="FJ9" s="176" t="n"/>
      <c r="FK9" s="185" t="n"/>
      <c r="FL9" s="178" t="n"/>
      <c r="FM9" s="176" t="n"/>
      <c r="FN9" s="176" t="n"/>
      <c r="FO9" s="176" t="n"/>
      <c r="FP9" s="176" t="n"/>
      <c r="FQ9" s="176" t="n">
        <v>0.556886</v>
      </c>
      <c r="FR9" s="179" t="n">
        <v>1.5805</v>
      </c>
      <c r="FS9" s="176" t="n">
        <v>0.17515</v>
      </c>
      <c r="FT9" s="179" t="n">
        <v>1.1956</v>
      </c>
      <c r="FU9" s="176" t="n">
        <v>0.208832</v>
      </c>
      <c r="FV9" s="179" t="n">
        <v>1.1445</v>
      </c>
      <c r="FW9" s="179" t="n">
        <v>1.2484</v>
      </c>
      <c r="FX9" s="178" t="n">
        <v>71392855.56</v>
      </c>
      <c r="FY9" s="186" t="n">
        <v>0.0005552148760330579</v>
      </c>
      <c r="FZ9" s="183" t="n">
        <v>0</v>
      </c>
      <c r="GA9" s="176" t="n">
        <v>0.1745526771489145</v>
      </c>
      <c r="GB9" s="176" t="n">
        <v>0.774259</v>
      </c>
      <c r="GC9" s="185" t="n"/>
      <c r="GD9" s="185" t="n"/>
      <c r="GE9" s="176" t="n"/>
      <c r="GF9" s="176" t="n"/>
      <c r="GG9" s="179" t="n"/>
      <c r="GH9" s="181" t="inlineStr">
        <is>
          <t>CITIC Securities (Hong Kong) Limited</t>
        </is>
      </c>
      <c r="GI9" s="183" t="n">
        <v>5</v>
      </c>
      <c r="GJ9" s="183" t="n">
        <v>1</v>
      </c>
      <c r="GK9" s="176" t="n">
        <v>0.0375</v>
      </c>
      <c r="GL9" s="176" t="n"/>
      <c r="GM9" s="176" t="n"/>
      <c r="GN9" s="183" t="n">
        <v>0</v>
      </c>
      <c r="GO9" s="183" t="n">
        <v>0</v>
      </c>
      <c r="GP9" s="183" t="n">
        <v>0</v>
      </c>
      <c r="GQ9" s="183" t="n">
        <v>34</v>
      </c>
      <c r="GR9" s="183" t="n">
        <v>1</v>
      </c>
      <c r="GS9" s="181" t="inlineStr">
        <is>
          <t>POST_FINI</t>
        </is>
      </c>
      <c r="GT9" s="181" t="inlineStr">
        <is>
          <t>POST_2025_REFORM</t>
        </is>
      </c>
    </row>
    <row r="10" ht="85" customFormat="1" customHeight="1" s="12">
      <c r="A10" s="43" t="n">
        <v>80</v>
      </c>
      <c r="B10" s="47" t="inlineStr">
        <is>
          <t>6031.HK</t>
        </is>
      </c>
      <c r="C10" s="44" t="inlineStr">
        <is>
          <t>SANY HEAVY INDUSTRY CO., LTD. - H shares</t>
        </is>
      </c>
      <c r="D10" s="130" t="n">
        <v>45950</v>
      </c>
      <c r="E10" s="48" t="n">
        <v>45958</v>
      </c>
      <c r="F10" s="43" t="inlineStr">
        <is>
          <t>CITIC Securities (Hong Kong) Limited</t>
        </is>
      </c>
      <c r="G10" s="43" t="inlineStr">
        <is>
          <t>Ernst &amp; Young</t>
        </is>
      </c>
      <c r="H10" s="43" t="n"/>
      <c r="I10" s="131" t="n">
        <v>1236307380</v>
      </c>
      <c r="J10" s="148" t="n">
        <v>14112779340</v>
      </c>
      <c r="K10" s="133" t="n">
        <v>21.3</v>
      </c>
      <c r="L10" t="n">
        <v>9054814637</v>
      </c>
      <c r="M10" s="67" t="n">
        <v>580424600</v>
      </c>
      <c r="N10" t="n">
        <v>8474390037</v>
      </c>
      <c r="O10" t="n">
        <v>8474390037</v>
      </c>
      <c r="P10" t="n">
        <v>0</v>
      </c>
      <c r="Q10" t="n">
        <v>580424600</v>
      </c>
      <c r="R10" s="67" t="n">
        <v>522382000</v>
      </c>
      <c r="S10" s="67" t="n">
        <v>58042600</v>
      </c>
      <c r="T10" s="147" t="n">
        <v>21.3</v>
      </c>
      <c r="U10" s="147" t="n">
        <v>20.3</v>
      </c>
      <c r="V10" s="169" t="n">
        <v>0.024038</v>
      </c>
      <c r="W10" s="169" t="n">
        <v>0.048077</v>
      </c>
      <c r="X10" s="170" t="inlineStr">
        <is>
          <t>At high</t>
        </is>
      </c>
      <c r="Y10" s="26" t="inlineStr">
        <is>
          <t>RMB</t>
        </is>
      </c>
      <c r="Z10" s="137" t="n">
        <v>151203358000</v>
      </c>
      <c r="AA10" s="137" t="n">
        <v>152145076000</v>
      </c>
      <c r="AB10" s="137" t="n">
        <v>153897737000</v>
      </c>
      <c r="AC10" s="137" t="n">
        <v>69162033000</v>
      </c>
      <c r="AD10" s="137" t="n">
        <v>73001599000</v>
      </c>
      <c r="AE10" s="137" t="n">
        <v>76101875000</v>
      </c>
      <c r="AF10" s="137" t="n">
        <v>82041325000</v>
      </c>
      <c r="AG10" s="137" t="n">
        <v>79143477000</v>
      </c>
      <c r="AH10" s="137" t="n">
        <v>77795862000</v>
      </c>
      <c r="AI10" s="137" t="n">
        <v>74018936000</v>
      </c>
      <c r="AJ10" s="137" t="n">
        <v>78383379000</v>
      </c>
      <c r="AK10" s="137" t="n">
        <v>88278102000</v>
      </c>
      <c r="AL10" s="137" t="n">
        <v>5316554000</v>
      </c>
      <c r="AM10" s="137" t="n">
        <v>6907770000</v>
      </c>
      <c r="AN10" s="137" t="n">
        <v>12143751000</v>
      </c>
      <c r="AO10" s="137" t="n">
        <v>4606110000</v>
      </c>
      <c r="AP10" s="137" t="n">
        <v>6092538000</v>
      </c>
      <c r="AQ10" s="137" t="n">
        <v>10426887000</v>
      </c>
      <c r="AR10" s="142" t="n">
        <v>0.005</v>
      </c>
      <c r="AS10" s="142" t="n">
        <v>0.005</v>
      </c>
      <c r="AT10" s="84" t="n">
        <v>0.15</v>
      </c>
      <c r="AU10" s="51" t="inlineStr">
        <is>
          <t>Construction machinery (R&amp;D, manufacturing, sales and servicing of excavating, concrete, hoisting, piling and road machinery)</t>
        </is>
      </c>
      <c r="AV10" s="51" t="inlineStr">
        <is>
          <t>Main Board</t>
        </is>
      </c>
      <c r="AW10" s="136" t="n">
        <v>45777</v>
      </c>
      <c r="AX10" s="137" t="n">
        <v>6185763000</v>
      </c>
      <c r="AY10" s="117" t="n">
        <v>7839768000</v>
      </c>
      <c r="AZ10" s="117" t="n">
        <v>1421905000</v>
      </c>
      <c r="BA10" s="117" t="n">
        <v>41930000</v>
      </c>
      <c r="BB10" s="138" t="n">
        <v>0.08</v>
      </c>
      <c r="BC10" s="139" t="n">
        <v>0.333333</v>
      </c>
      <c r="BD10" s="80" t="inlineStr">
        <is>
          <t>NaN</t>
        </is>
      </c>
      <c r="BE10" s="161" t="inlineStr">
        <is>
          <t>NaN</t>
        </is>
      </c>
      <c r="BF10" s="161" t="inlineStr">
        <is>
          <t>NaN</t>
        </is>
      </c>
      <c r="BG10" s="161" t="inlineStr">
        <is>
          <t>NaN</t>
        </is>
      </c>
      <c r="BH10" s="161" t="inlineStr">
        <is>
          <t>NaN</t>
        </is>
      </c>
      <c r="BI10" s="161" t="inlineStr">
        <is>
          <t>NaN</t>
        </is>
      </c>
      <c r="BJ10" s="162" t="inlineStr">
        <is>
          <t>NA</t>
        </is>
      </c>
      <c r="BK10" s="163" t="inlineStr">
        <is>
          <t>NaN</t>
        </is>
      </c>
      <c r="BL10" s="161" t="inlineStr">
        <is>
          <t>NaN</t>
        </is>
      </c>
      <c r="BM10" s="164" t="inlineStr">
        <is>
          <t>NA</t>
        </is>
      </c>
      <c r="BN10" s="165" t="inlineStr">
        <is>
          <t>NaN</t>
        </is>
      </c>
      <c r="BO10" s="51" t="inlineStr">
        <is>
          <t>Concert party group controlled by SANY Group and Mr. Liang Wengen (natural persons)</t>
        </is>
      </c>
      <c r="BP10" s="135" t="n">
        <v>0.3157</v>
      </c>
      <c r="BQ10" s="135" t="n">
        <v>0.3157</v>
      </c>
      <c r="BR10" s="137" t="n">
        <v>21355177000</v>
      </c>
      <c r="BS10" s="51" t="inlineStr">
        <is>
          <t>Mass production / large-scale commercialisation</t>
        </is>
      </c>
      <c r="BT10" s="142" t="n">
        <v>0</v>
      </c>
      <c r="BU10" s="60" t="inlineStr">
        <is>
          <t>Main Board</t>
        </is>
      </c>
      <c r="BV10" s="89" t="inlineStr">
        <is>
          <t>H Shares</t>
        </is>
      </c>
      <c r="BW10" s="61" t="n">
        <v>1</v>
      </c>
      <c r="BX10" s="77" t="n">
        <v>0</v>
      </c>
      <c r="BY10" s="77" t="n">
        <v>0</v>
      </c>
      <c r="BZ10" s="78" t="n">
        <v>0</v>
      </c>
      <c r="CA10" s="60" t="inlineStr">
        <is>
          <t>101040</t>
        </is>
      </c>
      <c r="CB10" s="76" t="inlineStr">
        <is>
          <t>HSICS (Hang Seng Industry Classification System) 2026</t>
        </is>
      </c>
      <c r="CC10" s="140" t="inlineStr">
        <is>
          <t>NA</t>
        </is>
      </c>
      <c r="CD10" s="171" t="n"/>
      <c r="CE10" s="76" t="inlineStr">
        <is>
          <t>PRC</t>
        </is>
      </c>
      <c r="CF10" s="89" t="inlineStr">
        <is>
          <t>Beijing, PRC</t>
        </is>
      </c>
      <c r="CG10" s="91" t="n"/>
      <c r="CH10" s="60" t="inlineStr">
        <is>
          <t>IFRS Accounting Standards</t>
        </is>
      </c>
      <c r="CI10" s="141" t="n">
        <v>44927</v>
      </c>
      <c r="CJ10" s="141" t="n">
        <v>45291</v>
      </c>
      <c r="CK10" s="141" t="n">
        <v>45292</v>
      </c>
      <c r="CL10" s="141" t="n">
        <v>45657</v>
      </c>
      <c r="CM10" s="141" t="n">
        <v>45658</v>
      </c>
      <c r="CN10" s="64" t="n">
        <v>29426034000</v>
      </c>
      <c r="CO10" s="64" t="n">
        <v>4047917000</v>
      </c>
      <c r="CP10" s="64" t="n">
        <v>3475629000</v>
      </c>
      <c r="CQ10" s="141" t="n">
        <v>45950</v>
      </c>
      <c r="CR10" s="141" t="n">
        <v>45953</v>
      </c>
      <c r="CS10" s="63" t="n">
        <v>580424600</v>
      </c>
      <c r="CT10" s="64" t="n">
        <v>7984120000</v>
      </c>
      <c r="CU10" s="64" t="n">
        <v>657308000</v>
      </c>
      <c r="CV10" s="59" t="inlineStr">
        <is>
          <t>Unqualified opinion</t>
        </is>
      </c>
      <c r="CW10" s="64" t="n">
        <v>146775000</v>
      </c>
      <c r="CX10" s="51" t="inlineStr">
        <is>
          <t>Temasek; Infore Capital; HHLRA; UBS AM Singapore; LMR; BlackRock; RBC GAM; WT Asset Management; Oaktree; Foresight; Shanghai Gaoyi and CITIC Securities International Capital Management Limited; Perseverance Asset Management; HK Greenwoods; Pinpoint; Shanghai Pinpoint and CICC Financial Trading Limited; Ghisallo; Jane Street; Fenghe; QRT; Weichai Power Hong Kong; Dajia Insurance; Fast; Value Partners</t>
        </is>
      </c>
      <c r="CY10" s="142" t="n">
        <v>0.4391</v>
      </c>
      <c r="CZ10" s="136" t="n">
        <v>46140</v>
      </c>
      <c r="DA10" s="143" t="n">
        <v>52.93</v>
      </c>
      <c r="DB10" s="63" t="n">
        <v>115863</v>
      </c>
      <c r="DC10" s="63" t="n">
        <v>3072267600</v>
      </c>
      <c r="DD10" s="59" t="inlineStr">
        <is>
          <t>Subscription level 52.93 times; Claw-back triggered: N/A</t>
        </is>
      </c>
      <c r="DE10" s="141" t="n">
        <v>45954</v>
      </c>
      <c r="DF10" s="141" t="n">
        <v>45957</v>
      </c>
      <c r="DG10" s="63" t="n">
        <v>631598800</v>
      </c>
      <c r="DH10" s="63" t="n">
        <v>58042600</v>
      </c>
      <c r="DI10" s="63" t="n">
        <v>573556200</v>
      </c>
      <c r="DJ10" s="63" t="n">
        <v>89015600</v>
      </c>
      <c r="DK10" s="169" t="n">
        <v>0.93958</v>
      </c>
      <c r="DL10" s="59" t="inlineStr">
        <is>
          <t>No claw-back triggered; the Offer Size Adjustment Option was partially exercised, with 51,174,200 additional Offer Shares all allocated to the International Offering; the final Public Offer remains 58,042,600 Shares (9.19%) and the final International Offer is 573,556,200 Shares (90.81%).</t>
        </is>
      </c>
      <c r="DM10" s="144" t="n">
        <v>13307300000</v>
      </c>
      <c r="DN10" s="142" t="n">
        <v>0.0694</v>
      </c>
      <c r="DO10" s="51" t="n">
        <v>9105988837</v>
      </c>
      <c r="DP10" s="142" t="n">
        <v>0.0389</v>
      </c>
      <c r="DQ10" s="59" t="inlineStr">
        <is>
          <t>Free float denominator = total issued Shares upon Listing (9,105,988,837); numerator = Offer Shares less the 277,342,200 cornerstone Offer Shares subject to a six-month lock-up.</t>
        </is>
      </c>
      <c r="DR10" s="63" t="n">
        <v>9105988837</v>
      </c>
      <c r="DS10" s="142" t="n">
        <v>-0.06173877</v>
      </c>
      <c r="DT10" s="80" t="n">
        <v>20</v>
      </c>
      <c r="DU10" s="142" t="n">
        <v>0.0353167</v>
      </c>
      <c r="DV10" s="144" t="n">
        <v>54164000000</v>
      </c>
      <c r="DW10" s="145" t="n">
        <v>21.9</v>
      </c>
      <c r="DX10" s="169" t="n">
        <v>0.028169</v>
      </c>
      <c r="DY10" s="172" t="n">
        <v>378959280</v>
      </c>
      <c r="DZ10" s="146" t="n">
        <v>21.3</v>
      </c>
      <c r="EA10" s="146" t="n">
        <v>22.3</v>
      </c>
      <c r="EB10" s="146" t="n">
        <v>21.3</v>
      </c>
      <c r="EC10" s="63" t="n">
        <v>138330321</v>
      </c>
      <c r="ED10" s="169" t="n">
        <v>0.219016</v>
      </c>
      <c r="EE10" s="64" t="n"/>
      <c r="EF10" s="60" t="inlineStr">
        <is>
          <t>Mechanism B</t>
        </is>
      </c>
      <c r="EG10" s="59" t="inlineStr">
        <is>
          <t>FINI (from 22/11/2023); 2025-08-04 pricing reform (Mechanism A/B; six-month cornerstone lock-up retained); this IPO: Mechanism B</t>
        </is>
      </c>
      <c r="EH10" t="inlineStr">
        <is>
          <t>三一重工股份有限公司</t>
        </is>
      </c>
      <c r="EI10" s="174" t="inlineStr">
        <is>
          <t>Active</t>
        </is>
      </c>
      <c r="EJ10" s="175" t="n">
        <v>21.333</v>
      </c>
      <c r="EK10" s="176" t="n">
        <v>-0.016595</v>
      </c>
      <c r="EL10" s="176" t="n">
        <v>0.011106</v>
      </c>
      <c r="EM10" s="176" t="n">
        <v>-0.017141</v>
      </c>
      <c r="EN10" s="176" t="n">
        <v>-0.07900500000000001</v>
      </c>
      <c r="EO10" s="179" t="n">
        <v>1.0006</v>
      </c>
      <c r="EP10" s="179" t="n">
        <v>1.0678</v>
      </c>
      <c r="EQ10" s="178" t="n">
        <v>344052246</v>
      </c>
      <c r="ER10" s="175" t="n">
        <v>21.313</v>
      </c>
      <c r="ES10" s="176" t="n">
        <v>-0.017517</v>
      </c>
      <c r="ET10" s="176" t="n">
        <v>0.010158</v>
      </c>
      <c r="EU10" s="176" t="n">
        <v>-0.025293</v>
      </c>
      <c r="EV10" s="176" t="n">
        <v>-0.207805</v>
      </c>
      <c r="EW10" s="179" t="n">
        <v>1.008</v>
      </c>
      <c r="EX10" s="179" t="n">
        <v>1.2402</v>
      </c>
      <c r="EY10" s="178" t="n">
        <v>67126120</v>
      </c>
      <c r="EZ10" s="176" t="n">
        <v>0.022438</v>
      </c>
      <c r="FA10" s="176" t="n"/>
      <c r="FB10" s="179" t="n"/>
      <c r="FC10" s="176" t="n"/>
      <c r="FD10" s="179" t="n"/>
      <c r="FE10" s="174" t="inlineStr">
        <is>
          <t>Standard</t>
        </is>
      </c>
      <c r="FF10" s="181" t="n"/>
      <c r="FG10" s="185" t="n"/>
      <c r="FH10" s="183" t="n"/>
      <c r="FI10" s="178" t="n"/>
      <c r="FJ10" s="176" t="n"/>
      <c r="FK10" s="185" t="n"/>
      <c r="FL10" s="178" t="n"/>
      <c r="FM10" s="176" t="n"/>
      <c r="FN10" s="176" t="n"/>
      <c r="FO10" s="176" t="n"/>
      <c r="FP10" s="176" t="n"/>
      <c r="FQ10" s="176" t="n">
        <v>0.025815</v>
      </c>
      <c r="FR10" s="179" t="n">
        <v>1.0414</v>
      </c>
      <c r="FS10" s="176" t="n">
        <v>-0.016595</v>
      </c>
      <c r="FT10" s="179" t="n">
        <v>1.0006</v>
      </c>
      <c r="FU10" s="176" t="n">
        <v>0.141059</v>
      </c>
      <c r="FV10" s="179" t="n">
        <v>1.0803</v>
      </c>
      <c r="FW10" s="179" t="n">
        <v>1.1784</v>
      </c>
      <c r="FX10" s="178" t="n">
        <v>156758110.32</v>
      </c>
      <c r="FY10" s="186" t="n">
        <v>0.0003105041322314049</v>
      </c>
      <c r="FZ10" s="183" t="n">
        <v>0</v>
      </c>
      <c r="GA10" s="176" t="n">
        <v>0.02990503450498055</v>
      </c>
      <c r="GB10" s="176" t="n">
        <v>0.254517</v>
      </c>
      <c r="GC10" s="185" t="n"/>
      <c r="GD10" s="185" t="n"/>
      <c r="GE10" s="176" t="n"/>
      <c r="GF10" s="176" t="n"/>
      <c r="GG10" s="179" t="n"/>
      <c r="GH10" s="181" t="inlineStr">
        <is>
          <t>CITIC Securities (Hong Kong) Limited</t>
        </is>
      </c>
      <c r="GI10" s="183" t="n">
        <v>1</v>
      </c>
      <c r="GJ10" s="183" t="n">
        <v>0</v>
      </c>
      <c r="GK10" s="176" t="n">
        <v>0.005</v>
      </c>
      <c r="GL10" s="176" t="n"/>
      <c r="GM10" s="176" t="n"/>
      <c r="GN10" s="183" t="n">
        <v>23</v>
      </c>
      <c r="GO10" s="183" t="n">
        <v>1</v>
      </c>
      <c r="GP10" s="183" t="n">
        <v>0</v>
      </c>
      <c r="GQ10" s="183" t="n">
        <v>0</v>
      </c>
      <c r="GR10" s="183" t="n">
        <v>0</v>
      </c>
      <c r="GS10" s="181" t="inlineStr">
        <is>
          <t>POST_FINI</t>
        </is>
      </c>
      <c r="GT10" s="181" t="inlineStr">
        <is>
          <t>POST_2025_REFORM</t>
        </is>
      </c>
    </row>
    <row r="11" ht="68" customFormat="1" customHeight="1" s="12">
      <c r="A11" s="43" t="n">
        <v>78</v>
      </c>
      <c r="B11" s="47" t="inlineStr">
        <is>
          <t>6166.HK</t>
        </is>
      </c>
      <c r="C11" s="44" t="inlineStr">
        <is>
          <t>CIG SHANGHAI CO., LTD. - H shares</t>
        </is>
      </c>
      <c r="D11" s="130" t="n">
        <v>45950</v>
      </c>
      <c r="E11" s="48" t="n">
        <v>45958</v>
      </c>
      <c r="F11" s="43" t="inlineStr">
        <is>
          <t>Guotai Junan Capital Limited</t>
        </is>
      </c>
      <c r="G11" s="43" t="inlineStr">
        <is>
          <t>Grant Thornton 
Hong Kong Limited</t>
        </is>
      </c>
      <c r="H11" s="43" t="n"/>
      <c r="I11" s="131" t="n">
        <v>461568323.9999999</v>
      </c>
      <c r="J11" s="148" t="n">
        <v>4846462236</v>
      </c>
      <c r="K11" s="133" t="n">
        <v>68.88</v>
      </c>
      <c r="L11" t="n">
        <v>335030341</v>
      </c>
      <c r="M11" s="67" t="n">
        <v>67010500</v>
      </c>
      <c r="N11" t="n">
        <v>268019841</v>
      </c>
      <c r="O11" t="n">
        <v>268019841</v>
      </c>
      <c r="P11" t="n">
        <v>0</v>
      </c>
      <c r="Q11" t="n">
        <v>67010500</v>
      </c>
      <c r="R11" s="67" t="n">
        <v>60309450</v>
      </c>
      <c r="S11" s="67" t="n">
        <v>6701050</v>
      </c>
      <c r="T11" s="147" t="n">
        <v>68.88</v>
      </c>
      <c r="U11" s="147" t="inlineStr">
        <is>
          <t>NaN</t>
        </is>
      </c>
      <c r="V11" s="169" t="n">
        <v>0</v>
      </c>
      <c r="W11" s="169" t="n">
        <v>0</v>
      </c>
      <c r="X11" s="170" t="inlineStr">
        <is>
          <t>Fixed price</t>
        </is>
      </c>
      <c r="Y11" s="26" t="inlineStr">
        <is>
          <t>RMB</t>
        </is>
      </c>
      <c r="Z11" s="137" t="n">
        <v>4735918000</v>
      </c>
      <c r="AA11" s="137" t="n">
        <v>5188814000</v>
      </c>
      <c r="AB11" s="137" t="n">
        <v>6259412000</v>
      </c>
      <c r="AC11" s="137" t="n">
        <v>2287961000</v>
      </c>
      <c r="AD11" s="137" t="n">
        <v>2460989000</v>
      </c>
      <c r="AE11" s="137" t="n">
        <v>2543210000</v>
      </c>
      <c r="AF11" s="137" t="n">
        <v>2447957000</v>
      </c>
      <c r="AG11" s="137" t="n">
        <v>2727825000</v>
      </c>
      <c r="AH11" s="137" t="n">
        <v>3716202000</v>
      </c>
      <c r="AI11" s="137" t="n">
        <v>3085362000</v>
      </c>
      <c r="AJ11" s="137" t="n">
        <v>3649889000</v>
      </c>
      <c r="AK11" s="137" t="n">
        <v>4068046000</v>
      </c>
      <c r="AL11" s="137" t="n">
        <v>93914000</v>
      </c>
      <c r="AM11" s="137" t="n">
        <v>163435000</v>
      </c>
      <c r="AN11" s="137" t="n">
        <v>238192000</v>
      </c>
      <c r="AO11" s="137" t="n">
        <v>94965000</v>
      </c>
      <c r="AP11" s="137" t="n">
        <v>167041000</v>
      </c>
      <c r="AQ11" s="137" t="n">
        <v>235092000</v>
      </c>
      <c r="AR11" s="142" t="n">
        <v>0.01</v>
      </c>
      <c r="AS11" s="142" t="n">
        <v>0.01</v>
      </c>
      <c r="AT11" s="84" t="n">
        <v>0.15</v>
      </c>
      <c r="AU11" s="51" t="inlineStr">
        <is>
          <t>Designing, developing and selling connectivity and data transmission devices; research, development, production and sales of telecommunications, digital communication and enterprise network terminal equipment and high-speed optical module products</t>
        </is>
      </c>
      <c r="AV11" s="51" t="inlineStr">
        <is>
          <t>Chapter 19A of the Main Board Listing Rules - PRC issuer whose A Shares are listed on the Shanghai Stock Exchange, offering H Shares; no Chapter 18A/18C specialist-technology or biotech basis is claimed</t>
        </is>
      </c>
      <c r="AW11" s="136" t="n">
        <v>45838</v>
      </c>
      <c r="AX11" s="137" t="n">
        <v>-189867000</v>
      </c>
      <c r="AY11" s="117" t="n">
        <v>588231000</v>
      </c>
      <c r="AZ11" s="117" t="n">
        <v>160785000</v>
      </c>
      <c r="BA11" s="117" t="n">
        <v>58349000</v>
      </c>
      <c r="BB11" s="138" t="n">
        <v>0.825</v>
      </c>
      <c r="BC11" s="139" t="n">
        <v>0.5</v>
      </c>
      <c r="BD11" s="80" t="n">
        <v>1</v>
      </c>
      <c r="BE11" s="161" t="n">
        <v>1</v>
      </c>
      <c r="BF11" s="161" t="inlineStr">
        <is>
          <t>NaN</t>
        </is>
      </c>
      <c r="BG11" s="161" t="inlineStr">
        <is>
          <t>NaN</t>
        </is>
      </c>
      <c r="BH11" s="161" t="inlineStr">
        <is>
          <t>NaN</t>
        </is>
      </c>
      <c r="BI11" s="161" t="inlineStr">
        <is>
          <t>NaN</t>
        </is>
      </c>
      <c r="BJ11" s="162" t="inlineStr">
        <is>
          <t>Ningbo Anfenghezhong Venture Capital Investment Partnership (Limited Partnership); Jiangsu Gaotou Growth Value Equity Investment Partnership (Limited Partnership); Shanghai Jinmu Investment Management Center (Limited Partnership); Shanghai Jianxin Venture Capital Investment Company Limited; Shanghai Shengyan Investment Partnership (Limited Partnership); Shanghai Zhongying Equity Investment Management Center (Limited Partnership); Shanghai Shengwan Investment Company Limited; Shanghai Shengwanyanrun Investment Partnership (Limited Partnership); Ningbo Anfenglingxian Venture Capital Investment Partnership (Limited Partnership); Yantai Jianxin Blue Economy Venture Capital Company Limited; Shanghai Diankechengding Intelligent Industry Investment Partnership (Limited Partnership); Hangzhou Anfengchenyuan Venture Capital Investment Partnership (Limited Partnership); Nanjing Bangshengjuhong Equity Investment Partnership (Limited Partnership); Jiangsu Talent Innovation and Venture Capital Investment Fund II (Limited Partnership); Shanghai Baodingaiping Investment Partnership (Limited Partnership); Shengye Asset</t>
        </is>
      </c>
      <c r="BK11" s="163" t="inlineStr">
        <is>
          <t>NaN</t>
        </is>
      </c>
      <c r="BL11" s="161" t="inlineStr">
        <is>
          <t>NaN</t>
        </is>
      </c>
      <c r="BM11" s="164" t="inlineStr">
        <is>
          <t>Capital Injection and Conversion into Joint Stock Limited Company in 2012 (introduction of the 2012 Investors)</t>
        </is>
      </c>
      <c r="BN11" s="165" t="n">
        <v>13.69</v>
      </c>
      <c r="BO11" s="51" t="inlineStr">
        <is>
          <t>Natural persons acting in concert (Mr. Gerald G Wong and Mr. Zhao Haibo together with their controlled entities) - no single controlling shareholder; disclosed as the Single Largest Group of Shareholders</t>
        </is>
      </c>
      <c r="BP11" s="135" t="n">
        <v>0.1131</v>
      </c>
      <c r="BQ11" s="135" t="n">
        <v>0.1131</v>
      </c>
      <c r="BR11" s="137" t="n">
        <v>1921823000</v>
      </c>
      <c r="BS11" s="51" t="inlineStr">
        <is>
          <t>Large-scale commercialisation - mass production and volume sales of broadband, wireless and photonics products</t>
        </is>
      </c>
      <c r="BT11" s="142" t="n">
        <v>0</v>
      </c>
      <c r="BU11" s="60" t="inlineStr">
        <is>
          <t>Main Board</t>
        </is>
      </c>
      <c r="BV11" s="89" t="inlineStr">
        <is>
          <t>H Shares</t>
        </is>
      </c>
      <c r="BW11" s="61" t="n">
        <v>1</v>
      </c>
      <c r="BX11" s="77" t="n">
        <v>0</v>
      </c>
      <c r="BY11" s="77" t="n">
        <v>0</v>
      </c>
      <c r="BZ11" s="78" t="n">
        <v>0</v>
      </c>
      <c r="CA11" s="60" t="inlineStr">
        <is>
          <t>701015</t>
        </is>
      </c>
      <c r="CB11" s="76" t="inlineStr">
        <is>
          <t>HSICS (Hang Seng Industry Classification System) 2026</t>
        </is>
      </c>
      <c r="CC11" s="140" t="n">
        <v>38790</v>
      </c>
      <c r="CD11" s="171" t="n">
        <v>19.62</v>
      </c>
      <c r="CE11" s="76" t="inlineStr">
        <is>
          <t>PRC</t>
        </is>
      </c>
      <c r="CF11" s="89" t="inlineStr">
        <is>
          <t>Shanghai, PRC</t>
        </is>
      </c>
      <c r="CG11" s="91" t="n"/>
      <c r="CH11" s="60" t="inlineStr">
        <is>
          <t>IFRS Accounting Standards</t>
        </is>
      </c>
      <c r="CI11" s="141" t="n">
        <v>44927</v>
      </c>
      <c r="CJ11" s="141" t="n">
        <v>45291</v>
      </c>
      <c r="CK11" s="141" t="n">
        <v>45292</v>
      </c>
      <c r="CL11" s="141" t="n">
        <v>45657</v>
      </c>
      <c r="CM11" s="141" t="n">
        <v>45658</v>
      </c>
      <c r="CN11" s="64" t="n">
        <v>2034023000</v>
      </c>
      <c r="CO11" s="64" t="n">
        <v>119096000</v>
      </c>
      <c r="CP11" s="64" t="n">
        <v>117546000</v>
      </c>
      <c r="CQ11" s="141" t="n">
        <v>45950</v>
      </c>
      <c r="CR11" s="141" t="n">
        <v>45953</v>
      </c>
      <c r="CS11" s="63" t="n">
        <v>67010500</v>
      </c>
      <c r="CT11" s="64" t="n">
        <v>444580000</v>
      </c>
      <c r="CU11" s="64" t="n">
        <v>326418000</v>
      </c>
      <c r="CV11" s="59" t="inlineStr">
        <is>
          <t>Unqualified opinion (true and fair view)</t>
        </is>
      </c>
      <c r="CW11" s="64" t="n">
        <v>135700000</v>
      </c>
      <c r="CX11" s="51" t="inlineStr">
        <is>
          <t>Barings; MSIP; HCEP Master Fund and HCEP Long Only Master Fund; Arc Avenue; CloudAlpha Capital; Funds managed by Weiss Asset Management LP; Cithara Fund; 3W Fund; GMF and IRMF; Infini; Alpine; DAMSIMF; Aqua Ocean; Martis Fund, L.P.; Taikang Life; ICBC WM</t>
        </is>
      </c>
      <c r="CY11" s="142" t="n">
        <v>0.4889</v>
      </c>
      <c r="CZ11" s="136" t="n">
        <v>46140</v>
      </c>
      <c r="DA11" s="143" t="n">
        <v>338.7</v>
      </c>
      <c r="DB11" s="63" t="n">
        <v>206461</v>
      </c>
      <c r="DC11" s="63" t="n">
        <v>2269512250</v>
      </c>
      <c r="DD11" s="59" t="inlineStr">
        <is>
          <t>Subscription level 338.7 times</t>
        </is>
      </c>
      <c r="DE11" s="141" t="n">
        <v>45954</v>
      </c>
      <c r="DF11" s="141" t="n">
        <v>45957</v>
      </c>
      <c r="DG11" s="63" t="n">
        <v>67010500</v>
      </c>
      <c r="DH11" s="63" t="n">
        <v>6701050</v>
      </c>
      <c r="DI11" s="63" t="n">
        <v>60309450</v>
      </c>
      <c r="DJ11" s="63" t="n">
        <v>10051500</v>
      </c>
      <c r="DK11" s="169" t="n">
        <v>1</v>
      </c>
      <c r="DL11" s="59" t="inlineStr">
        <is>
          <t>No reallocation: No. of Offer Shares reallocated from the International Offering 0; final Hong Kong Public Offering remained 6,701,050 Offer Shares (10.0% of the Global Offering)</t>
        </is>
      </c>
      <c r="DM11" s="144" t="n">
        <v>4480000000</v>
      </c>
      <c r="DN11" s="142" t="n">
        <v>0.2</v>
      </c>
      <c r="DO11" s="51" t="n">
        <v>335030341</v>
      </c>
      <c r="DP11" s="142" t="n">
        <v>0.1022</v>
      </c>
      <c r="DQ11" s="59" t="inlineStr">
        <is>
          <t>Free float denominator = total issued shares upon listing (excluding treasury Shares): 335,030,341 Shares; the free float excludes the 32,762,750 H Shares (9.78% of total issued share capital) locked up by the Cornerstone Investors for six months</t>
        </is>
      </c>
      <c r="DR11" s="63" t="n">
        <v>335030341</v>
      </c>
      <c r="DS11" s="142" t="n">
        <v>-0.06173877</v>
      </c>
      <c r="DT11" s="80" t="n">
        <v>20</v>
      </c>
      <c r="DU11" s="142" t="n">
        <v>0.0353167</v>
      </c>
      <c r="DV11" s="144" t="n">
        <v>54164000000</v>
      </c>
      <c r="DW11" s="145" t="n">
        <v>92.2</v>
      </c>
      <c r="DX11" s="169" t="n">
        <v>0.33856</v>
      </c>
      <c r="DY11" s="172" t="n">
        <v>1562684860</v>
      </c>
      <c r="DZ11" s="146" t="n">
        <v>94</v>
      </c>
      <c r="EA11" s="146" t="n">
        <v>109</v>
      </c>
      <c r="EB11" s="146" t="n">
        <v>90.2</v>
      </c>
      <c r="EC11" s="63" t="n">
        <v>28849222</v>
      </c>
      <c r="ED11" s="169" t="n">
        <v>0.430518</v>
      </c>
      <c r="EE11" s="64" t="n"/>
      <c r="EF11" s="60" t="inlineStr">
        <is>
          <t>Mechanism B</t>
        </is>
      </c>
      <c r="EG11" s="59" t="inlineStr">
        <is>
          <t>FINI (from 22/11/2023); 2025-08-04 pricing reform (Mechanism A/B; six-month cornerstone lock-up retained); this IPO: Mechanism B</t>
        </is>
      </c>
      <c r="EH11" t="inlineStr">
        <is>
          <t>上海剑桥科技股份有限公司</t>
        </is>
      </c>
      <c r="EI11" s="174" t="inlineStr">
        <is>
          <t>Active</t>
        </is>
      </c>
      <c r="EJ11" s="175" t="n">
        <v>75.73</v>
      </c>
      <c r="EK11" s="176" t="n">
        <v>-0.174875</v>
      </c>
      <c r="EL11" s="176" t="n">
        <v>0.10448</v>
      </c>
      <c r="EM11" s="176" t="n">
        <v>-0.017141</v>
      </c>
      <c r="EN11" s="176" t="n">
        <v>-0.07900500000000001</v>
      </c>
      <c r="EO11" s="179" t="n">
        <v>0.8395</v>
      </c>
      <c r="EP11" s="179" t="n">
        <v>0.8959</v>
      </c>
      <c r="EQ11" s="178" t="n">
        <v>273295500.5</v>
      </c>
      <c r="ER11" s="175" t="n">
        <v>110.78</v>
      </c>
      <c r="ES11" s="176" t="n">
        <v>0.207017</v>
      </c>
      <c r="ET11" s="176" t="n">
        <v>0.615664</v>
      </c>
      <c r="EU11" s="176" t="n">
        <v>-0.025293</v>
      </c>
      <c r="EV11" s="176" t="n">
        <v>-0.207805</v>
      </c>
      <c r="EW11" s="179" t="n">
        <v>1.2383</v>
      </c>
      <c r="EX11" s="179" t="n">
        <v>1.5236</v>
      </c>
      <c r="EY11" s="178" t="n">
        <v>1108835887.5</v>
      </c>
      <c r="EZ11" s="176" t="n">
        <v>0.396995</v>
      </c>
      <c r="FA11" s="176" t="n"/>
      <c r="FB11" s="179" t="n"/>
      <c r="FC11" s="176" t="n"/>
      <c r="FD11" s="179" t="n"/>
      <c r="FE11" s="174" t="inlineStr">
        <is>
          <t>Standard</t>
        </is>
      </c>
      <c r="FF11" s="181" t="n"/>
      <c r="FG11" s="185" t="n"/>
      <c r="FH11" s="183" t="n"/>
      <c r="FI11" s="178" t="n"/>
      <c r="FJ11" s="176" t="n"/>
      <c r="FK11" s="185" t="n"/>
      <c r="FL11" s="178" t="n"/>
      <c r="FM11" s="176" t="n"/>
      <c r="FN11" s="176" t="n"/>
      <c r="FO11" s="176" t="n"/>
      <c r="FP11" s="176" t="n"/>
      <c r="FQ11" s="176" t="n">
        <v>-0.169972</v>
      </c>
      <c r="FR11" s="179" t="n">
        <v>0.8426</v>
      </c>
      <c r="FS11" s="176" t="n">
        <v>-0.174875</v>
      </c>
      <c r="FT11" s="179" t="n">
        <v>0.8395</v>
      </c>
      <c r="FU11" s="176" t="n">
        <v>-0.09588099999999999</v>
      </c>
      <c r="FV11" s="179" t="n">
        <v>0.856</v>
      </c>
      <c r="FW11" s="179" t="n">
        <v>0.9337</v>
      </c>
      <c r="FX11" s="178" t="n">
        <v>227594477.46</v>
      </c>
      <c r="FY11" s="186" t="n">
        <v>0.0002282892561983471</v>
      </c>
      <c r="FZ11" s="183" t="n">
        <v>0</v>
      </c>
      <c r="GA11" s="176" t="n">
        <v>0.07296048985343861</v>
      </c>
      <c r="GB11" s="176" t="n">
        <v>0.41398</v>
      </c>
      <c r="GC11" s="185" t="n"/>
      <c r="GD11" s="185" t="n"/>
      <c r="GE11" s="176" t="n"/>
      <c r="GF11" s="176" t="n"/>
      <c r="GG11" s="179" t="n"/>
      <c r="GH11" s="181" t="inlineStr">
        <is>
          <t>Guotai Junan Capital Limited</t>
        </is>
      </c>
      <c r="GI11" s="183" t="n">
        <v>1</v>
      </c>
      <c r="GJ11" s="183" t="n">
        <v>0</v>
      </c>
      <c r="GK11" s="176" t="n">
        <v>0.01</v>
      </c>
      <c r="GL11" s="176" t="n"/>
      <c r="GM11" s="176" t="n"/>
      <c r="GN11" s="183" t="n">
        <v>17</v>
      </c>
      <c r="GO11" s="183" t="n">
        <v>1</v>
      </c>
      <c r="GP11" s="183" t="n">
        <v>0</v>
      </c>
      <c r="GQ11" s="183" t="n">
        <v>16</v>
      </c>
      <c r="GR11" s="183" t="n">
        <v>1</v>
      </c>
      <c r="GS11" s="181" t="inlineStr">
        <is>
          <t>POST_FINI</t>
        </is>
      </c>
      <c r="GT11" s="181" t="inlineStr">
        <is>
          <t>POST_2025_REFORM</t>
        </is>
      </c>
    </row>
    <row r="12" ht="68" customFormat="1" customHeight="1" s="12">
      <c r="A12" s="43" t="n">
        <v>77</v>
      </c>
      <c r="B12" s="47" t="inlineStr">
        <is>
          <t>6980.HK</t>
        </is>
      </c>
      <c r="C12" s="44" t="inlineStr">
        <is>
          <t>Bama Tea Co., Ltd. - H shares</t>
        </is>
      </c>
      <c r="D12" s="130" t="n">
        <v>45950</v>
      </c>
      <c r="E12" s="48" t="n">
        <v>45958</v>
      </c>
      <c r="F12" s="43" t="inlineStr">
        <is>
          <t>Huatai Financial Holdings (Hong Kong) Limited/
ABCI Capital Limited/
TFI Capital Limited</t>
        </is>
      </c>
      <c r="G12" s="43" t="inlineStr">
        <is>
          <t>KPMG</t>
        </is>
      </c>
      <c r="H12" s="43" t="n"/>
      <c r="I12" s="131" t="n">
        <v>45000000</v>
      </c>
      <c r="J12" s="148" t="n">
        <v>405000000</v>
      </c>
      <c r="K12" s="133" t="n">
        <v>50</v>
      </c>
      <c r="L12" t="n">
        <v>85000000</v>
      </c>
      <c r="M12" s="67" t="n">
        <v>9000000</v>
      </c>
      <c r="N12" t="n">
        <v>76000000</v>
      </c>
      <c r="O12" t="n">
        <v>76000000</v>
      </c>
      <c r="P12" t="n">
        <v>0</v>
      </c>
      <c r="Q12" t="n">
        <v>9000000</v>
      </c>
      <c r="R12" s="67" t="n">
        <v>8100000</v>
      </c>
      <c r="S12" s="67" t="n">
        <v>900000</v>
      </c>
      <c r="T12" s="147" t="n">
        <v>50</v>
      </c>
      <c r="U12" s="147" t="n">
        <v>45</v>
      </c>
      <c r="V12" s="169" t="n">
        <v>0.052632</v>
      </c>
      <c r="W12" s="169" t="n">
        <v>0.105263</v>
      </c>
      <c r="X12" s="170" t="inlineStr">
        <is>
          <t>At high</t>
        </is>
      </c>
      <c r="Y12" s="26" t="inlineStr">
        <is>
          <t>RMB</t>
        </is>
      </c>
      <c r="Z12" s="137" t="n">
        <v>1815011000</v>
      </c>
      <c r="AA12" s="137" t="n">
        <v>1800889000</v>
      </c>
      <c r="AB12" s="137" t="n">
        <v>1854274000</v>
      </c>
      <c r="AC12" s="137" t="n">
        <v>932591000</v>
      </c>
      <c r="AD12" s="137" t="n">
        <v>1127472000</v>
      </c>
      <c r="AE12" s="137" t="n">
        <v>1210821000</v>
      </c>
      <c r="AF12" s="137" t="n">
        <v>882420000</v>
      </c>
      <c r="AG12" s="137" t="n">
        <v>673417000</v>
      </c>
      <c r="AH12" s="137" t="n">
        <v>643453000</v>
      </c>
      <c r="AI12" s="137" t="n">
        <v>2122305000</v>
      </c>
      <c r="AJ12" s="137" t="n">
        <v>2143259000</v>
      </c>
      <c r="AK12" s="137" t="n">
        <v>2126388000</v>
      </c>
      <c r="AL12" s="137" t="n">
        <v>284013000</v>
      </c>
      <c r="AM12" s="137" t="n">
        <v>308364000</v>
      </c>
      <c r="AN12" s="137" t="n">
        <v>326014000</v>
      </c>
      <c r="AO12" s="137" t="n">
        <v>205728000</v>
      </c>
      <c r="AP12" s="137" t="n">
        <v>224201000</v>
      </c>
      <c r="AQ12" s="137" t="n">
        <v>240070000</v>
      </c>
      <c r="AR12" s="142" t="n">
        <v>0.025</v>
      </c>
      <c r="AS12" s="142" t="n">
        <v>0.025</v>
      </c>
      <c r="AT12" s="84" t="n">
        <v>0</v>
      </c>
      <c r="AU12" s="51" t="inlineStr">
        <is>
          <t>Tea leaf products (processing, production and sales of tea leaves and other tea products in the PRC)</t>
        </is>
      </c>
      <c r="AV12" s="51" t="inlineStr">
        <is>
          <t>Main Board of the Stock Exchange</t>
        </is>
      </c>
      <c r="AW12" s="136" t="n">
        <v>45838</v>
      </c>
      <c r="AX12" s="137" t="n">
        <v>181241000</v>
      </c>
      <c r="AY12" s="117" t="n">
        <v>436021000</v>
      </c>
      <c r="AZ12" s="117" t="n">
        <v>6453000</v>
      </c>
      <c r="BA12" s="117" t="n">
        <v>0</v>
      </c>
      <c r="BB12" s="138" t="n">
        <v>0.154</v>
      </c>
      <c r="BC12" s="139" t="n">
        <v>0.5</v>
      </c>
      <c r="BD12" s="80" t="n">
        <v>1</v>
      </c>
      <c r="BE12" s="161" t="n">
        <v>1</v>
      </c>
      <c r="BF12" s="161" t="n">
        <v>1</v>
      </c>
      <c r="BG12" s="161" t="inlineStr">
        <is>
          <t>NaN</t>
        </is>
      </c>
      <c r="BH12" s="161" t="inlineStr">
        <is>
          <t>NaN</t>
        </is>
      </c>
      <c r="BI12" s="161" t="inlineStr">
        <is>
          <t>NaN</t>
        </is>
      </c>
      <c r="BJ12" s="162" t="inlineStr">
        <is>
          <t>Tianjin Changfeng; Jingyuan Yisan; Shanghai Fengwang; Chengdu Xinjin; Quanzhou Huixinfu; Jinjiang Baiyingcheng; Wang Kunheng; Wang Qingnan; Wang Xiaojian; Xie Guoshun; Chen Amin; Fu Chan; Lu Zhilan; Liao Yunjin; Zheng Hongzhi; Pan Liang; Qiu Baohui</t>
        </is>
      </c>
      <c r="BK12" s="163" t="n">
        <v>0.1876</v>
      </c>
      <c r="BL12" s="161" t="inlineStr">
        <is>
          <t>NaN</t>
        </is>
      </c>
      <c r="BM12" s="164" t="inlineStr">
        <is>
          <t>October 9, 2018 share transfer</t>
        </is>
      </c>
      <c r="BN12" s="165" t="n">
        <v>7.03</v>
      </c>
      <c r="BO12" s="51" t="inlineStr">
        <is>
          <t>Natural persons (family members acting in concert)</t>
        </is>
      </c>
      <c r="BP12" s="135" t="n">
        <v>0.4998</v>
      </c>
      <c r="BQ12" s="135" t="n">
        <v>0.4998</v>
      </c>
      <c r="BR12" s="137" t="n">
        <v>176296000</v>
      </c>
      <c r="BS12" s="51" t="inlineStr">
        <is>
          <t>NA</t>
        </is>
      </c>
      <c r="BT12" s="142" t="n">
        <v>0</v>
      </c>
      <c r="BU12" s="60" t="inlineStr">
        <is>
          <t>Main Board</t>
        </is>
      </c>
      <c r="BV12" s="89" t="inlineStr">
        <is>
          <t>H Shares</t>
        </is>
      </c>
      <c r="BW12" s="61" t="n">
        <v>0</v>
      </c>
      <c r="BX12" s="77" t="n">
        <v>0</v>
      </c>
      <c r="BY12" s="77" t="n">
        <v>0</v>
      </c>
      <c r="BZ12" s="78" t="n">
        <v>0</v>
      </c>
      <c r="CA12" s="60" t="inlineStr">
        <is>
          <t>251030</t>
        </is>
      </c>
      <c r="CB12" s="76" t="inlineStr">
        <is>
          <t>HSICS (Hang Seng Industry Classification System) 2026</t>
        </is>
      </c>
      <c r="CC12" s="140" t="n">
        <v>35639</v>
      </c>
      <c r="CD12" s="171" t="n">
        <v>28.25</v>
      </c>
      <c r="CE12" s="76" t="inlineStr">
        <is>
          <t>PRC</t>
        </is>
      </c>
      <c r="CF12" s="89" t="inlineStr">
        <is>
          <t>Shenzhen, Guangdong Province, PRC</t>
        </is>
      </c>
      <c r="CG12" s="91" t="n">
        <v>1000</v>
      </c>
      <c r="CH12" s="60" t="inlineStr">
        <is>
          <t>IFRS Accounting Standards</t>
        </is>
      </c>
      <c r="CI12" s="141" t="n">
        <v>44927</v>
      </c>
      <c r="CJ12" s="141" t="n">
        <v>45291</v>
      </c>
      <c r="CK12" s="141" t="n">
        <v>45292</v>
      </c>
      <c r="CL12" s="141" t="n">
        <v>45657</v>
      </c>
      <c r="CM12" s="141" t="n">
        <v>45658</v>
      </c>
      <c r="CN12" s="64" t="n">
        <v>1063194000</v>
      </c>
      <c r="CO12" s="64" t="n">
        <v>163007000</v>
      </c>
      <c r="CP12" s="64" t="n">
        <v>120035000</v>
      </c>
      <c r="CQ12" s="141" t="n">
        <v>45950</v>
      </c>
      <c r="CR12" s="141" t="n">
        <v>45953</v>
      </c>
      <c r="CS12" s="63" t="n">
        <v>52986875</v>
      </c>
      <c r="CT12" s="64" t="n">
        <v>587624000</v>
      </c>
      <c r="CU12" s="64" t="n">
        <v>26000000</v>
      </c>
      <c r="CV12" s="59" t="inlineStr">
        <is>
          <t>Unqualified opinion</t>
        </is>
      </c>
      <c r="CW12" s="64" t="n">
        <v>59300000</v>
      </c>
      <c r="CX12" s="51" t="inlineStr">
        <is>
          <t>NA</t>
        </is>
      </c>
      <c r="CY12" s="142" t="n">
        <v>0</v>
      </c>
      <c r="CZ12" s="136" t="inlineStr">
        <is>
          <t>NA</t>
        </is>
      </c>
      <c r="DA12" s="143" t="n">
        <v>2680.04</v>
      </c>
      <c r="DB12" s="63" t="n">
        <v>168027</v>
      </c>
      <c r="DC12" s="63" t="n">
        <v>2412039400</v>
      </c>
      <c r="DD12" s="59" t="inlineStr">
        <is>
          <t>Subscription level 2,680.04 times</t>
        </is>
      </c>
      <c r="DE12" s="141" t="n">
        <v>45954</v>
      </c>
      <c r="DF12" s="141" t="n">
        <v>45957</v>
      </c>
      <c r="DG12" s="63" t="n">
        <v>9000000</v>
      </c>
      <c r="DH12" s="63" t="n">
        <v>900000</v>
      </c>
      <c r="DI12" s="63" t="n">
        <v>8100000</v>
      </c>
      <c r="DJ12" s="63" t="n">
        <v>0</v>
      </c>
      <c r="DK12" s="169" t="n">
        <v>0</v>
      </c>
      <c r="DL12" s="59" t="inlineStr">
        <is>
          <t>No reallocation: 0 Offer Shares reallocated from the International Offering to the Hong Kong Public Offering; final Hong Kong Public Offering size unchanged at 900,000 H Shares</t>
        </is>
      </c>
      <c r="DM12" s="144" t="n">
        <v>389890000</v>
      </c>
      <c r="DN12" s="142" t="n">
        <v>0.463</v>
      </c>
      <c r="DO12" s="51" t="n">
        <v>85000000</v>
      </c>
      <c r="DP12" s="142" t="n">
        <v>0.1059</v>
      </c>
      <c r="DQ12" s="59" t="inlineStr">
        <is>
          <t>Free float denominator = issued share capital of the Company upon Listing (85,000,000 Shares), the same base as the public float percentage; free float numerator = Offer Shares not subject to lock-up</t>
        </is>
      </c>
      <c r="DR12" s="63" t="n">
        <v>85000000</v>
      </c>
      <c r="DS12" s="142" t="n">
        <v>-0.06173877</v>
      </c>
      <c r="DT12" s="80" t="n">
        <v>20</v>
      </c>
      <c r="DU12" s="142" t="n">
        <v>0.0353167</v>
      </c>
      <c r="DV12" s="144" t="n">
        <v>54164000000</v>
      </c>
      <c r="DW12" s="145" t="n">
        <v>93.34999999999999</v>
      </c>
      <c r="DX12" s="169" t="n">
        <v>0.867</v>
      </c>
      <c r="DY12" s="172" t="n">
        <v>390150000</v>
      </c>
      <c r="DZ12" s="146" t="n">
        <v>80.09999999999999</v>
      </c>
      <c r="EA12" s="146" t="n">
        <v>97.90000000000001</v>
      </c>
      <c r="EB12" s="146" t="n">
        <v>80</v>
      </c>
      <c r="EC12" s="63" t="n">
        <v>4215100</v>
      </c>
      <c r="ED12" s="169" t="n">
        <v>0.468344</v>
      </c>
      <c r="EE12" s="64" t="n"/>
      <c r="EF12" s="60" t="inlineStr">
        <is>
          <t>Mechanism B</t>
        </is>
      </c>
      <c r="EG12" s="59" t="inlineStr">
        <is>
          <t>FINI (from 22/11/2023); 2025-08-04 pricing reform (Mechanism A/B; six-month cornerstone lock-up retained); this IPO: Mechanism B</t>
        </is>
      </c>
      <c r="EH12" t="inlineStr">
        <is>
          <t>八马茶业股份有限公司</t>
        </is>
      </c>
      <c r="EI12" s="174" t="inlineStr">
        <is>
          <t>Active</t>
        </is>
      </c>
      <c r="EJ12" s="175" t="n">
        <v>54.213</v>
      </c>
      <c r="EK12" s="176" t="n">
        <v>-0.410491</v>
      </c>
      <c r="EL12" s="176" t="n">
        <v>0.100613</v>
      </c>
      <c r="EM12" s="176" t="n">
        <v>-0.017141</v>
      </c>
      <c r="EN12" s="176" t="n">
        <v>-0.07900500000000001</v>
      </c>
      <c r="EO12" s="179" t="n">
        <v>0.5998</v>
      </c>
      <c r="EP12" s="179" t="n">
        <v>0.6401</v>
      </c>
      <c r="EQ12" s="178" t="n">
        <v>47518246</v>
      </c>
      <c r="ER12" s="175" t="n">
        <v>26.053</v>
      </c>
      <c r="ES12" s="176" t="n">
        <v>-0.716701</v>
      </c>
      <c r="ET12" s="176" t="n">
        <v>-0.471081</v>
      </c>
      <c r="EU12" s="176" t="n">
        <v>-0.025293</v>
      </c>
      <c r="EV12" s="176" t="n">
        <v>-0.207805</v>
      </c>
      <c r="EW12" s="179" t="n">
        <v>0.2907</v>
      </c>
      <c r="EX12" s="179" t="n">
        <v>0.3576</v>
      </c>
      <c r="EY12" s="178" t="n">
        <v>2515052.5</v>
      </c>
      <c r="EZ12" s="176" t="n">
        <v>0.007079</v>
      </c>
      <c r="FA12" s="176" t="n"/>
      <c r="FB12" s="179" t="n"/>
      <c r="FC12" s="176" t="n"/>
      <c r="FD12" s="179" t="n"/>
      <c r="FE12" s="174" t="inlineStr">
        <is>
          <t>Standard</t>
        </is>
      </c>
      <c r="FF12" s="181" t="n"/>
      <c r="FG12" s="185" t="n"/>
      <c r="FH12" s="183" t="n"/>
      <c r="FI12" s="178" t="n"/>
      <c r="FJ12" s="176" t="n"/>
      <c r="FK12" s="185" t="n"/>
      <c r="FL12" s="178" t="n"/>
      <c r="FM12" s="176" t="n"/>
      <c r="FN12" s="176" t="n"/>
      <c r="FO12" s="176" t="n"/>
      <c r="FP12" s="176" t="n"/>
      <c r="FQ12" s="176" t="n">
        <v>-0.156041</v>
      </c>
      <c r="FR12" s="179" t="n">
        <v>0.8568</v>
      </c>
      <c r="FS12" s="176" t="n">
        <v>-0.410491</v>
      </c>
      <c r="FT12" s="179" t="n">
        <v>0.5998</v>
      </c>
      <c r="FU12" s="176" t="n">
        <v>-0.692344</v>
      </c>
      <c r="FV12" s="179" t="n">
        <v>0.2913</v>
      </c>
      <c r="FW12" s="179" t="n">
        <v>0.3177</v>
      </c>
      <c r="FX12" s="178" t="n">
        <v>18971494.13</v>
      </c>
      <c r="FY12" s="186" t="n">
        <v>0.0137158347107438</v>
      </c>
      <c r="FZ12" s="183" t="n">
        <v>0</v>
      </c>
      <c r="GA12" s="176" t="n">
        <v>0.09233143917596667</v>
      </c>
      <c r="GB12" s="176" t="n">
        <v>0.8182160000000001</v>
      </c>
      <c r="GC12" s="185" t="n"/>
      <c r="GD12" s="185" t="n"/>
      <c r="GE12" s="176" t="n"/>
      <c r="GF12" s="176" t="n"/>
      <c r="GG12" s="179" t="n"/>
      <c r="GH12" s="181" t="inlineStr">
        <is>
          <t>Huatai Financial Holdings (Hong Kong) Limited</t>
        </is>
      </c>
      <c r="GI12" s="183" t="n">
        <v>3</v>
      </c>
      <c r="GJ12" s="183" t="n">
        <v>1</v>
      </c>
      <c r="GK12" s="176" t="n">
        <v>0.025</v>
      </c>
      <c r="GL12" s="176" t="n"/>
      <c r="GM12" s="176" t="n"/>
      <c r="GN12" s="183" t="n">
        <v>0</v>
      </c>
      <c r="GO12" s="183" t="n">
        <v>0</v>
      </c>
      <c r="GP12" s="183" t="n">
        <v>0</v>
      </c>
      <c r="GQ12" s="183" t="n">
        <v>17</v>
      </c>
      <c r="GR12" s="183" t="n">
        <v>0</v>
      </c>
      <c r="GS12" s="181" t="inlineStr">
        <is>
          <t>POST_FINI</t>
        </is>
      </c>
      <c r="GT12" s="181" t="inlineStr">
        <is>
          <t>POST_2025_REFORM</t>
        </is>
      </c>
    </row>
    <row r="13" ht="51" customFormat="1" customHeight="1" s="12">
      <c r="A13" s="43" t="n">
        <v>81</v>
      </c>
      <c r="B13" s="47" t="inlineStr">
        <is>
          <t>2718.HK</t>
        </is>
      </c>
      <c r="C13" s="44" t="inlineStr">
        <is>
          <t>Mininglamp Technology - W</t>
        </is>
      </c>
      <c r="D13" s="130" t="n">
        <v>45953</v>
      </c>
      <c r="E13" s="48" t="n">
        <v>45964</v>
      </c>
      <c r="F13" s="43" t="inlineStr">
        <is>
          <t>China International Capital Corporation
Hong Kong Securities Limited</t>
        </is>
      </c>
      <c r="G13" s="43" t="inlineStr">
        <is>
          <t>Ernst &amp; Young</t>
        </is>
      </c>
      <c r="H13" s="43" t="n"/>
      <c r="I13" s="131" t="n">
        <v>101790720</v>
      </c>
      <c r="J13" s="148" t="n">
        <v>1068763080</v>
      </c>
      <c r="K13" s="133" t="n">
        <v>141</v>
      </c>
      <c r="L13" t="n">
        <v>144378361</v>
      </c>
      <c r="M13" s="67" t="n">
        <v>7219000</v>
      </c>
      <c r="N13" t="n">
        <v>137159361</v>
      </c>
      <c r="O13" t="n">
        <v>137159361</v>
      </c>
      <c r="P13" t="n">
        <v>0</v>
      </c>
      <c r="Q13" t="n">
        <v>7219000</v>
      </c>
      <c r="R13" s="67" t="n">
        <v>6497080</v>
      </c>
      <c r="S13" s="67" t="n">
        <v>721920</v>
      </c>
      <c r="T13" s="147" t="n">
        <v>141</v>
      </c>
      <c r="U13" s="147" t="n">
        <v>141</v>
      </c>
      <c r="V13" s="169" t="n">
        <v>0</v>
      </c>
      <c r="W13" s="169" t="n">
        <v>0</v>
      </c>
      <c r="X13" s="170" t="inlineStr">
        <is>
          <t>Fixed price</t>
        </is>
      </c>
      <c r="Y13" s="26" t="inlineStr">
        <is>
          <t>RMB</t>
        </is>
      </c>
      <c r="Z13" s="137" t="n">
        <v>2451378000</v>
      </c>
      <c r="AA13" s="137" t="n">
        <v>2381365000</v>
      </c>
      <c r="AB13" s="137" t="n">
        <v>2309726000</v>
      </c>
      <c r="AC13" s="137" t="n">
        <v>-6426455000</v>
      </c>
      <c r="AD13" s="137" t="n">
        <v>-6399964000</v>
      </c>
      <c r="AE13" s="137" t="n">
        <v>-6566365000</v>
      </c>
      <c r="AF13" s="137" t="n">
        <v>8877833000</v>
      </c>
      <c r="AG13" s="137" t="n">
        <v>8781329000</v>
      </c>
      <c r="AH13" s="137" t="n">
        <v>8876091000</v>
      </c>
      <c r="AI13" s="137" t="n">
        <v>1461973000</v>
      </c>
      <c r="AJ13" s="137" t="n">
        <v>1381382000</v>
      </c>
      <c r="AK13" s="137" t="n">
        <v>1287564000</v>
      </c>
      <c r="AL13" s="137" t="n">
        <v>320368000</v>
      </c>
      <c r="AM13" s="137" t="n">
        <v>7870000</v>
      </c>
      <c r="AN13" s="137" t="n">
        <v>-406200000</v>
      </c>
      <c r="AO13" s="137" t="n">
        <v>318412000</v>
      </c>
      <c r="AP13" s="137" t="n">
        <v>7949000</v>
      </c>
      <c r="AQ13" s="137" t="n">
        <v>-407804000</v>
      </c>
      <c r="AR13" s="142" t="n">
        <v>0.03</v>
      </c>
      <c r="AS13" s="142" t="n">
        <v>0.03</v>
      </c>
      <c r="AT13" s="84" t="n">
        <v>0.15</v>
      </c>
      <c r="AU13" s="51" t="inlineStr">
        <is>
          <t>Data intelligence application software (marketing intelligence and operational intelligence products and solutions)</t>
        </is>
      </c>
      <c r="AV13" s="51" t="inlineStr">
        <is>
          <t>Chapter 8A (weighted voting rights structure)</t>
        </is>
      </c>
      <c r="AW13" s="136" t="n">
        <v>45838</v>
      </c>
      <c r="AX13" s="137" t="n">
        <v>-11409000</v>
      </c>
      <c r="AY13" s="117" t="n">
        <v>360552000</v>
      </c>
      <c r="AZ13" s="117" t="n">
        <v>150447000</v>
      </c>
      <c r="BA13" s="117" t="inlineStr">
        <is>
          <t>NaN</t>
        </is>
      </c>
      <c r="BB13" s="138" t="n">
        <v>0.314</v>
      </c>
      <c r="BC13" s="139" t="n">
        <v>0.5</v>
      </c>
      <c r="BD13" s="80" t="n">
        <v>1</v>
      </c>
      <c r="BE13" s="161" t="n">
        <v>1</v>
      </c>
      <c r="BF13" s="161" t="n">
        <v>1</v>
      </c>
      <c r="BG13" s="161" t="n">
        <v>1</v>
      </c>
      <c r="BH13" s="161" t="n">
        <v>1</v>
      </c>
      <c r="BI13" s="161" t="n">
        <v>1</v>
      </c>
      <c r="BJ13" s="162" t="inlineStr">
        <is>
          <t>Image Frame Investment (HK) Limited; Grace Gate Holding Limited; Master Power Holding Limited; Gold Endeavor Bolai Fund (Shenzhen), L.P.; Gold Endeavor Erqi Fund (Shenzhen), L.P.; Ziyang Mingtuo Equity Investment Fund Partnership (Limited Partnership); Gold Endeavor Capital (HK) Limited; Shenzhen Hangjing Jinggong Equity Investment Fund Partnership (Limited Partnership); Shanghai Yulian Investment Center (Limited Partnership); Dahlia Investments Pte. Ltd.; Shanghai Huasheng Lingfei Equity Investment Partnership (Limited Partnership); Gomq (BVI) Limited; PV Ace 1 Limited; Cosmic Blue Investments Limited; Shanghai Ruiji Huachang Enterprise Management Partnership (Limited Partnership); Tibet Changyan Equity Investment Partnership (Limited Partnership); Raymond Amc Holdings Limited; GSR Ventures III, L.P.; Hundreds Capital; Cavendish Square Holdings B.V.; KPCB China Fund II, L.P.</t>
        </is>
      </c>
      <c r="BK13" s="163" t="inlineStr">
        <is>
          <t>NaN</t>
        </is>
      </c>
      <c r="BL13" s="161" t="n">
        <v>1</v>
      </c>
      <c r="BM13" s="164" t="inlineStr">
        <is>
          <t>Series A-2</t>
        </is>
      </c>
      <c r="BN13" s="165" t="n">
        <v>15.27</v>
      </c>
      <c r="BO13" s="51" t="inlineStr">
        <is>
          <t>自然人</t>
        </is>
      </c>
      <c r="BP13" s="135" t="n">
        <v>0.1057</v>
      </c>
      <c r="BQ13" s="135" t="n">
        <v>0.5354</v>
      </c>
      <c r="BR13" s="137" t="n">
        <v>8263606000</v>
      </c>
      <c r="BS13" s="51" t="inlineStr">
        <is>
          <t>规模商业化</t>
        </is>
      </c>
      <c r="BT13" s="142" t="n">
        <v>0</v>
      </c>
      <c r="BU13" s="60" t="inlineStr">
        <is>
          <t>Main Board</t>
        </is>
      </c>
      <c r="BV13" s="89" t="inlineStr">
        <is>
          <t>Class A Shares</t>
        </is>
      </c>
      <c r="BW13" s="61" t="n">
        <v>0</v>
      </c>
      <c r="BX13" s="77" t="n">
        <v>1</v>
      </c>
      <c r="BY13" s="77" t="n">
        <v>0</v>
      </c>
      <c r="BZ13" s="78" t="n">
        <v>0</v>
      </c>
      <c r="CA13" s="60" t="inlineStr">
        <is>
          <t>702030</t>
        </is>
      </c>
      <c r="CB13" s="76" t="inlineStr">
        <is>
          <t>HSICS (Hang Seng Industry Classification System) 2026</t>
        </is>
      </c>
      <c r="CC13" s="140" t="n">
        <v>40210</v>
      </c>
      <c r="CD13" s="171" t="n">
        <v>15.75</v>
      </c>
      <c r="CE13" s="76" t="inlineStr">
        <is>
          <t>NA</t>
        </is>
      </c>
      <c r="CF13" s="89" t="inlineStr">
        <is>
          <t>Ziyang City, Sichuan Province, PRC</t>
        </is>
      </c>
      <c r="CG13" s="91" t="n">
        <v>1000</v>
      </c>
      <c r="CH13" s="60" t="inlineStr">
        <is>
          <t>HKFRS Accounting Standards</t>
        </is>
      </c>
      <c r="CI13" s="141" t="n">
        <v>44927</v>
      </c>
      <c r="CJ13" s="141" t="n">
        <v>45291</v>
      </c>
      <c r="CK13" s="141" t="n">
        <v>45292</v>
      </c>
      <c r="CL13" s="141" t="n">
        <v>45657</v>
      </c>
      <c r="CM13" s="141" t="n">
        <v>45658</v>
      </c>
      <c r="CN13" s="64" t="n">
        <v>643782000</v>
      </c>
      <c r="CO13" s="64" t="n">
        <v>-203100000</v>
      </c>
      <c r="CP13" s="64" t="n">
        <v>-203902000</v>
      </c>
      <c r="CQ13" s="141" t="n">
        <v>45953</v>
      </c>
      <c r="CR13" s="141" t="n">
        <v>45958</v>
      </c>
      <c r="CS13" s="63" t="n">
        <v>144378361</v>
      </c>
      <c r="CT13" s="64" t="n">
        <v>360105000</v>
      </c>
      <c r="CU13" s="64" t="n">
        <v>2835000</v>
      </c>
      <c r="CV13" s="59" t="inlineStr">
        <is>
          <t>Unqualified opinion</t>
        </is>
      </c>
      <c r="CW13" s="64" t="n">
        <v>115700000</v>
      </c>
      <c r="CX13" s="51" t="inlineStr">
        <is>
          <t>Huang River Investment Limited; Ms. Minfang Guo; Treasure-stone Investment Group Limited; Ms. Lina Bao; Hundreds Capital; GFH Financial Group B.S.C.; QuantumPharm Limited</t>
        </is>
      </c>
      <c r="CY13" s="142" t="n">
        <v>0.451</v>
      </c>
      <c r="CZ13" s="136" t="n">
        <v>46145</v>
      </c>
      <c r="DA13" s="143" t="n">
        <v>4452.86</v>
      </c>
      <c r="DB13" s="63" t="n">
        <v>283629</v>
      </c>
      <c r="DC13" s="63" t="n">
        <v>3214610880</v>
      </c>
      <c r="DD13" s="59" t="inlineStr">
        <is>
          <t>Subscription level 4,452.86 times</t>
        </is>
      </c>
      <c r="DE13" s="141" t="inlineStr">
        <is>
          <t>NA</t>
        </is>
      </c>
      <c r="DF13" s="141" t="n">
        <v>45961</v>
      </c>
      <c r="DG13" s="63" t="n">
        <v>7219000</v>
      </c>
      <c r="DH13" s="63" t="n">
        <v>721920</v>
      </c>
      <c r="DI13" s="63" t="n">
        <v>6497080</v>
      </c>
      <c r="DJ13" s="63" t="n">
        <v>1082800</v>
      </c>
      <c r="DK13" s="169" t="n">
        <v>1</v>
      </c>
      <c r="DL13" s="59" t="inlineStr">
        <is>
          <t>Claw-back not triggered (N/A); no Offer Shares reallocated from the International Offering to the Hong Kong Public Offering.</t>
        </is>
      </c>
      <c r="DM13" s="144" t="n">
        <v>902200000</v>
      </c>
      <c r="DN13" s="142" t="n">
        <v>0.6891</v>
      </c>
      <c r="DO13" s="51" t="n">
        <v>144378361</v>
      </c>
      <c r="DP13" s="142" t="n">
        <v>0.0275</v>
      </c>
      <c r="DQ13" s="59" t="inlineStr">
        <is>
          <t>Total issued Shares upon Listing (before exercise of the Over-allotment Option), 144,378,361 Shares, including the Class B Shares carrying weighted voting rights; free float numerator = Offer Shares less cornerstone allocation.</t>
        </is>
      </c>
      <c r="DR13" s="63" t="n">
        <v>144378361</v>
      </c>
      <c r="DS13" s="142" t="n">
        <v>-0.0213471</v>
      </c>
      <c r="DT13" s="80" t="n">
        <v>23</v>
      </c>
      <c r="DU13" s="142" t="n">
        <v>0.0353185</v>
      </c>
      <c r="DV13" s="144" t="n">
        <v>54172000000</v>
      </c>
      <c r="DW13" s="145" t="n">
        <v>290.6</v>
      </c>
      <c r="DX13" s="169" t="n">
        <v>1.060993</v>
      </c>
      <c r="DY13" s="172" t="n">
        <v>1079962400</v>
      </c>
      <c r="DZ13" s="146" t="n">
        <v>280</v>
      </c>
      <c r="EA13" s="146" t="n">
        <v>309.8</v>
      </c>
      <c r="EB13" s="146" t="n">
        <v>272</v>
      </c>
      <c r="EC13" s="63" t="n">
        <v>2156929</v>
      </c>
      <c r="ED13" s="169" t="n">
        <v>0.298785</v>
      </c>
      <c r="EE13" s="64" t="n"/>
      <c r="EF13" s="60" t="inlineStr">
        <is>
          <t>Mechanism B</t>
        </is>
      </c>
      <c r="EG13" s="59" t="inlineStr">
        <is>
          <t>FINI (from 22/11/2023); 2025-08-04 pricing reform (Mechanism A/B; six-month cornerstone lock-up retained); this IPO: Mechanism B</t>
        </is>
      </c>
      <c r="EH13" t="inlineStr">
        <is>
          <t>明略科技</t>
        </is>
      </c>
      <c r="EI13" s="174" t="inlineStr">
        <is>
          <t>Active</t>
        </is>
      </c>
      <c r="EJ13" s="175" t="n">
        <v>201.8</v>
      </c>
      <c r="EK13" s="176" t="n">
        <v>-0.305575</v>
      </c>
      <c r="EL13" s="176" t="n">
        <v>0.431206</v>
      </c>
      <c r="EM13" s="176" t="n">
        <v>-0.011448</v>
      </c>
      <c r="EN13" s="176" t="n">
        <v>-0.0546</v>
      </c>
      <c r="EO13" s="179" t="n">
        <v>0.7025</v>
      </c>
      <c r="EP13" s="179" t="n">
        <v>0.7345</v>
      </c>
      <c r="EQ13" s="178" t="n">
        <v>70077773.5</v>
      </c>
      <c r="ER13" s="175" t="n">
        <v>223.2</v>
      </c>
      <c r="ES13" s="176" t="n">
        <v>-0.231934</v>
      </c>
      <c r="ET13" s="176" t="n">
        <v>0.582979</v>
      </c>
      <c r="EU13" s="176" t="n">
        <v>-0.002388</v>
      </c>
      <c r="EV13" s="176" t="n">
        <v>-0.159693</v>
      </c>
      <c r="EW13" s="179" t="n">
        <v>0.7699</v>
      </c>
      <c r="EX13" s="179" t="n">
        <v>0.914</v>
      </c>
      <c r="EY13" s="178" t="n">
        <v>48326093.5</v>
      </c>
      <c r="EZ13" s="176" t="n">
        <v>0.075901</v>
      </c>
      <c r="FA13" s="176" t="n"/>
      <c r="FB13" s="179" t="n"/>
      <c r="FC13" s="176" t="n"/>
      <c r="FD13" s="179" t="n"/>
      <c r="FE13" s="174" t="inlineStr">
        <is>
          <t>Standard</t>
        </is>
      </c>
      <c r="FF13" s="181" t="n"/>
      <c r="FG13" s="185" t="n"/>
      <c r="FH13" s="183" t="n"/>
      <c r="FI13" s="178" t="n"/>
      <c r="FJ13" s="176" t="n"/>
      <c r="FK13" s="185" t="n"/>
      <c r="FL13" s="178" t="n"/>
      <c r="FM13" s="176" t="n"/>
      <c r="FN13" s="176" t="n"/>
      <c r="FO13" s="176" t="n"/>
      <c r="FP13" s="176" t="n"/>
      <c r="FQ13" s="176" t="n">
        <v>-0.28424</v>
      </c>
      <c r="FR13" s="179" t="n">
        <v>0.7135</v>
      </c>
      <c r="FS13" s="176" t="n">
        <v>-0.305575</v>
      </c>
      <c r="FT13" s="179" t="n">
        <v>0.7025</v>
      </c>
      <c r="FU13" s="176" t="n">
        <v>-0.136958</v>
      </c>
      <c r="FV13" s="179" t="n">
        <v>0.8413</v>
      </c>
      <c r="FW13" s="179" t="n">
        <v>0.9349</v>
      </c>
      <c r="FX13" s="178" t="n">
        <v>60379344.22</v>
      </c>
      <c r="FY13" s="186" t="n">
        <v>0.001104884297520661</v>
      </c>
      <c r="FZ13" s="183" t="n">
        <v>0</v>
      </c>
      <c r="GA13" s="176" t="n">
        <v>0.1095867459295579</v>
      </c>
      <c r="GB13" s="176" t="n">
        <v>0.44093</v>
      </c>
      <c r="GC13" s="185" t="n"/>
      <c r="GD13" s="185" t="n"/>
      <c r="GE13" s="176" t="n"/>
      <c r="GF13" s="176" t="n"/>
      <c r="GG13" s="179" t="n"/>
      <c r="GH13" s="181" t="inlineStr">
        <is>
          <t>China International Capital Corporation Hong Kong Securities Limited</t>
        </is>
      </c>
      <c r="GI13" s="183" t="n">
        <v>1</v>
      </c>
      <c r="GJ13" s="183" t="n">
        <v>0</v>
      </c>
      <c r="GK13" s="176" t="n">
        <v>0.03</v>
      </c>
      <c r="GL13" s="176" t="n"/>
      <c r="GM13" s="176" t="n"/>
      <c r="GN13" s="183" t="n">
        <v>7</v>
      </c>
      <c r="GO13" s="183" t="n">
        <v>1</v>
      </c>
      <c r="GP13" s="183" t="n">
        <v>0</v>
      </c>
      <c r="GQ13" s="183" t="n">
        <v>25</v>
      </c>
      <c r="GR13" s="183" t="n">
        <v>1</v>
      </c>
      <c r="GS13" s="181" t="inlineStr">
        <is>
          <t>POST_FINI</t>
        </is>
      </c>
      <c r="GT13" s="181" t="inlineStr">
        <is>
          <t>POST_2025_REFORM</t>
        </is>
      </c>
    </row>
    <row r="14" ht="68" customFormat="1" customHeight="1" s="12">
      <c r="A14" s="43" t="n">
        <v>83</v>
      </c>
      <c r="B14" s="47" t="inlineStr">
        <is>
          <t>9927.HK</t>
        </is>
      </c>
      <c r="C14" s="44" t="inlineStr">
        <is>
          <t>Seres Group Co., Ltd. - H shares</t>
        </is>
      </c>
      <c r="D14" s="130" t="n">
        <v>45957</v>
      </c>
      <c r="E14" s="48" t="n">
        <v>45966</v>
      </c>
      <c r="F14" s="43" t="inlineStr">
        <is>
          <t>China International Capital Corporation/
China Galaxy International Securities
(Hong Kong) Co., Limited</t>
        </is>
      </c>
      <c r="G14" s="43" t="inlineStr">
        <is>
          <t>Deloitte Touche Tohmatsu</t>
        </is>
      </c>
      <c r="H14" s="43" t="n"/>
      <c r="I14" s="131" t="n">
        <v>1428339850</v>
      </c>
      <c r="J14" s="148" t="n">
        <v>12855058650</v>
      </c>
      <c r="K14" s="133" t="n">
        <v>131.5</v>
      </c>
      <c r="L14" t="n">
        <v>1733566086</v>
      </c>
      <c r="M14" s="67" t="n">
        <v>100200000</v>
      </c>
      <c r="N14" t="n">
        <v>1633366086</v>
      </c>
      <c r="O14" t="n">
        <v>1633366086</v>
      </c>
      <c r="P14" t="n">
        <v>0</v>
      </c>
      <c r="Q14" t="n">
        <v>100200000</v>
      </c>
      <c r="R14" s="67" t="n">
        <v>90180000</v>
      </c>
      <c r="S14" s="67" t="n">
        <v>10020000</v>
      </c>
      <c r="T14" s="147" t="n">
        <v>131.5</v>
      </c>
      <c r="U14" s="147" t="inlineStr">
        <is>
          <t>NaN</t>
        </is>
      </c>
      <c r="V14" s="169" t="n">
        <v>0</v>
      </c>
      <c r="W14" s="169" t="n">
        <v>0</v>
      </c>
      <c r="X14" s="170" t="inlineStr">
        <is>
          <t>Fixed price</t>
        </is>
      </c>
      <c r="Y14" s="26" t="inlineStr">
        <is>
          <t>RMB</t>
        </is>
      </c>
      <c r="Z14" s="137" t="n">
        <v>51244671000</v>
      </c>
      <c r="AA14" s="137" t="n">
        <v>94363958000</v>
      </c>
      <c r="AB14" s="137" t="n">
        <v>112911810000</v>
      </c>
      <c r="AC14" s="137" t="n">
        <v>7199947000</v>
      </c>
      <c r="AD14" s="137" t="n">
        <v>11905557000</v>
      </c>
      <c r="AE14" s="137" t="n">
        <v>27009734000</v>
      </c>
      <c r="AF14" s="137" t="n">
        <v>44044724000</v>
      </c>
      <c r="AG14" s="137" t="n">
        <v>82458401000</v>
      </c>
      <c r="AH14" s="137" t="n">
        <v>85902076000</v>
      </c>
      <c r="AI14" s="137" t="n">
        <v>35788885000</v>
      </c>
      <c r="AJ14" s="137" t="n">
        <v>145113623000</v>
      </c>
      <c r="AK14" s="137" t="n">
        <v>124717650000</v>
      </c>
      <c r="AL14" s="137" t="n">
        <v>-4080859000</v>
      </c>
      <c r="AM14" s="137" t="n">
        <v>4951347000</v>
      </c>
      <c r="AN14" s="137" t="n">
        <v>7449582000</v>
      </c>
      <c r="AO14" s="137" t="n">
        <v>-4156716000</v>
      </c>
      <c r="AP14" s="137" t="n">
        <v>4740116000</v>
      </c>
      <c r="AQ14" s="137" t="n">
        <v>6154726000</v>
      </c>
      <c r="AR14" s="142" t="n">
        <v>0.008999999999999999</v>
      </c>
      <c r="AS14" s="142" t="n">
        <v>0.008999999999999999</v>
      </c>
      <c r="AT14" s="84" t="n">
        <v>0.15</v>
      </c>
      <c r="AU14" s="51" t="inlineStr">
        <is>
          <t>New energy vehicles (NEVs) — research and development, manufacturing, sales and services of new energy vehicles as well as core NEV components</t>
        </is>
      </c>
      <c r="AV14" s="51" t="inlineStr">
        <is>
          <t>Main Board, Rule 8.05(3) market capitalisation/revenue test (A+H issuer)</t>
        </is>
      </c>
      <c r="AW14" s="136" t="n">
        <v>45838</v>
      </c>
      <c r="AX14" s="137" t="n">
        <v>14034486000</v>
      </c>
      <c r="AY14" s="117" t="n">
        <v>21664886000</v>
      </c>
      <c r="AZ14" s="117" t="n">
        <v>2929532000</v>
      </c>
      <c r="BA14" s="117" t="n">
        <v>2260956000</v>
      </c>
      <c r="BB14" s="138" t="n">
        <v>0.119</v>
      </c>
      <c r="BC14" s="139" t="n">
        <v>0.5</v>
      </c>
      <c r="BD14" s="80" t="inlineStr">
        <is>
          <t>NaN</t>
        </is>
      </c>
      <c r="BE14" s="161" t="inlineStr">
        <is>
          <t>NaN</t>
        </is>
      </c>
      <c r="BF14" s="161" t="inlineStr">
        <is>
          <t>NaN</t>
        </is>
      </c>
      <c r="BG14" s="161" t="inlineStr">
        <is>
          <t>NaN</t>
        </is>
      </c>
      <c r="BH14" s="161" t="inlineStr">
        <is>
          <t>NaN</t>
        </is>
      </c>
      <c r="BI14" s="161" t="inlineStr">
        <is>
          <t>NaN</t>
        </is>
      </c>
      <c r="BJ14" s="162" t="inlineStr">
        <is>
          <t>NA</t>
        </is>
      </c>
      <c r="BK14" s="163" t="inlineStr">
        <is>
          <t>NaN</t>
        </is>
      </c>
      <c r="BL14" s="161" t="inlineStr">
        <is>
          <t>NaN</t>
        </is>
      </c>
      <c r="BM14" s="164" t="inlineStr">
        <is>
          <t>NA</t>
        </is>
      </c>
      <c r="BN14" s="165" t="inlineStr">
        <is>
          <t>NaN</t>
        </is>
      </c>
      <c r="BO14" s="51" t="inlineStr">
        <is>
          <t>Natural person (Mr. Zhang Xinghai, de facto controller; single largest group with Sokon Holding and Yu’an Industry)</t>
        </is>
      </c>
      <c r="BP14" s="135" t="n">
        <v>0.2692</v>
      </c>
      <c r="BQ14" s="135" t="n">
        <v>0.2692</v>
      </c>
      <c r="BR14" s="137" t="n">
        <v>6439868000</v>
      </c>
      <c r="BS14" s="51" t="inlineStr">
        <is>
          <t>Mass commercialisation (mass production and delivery of AITO series NEVs)</t>
        </is>
      </c>
      <c r="BT14" s="142" t="n">
        <v>0</v>
      </c>
      <c r="BU14" s="60" t="inlineStr">
        <is>
          <t>Main Board</t>
        </is>
      </c>
      <c r="BV14" s="89" t="inlineStr">
        <is>
          <t>H Shares</t>
        </is>
      </c>
      <c r="BW14" s="61" t="n">
        <v>1</v>
      </c>
      <c r="BX14" s="77" t="n">
        <v>0</v>
      </c>
      <c r="BY14" s="77" t="n">
        <v>0</v>
      </c>
      <c r="BZ14" s="78" t="n">
        <v>0</v>
      </c>
      <c r="CA14" s="60" t="inlineStr">
        <is>
          <t>231010</t>
        </is>
      </c>
      <c r="CB14" s="76" t="inlineStr">
        <is>
          <t>HSICS (Hang Seng Industry Classification System) 2026</t>
        </is>
      </c>
      <c r="CC14" s="140" t="n">
        <v>39213</v>
      </c>
      <c r="CD14" s="171" t="n">
        <v>18.49</v>
      </c>
      <c r="CE14" s="76" t="inlineStr">
        <is>
          <t>PRC</t>
        </is>
      </c>
      <c r="CF14" s="89" t="inlineStr">
        <is>
          <t>Chongqing, PRC</t>
        </is>
      </c>
      <c r="CG14" s="91" t="n"/>
      <c r="CH14" s="60" t="inlineStr">
        <is>
          <t>IFRS Accounting Standards</t>
        </is>
      </c>
      <c r="CI14" s="141" t="n">
        <v>44927</v>
      </c>
      <c r="CJ14" s="141" t="n">
        <v>45291</v>
      </c>
      <c r="CK14" s="141" t="n">
        <v>45292</v>
      </c>
      <c r="CL14" s="141" t="n">
        <v>45657</v>
      </c>
      <c r="CM14" s="141" t="n">
        <v>45658</v>
      </c>
      <c r="CN14" s="64" t="n">
        <v>62358825000</v>
      </c>
      <c r="CO14" s="64" t="n">
        <v>3724791000</v>
      </c>
      <c r="CP14" s="64" t="n">
        <v>3077363000</v>
      </c>
      <c r="CQ14" s="141" t="n">
        <v>45957</v>
      </c>
      <c r="CR14" s="141" t="n">
        <v>45961</v>
      </c>
      <c r="CS14" s="63" t="n">
        <v>100200000</v>
      </c>
      <c r="CT14" s="64" t="n">
        <v>16530758000</v>
      </c>
      <c r="CU14" s="64" t="n">
        <v>3164700000</v>
      </c>
      <c r="CV14" s="59" t="inlineStr">
        <is>
          <t>Unqualified opinion</t>
        </is>
      </c>
      <c r="CW14" s="64" t="n">
        <v>251400000</v>
      </c>
      <c r="CX14" s="51" t="inlineStr">
        <is>
          <t>Chongqing Industrial Investment Parent Fund Enterprise Partnership (L.P.) (重慶產業投資母基金合夥企業(有限合夥)); Shenzhen Lin Yuan Investment Management Co., Ltd. and Huatai Capital Investment Limited; GF Fund Management Co., Ltd.; GF International Investment Management Limited; New China Asset Management (Hong Kong) Limited; BESS Broadway Limited; Sanhua (Hong Kong) Co Limited; Zhongsheng Holdings Company Limited; Zhink International Pte. Ltd.; Gold Wings Holdings Limited; Honour Goal Investments Limited; Hichain Logistics (Hong Kong) Limited; Schroder Investment Management (Singapore) Ltd and Schroder Investment Management (Hong Kong) Limited; Mirae Asset Securities Co., Ltd.; New Alternative Limited; PSBC Wealth Management Co., Ltd.; Skyler International Co., Ltd; Xingyu Automotive Lighting (Hong Kong) Company Limited; China MeiDong Auto Holdings Limited; Ghisallo Fund Master Ltd.; Jump Trading Pacific Pte. Ltd.; Jain Global Master Fund Ltd; China Alpha Fund Management (HK) Limited</t>
        </is>
      </c>
      <c r="CY14" s="142" t="n">
        <v>0.4495</v>
      </c>
      <c r="CZ14" s="136" t="n">
        <v>46147</v>
      </c>
      <c r="DA14" s="143" t="n">
        <v>132.68</v>
      </c>
      <c r="DB14" s="63" t="n">
        <v>202321</v>
      </c>
      <c r="DC14" s="63" t="n">
        <v>1329454700</v>
      </c>
      <c r="DD14" s="59" t="inlineStr">
        <is>
          <t>Subscription level 132.68 times</t>
        </is>
      </c>
      <c r="DE14" s="141" t="n">
        <v>45964</v>
      </c>
      <c r="DF14" s="141" t="n">
        <v>45965</v>
      </c>
      <c r="DG14" s="63" t="n">
        <v>108619000</v>
      </c>
      <c r="DH14" s="63" t="n">
        <v>10861900</v>
      </c>
      <c r="DI14" s="63" t="n">
        <v>97757100</v>
      </c>
      <c r="DJ14" s="63" t="n">
        <v>0</v>
      </c>
      <c r="DK14" s="169" t="n">
        <v>0</v>
      </c>
      <c r="DL14" s="59" t="inlineStr">
        <is>
          <t>No claw-back triggered; additional Offer Shares under the Offer Size Adjustment Option allocated 10.0%:90.0% between the Hong Kong Public Offering and the International Offering, with no reallocation of such additional Offer Shares</t>
        </is>
      </c>
      <c r="DM14" s="144" t="n">
        <v>14016410000</v>
      </c>
      <c r="DN14" s="142" t="n">
        <v>0.0624</v>
      </c>
      <c r="DO14" s="51" t="n">
        <v>1741985086</v>
      </c>
      <c r="DP14" s="142" t="n">
        <v>0.0343</v>
      </c>
      <c r="DQ14" s="59" t="inlineStr">
        <is>
          <t>Free float denominator = total issued shares upon listing (col_CZ); numerator = offer shares minus cornerstone allocation</t>
        </is>
      </c>
      <c r="DR14" s="63" t="n">
        <v>1741985086</v>
      </c>
      <c r="DS14" s="142" t="n">
        <v>-0.01351879</v>
      </c>
      <c r="DT14" s="80" t="n">
        <v>22</v>
      </c>
      <c r="DU14" s="142" t="n">
        <v>0.0347292</v>
      </c>
      <c r="DV14" s="144" t="n">
        <v>54172000000</v>
      </c>
      <c r="DW14" s="145" t="n">
        <v>131.5</v>
      </c>
      <c r="DX14" s="169" t="n">
        <v>0</v>
      </c>
      <c r="DY14" s="172" t="n">
        <v>0</v>
      </c>
      <c r="DZ14" s="146" t="n">
        <v>128.9</v>
      </c>
      <c r="EA14" s="146" t="n">
        <v>131.5</v>
      </c>
      <c r="EB14" s="146" t="n">
        <v>118</v>
      </c>
      <c r="EC14" s="63" t="n">
        <v>18589510</v>
      </c>
      <c r="ED14" s="169" t="n">
        <v>0.171144</v>
      </c>
      <c r="EE14" s="64" t="n"/>
      <c r="EF14" s="60" t="inlineStr">
        <is>
          <t>Mechanism B</t>
        </is>
      </c>
      <c r="EG14" s="59" t="inlineStr">
        <is>
          <t>FINI (from 22/11/2023); 2025-08-04 pricing reform (Mechanism A/B; six-month cornerstone lock-up retained); this IPO: Mechanism B</t>
        </is>
      </c>
      <c r="EH14" t="inlineStr">
        <is>
          <t>赛力斯集团股份有限公司</t>
        </is>
      </c>
      <c r="EI14" s="174" t="inlineStr">
        <is>
          <t>Active</t>
        </is>
      </c>
      <c r="EJ14" s="175" t="n">
        <v>116.287</v>
      </c>
      <c r="EK14" s="176" t="n">
        <v>-0.109506</v>
      </c>
      <c r="EL14" s="176" t="n">
        <v>-0.109506</v>
      </c>
      <c r="EM14" s="176" t="n">
        <v>0.006155</v>
      </c>
      <c r="EN14" s="176" t="n">
        <v>-0.027967</v>
      </c>
      <c r="EO14" s="179" t="n">
        <v>0.885</v>
      </c>
      <c r="EP14" s="179" t="n">
        <v>0.9161</v>
      </c>
      <c r="EQ14" s="178" t="n">
        <v>341987368.5</v>
      </c>
      <c r="ER14" s="175" t="n">
        <v>69.187</v>
      </c>
      <c r="ES14" s="176" t="n">
        <v>-0.470185</v>
      </c>
      <c r="ET14" s="176" t="n">
        <v>-0.470185</v>
      </c>
      <c r="EU14" s="176" t="n">
        <v>-0.001419</v>
      </c>
      <c r="EV14" s="176" t="n">
        <v>-0.147977</v>
      </c>
      <c r="EW14" s="179" t="n">
        <v>0.5306</v>
      </c>
      <c r="EX14" s="179" t="n">
        <v>0.6218</v>
      </c>
      <c r="EY14" s="178" t="n">
        <v>68588093.5</v>
      </c>
      <c r="EZ14" s="176" t="n">
        <v>0.028833</v>
      </c>
      <c r="FA14" s="176" t="n"/>
      <c r="FB14" s="179" t="n"/>
      <c r="FC14" s="176" t="n"/>
      <c r="FD14" s="179" t="n"/>
      <c r="FE14" s="174" t="inlineStr">
        <is>
          <t>Standard</t>
        </is>
      </c>
      <c r="FF14" s="181" t="n"/>
      <c r="FG14" s="185" t="n"/>
      <c r="FH14" s="183" t="n"/>
      <c r="FI14" s="178" t="n"/>
      <c r="FJ14" s="176" t="n"/>
      <c r="FK14" s="185" t="n"/>
      <c r="FL14" s="178" t="n"/>
      <c r="FM14" s="176" t="n"/>
      <c r="FN14" s="176" t="n"/>
      <c r="FO14" s="176" t="n"/>
      <c r="FP14" s="176" t="n"/>
      <c r="FQ14" s="176" t="n">
        <v>-0.164641</v>
      </c>
      <c r="FR14" s="179" t="n">
        <v>0.8115</v>
      </c>
      <c r="FS14" s="176" t="n">
        <v>-0.109506</v>
      </c>
      <c r="FT14" s="179" t="n">
        <v>0.885</v>
      </c>
      <c r="FU14" s="176" t="n">
        <v>-0.263809</v>
      </c>
      <c r="FV14" s="179" t="n">
        <v>0.7102000000000001</v>
      </c>
      <c r="FW14" s="179" t="n">
        <v>0.7879</v>
      </c>
      <c r="FX14" s="178" t="n">
        <v>182242012.19</v>
      </c>
      <c r="FY14" s="186" t="n">
        <v>0.0002164916666666667</v>
      </c>
      <c r="FZ14" s="183" t="n">
        <v>0</v>
      </c>
      <c r="GA14" s="176" t="n">
        <v>0.02652349400509622</v>
      </c>
      <c r="GB14" s="176" t="n">
        <v>0.470185</v>
      </c>
      <c r="GC14" s="185" t="n"/>
      <c r="GD14" s="185" t="n"/>
      <c r="GE14" s="176" t="n"/>
      <c r="GF14" s="176" t="n"/>
      <c r="GG14" s="179" t="n"/>
      <c r="GH14" s="181" t="inlineStr">
        <is>
          <t>China International Capital Corporation</t>
        </is>
      </c>
      <c r="GI14" s="183" t="n">
        <v>2</v>
      </c>
      <c r="GJ14" s="183" t="n">
        <v>0</v>
      </c>
      <c r="GK14" s="176" t="n">
        <v>0.009000000000000001</v>
      </c>
      <c r="GL14" s="176" t="n"/>
      <c r="GM14" s="176" t="n"/>
      <c r="GN14" s="183" t="n">
        <v>28</v>
      </c>
      <c r="GO14" s="183" t="n">
        <v>1</v>
      </c>
      <c r="GP14" s="183" t="n">
        <v>0</v>
      </c>
      <c r="GQ14" s="183" t="n">
        <v>0</v>
      </c>
      <c r="GR14" s="183" t="n">
        <v>0</v>
      </c>
      <c r="GS14" s="181" t="inlineStr">
        <is>
          <t>POST_FINI</t>
        </is>
      </c>
      <c r="GT14" s="181" t="inlineStr">
        <is>
          <t>POST_2025_REFORM</t>
        </is>
      </c>
    </row>
    <row r="15" ht="34" customFormat="1" customHeight="1" s="12">
      <c r="A15" s="43" t="n">
        <v>84</v>
      </c>
      <c r="B15" s="47" t="inlineStr">
        <is>
          <t>0699.HK</t>
        </is>
      </c>
      <c r="C15" s="44" t="inlineStr">
        <is>
          <t>NINGBO JOYSON ELECTRONIC CORP.-  H shares</t>
        </is>
      </c>
      <c r="D15" s="130" t="n">
        <v>45958</v>
      </c>
      <c r="E15" s="48" t="n">
        <v>45967</v>
      </c>
      <c r="F15" s="43" t="inlineStr">
        <is>
          <t>China International Capital Corporation
Hong Kong Securities Limited/
UBS Securities Hong Kong Limited</t>
        </is>
      </c>
      <c r="G15" s="43" t="inlineStr">
        <is>
          <t>KPMG</t>
        </is>
      </c>
      <c r="H15" s="43" t="n"/>
      <c r="I15" s="131" t="n">
        <v>341220000</v>
      </c>
      <c r="J15" s="148" t="n">
        <v>3070980000</v>
      </c>
      <c r="K15" s="133" t="n">
        <v>22</v>
      </c>
      <c r="L15" t="n">
        <v>1550770563</v>
      </c>
      <c r="M15" s="67" t="n">
        <v>155100000</v>
      </c>
      <c r="N15" t="n">
        <v>1395670563</v>
      </c>
      <c r="O15" t="n">
        <v>1395670563</v>
      </c>
      <c r="P15" t="n">
        <v>0</v>
      </c>
      <c r="Q15" t="n">
        <v>155100000</v>
      </c>
      <c r="R15" s="67" t="n">
        <v>139590000</v>
      </c>
      <c r="S15" s="67" t="n">
        <v>15510000</v>
      </c>
      <c r="T15" s="147" t="n">
        <v>23.6</v>
      </c>
      <c r="U15" s="147" t="inlineStr">
        <is>
          <t>NaN</t>
        </is>
      </c>
      <c r="V15" s="169" t="n">
        <v>0</v>
      </c>
      <c r="W15" s="169" t="n">
        <v>0</v>
      </c>
      <c r="X15" s="170" t="inlineStr">
        <is>
          <t>Fixed price</t>
        </is>
      </c>
      <c r="Y15" s="26" t="inlineStr">
        <is>
          <t>RMB</t>
        </is>
      </c>
      <c r="Z15" s="137" t="n">
        <v>56886848000</v>
      </c>
      <c r="AA15" s="137" t="n">
        <v>64165868000</v>
      </c>
      <c r="AB15" s="137" t="n">
        <v>67033109000</v>
      </c>
      <c r="AC15" s="137" t="n">
        <v>19126372000</v>
      </c>
      <c r="AD15" s="137" t="n">
        <v>19845543000</v>
      </c>
      <c r="AE15" s="137" t="n">
        <v>20230867000</v>
      </c>
      <c r="AF15" s="137" t="n">
        <v>37760476000</v>
      </c>
      <c r="AG15" s="137" t="n">
        <v>44320325000</v>
      </c>
      <c r="AH15" s="137" t="n">
        <v>46802242000</v>
      </c>
      <c r="AI15" s="137" t="n">
        <v>55728476000</v>
      </c>
      <c r="AJ15" s="137" t="n">
        <v>55863577000</v>
      </c>
      <c r="AK15" s="137" t="n">
        <v>59121861000</v>
      </c>
      <c r="AL15" s="137" t="n">
        <v>1762281000</v>
      </c>
      <c r="AM15" s="137" t="n">
        <v>1995749000</v>
      </c>
      <c r="AN15" s="137" t="n">
        <v>2086701000</v>
      </c>
      <c r="AO15" s="137" t="n">
        <v>1240092000</v>
      </c>
      <c r="AP15" s="137" t="n">
        <v>1326282000</v>
      </c>
      <c r="AQ15" s="137" t="n">
        <v>1471584000</v>
      </c>
      <c r="AR15" s="142" t="n">
        <v>0.022</v>
      </c>
      <c r="AS15" s="142" t="n">
        <v>0.022</v>
      </c>
      <c r="AT15" s="84" t="n">
        <v>0.15</v>
      </c>
      <c r="AU15" s="51" t="inlineStr">
        <is>
          <t>Automotive parts and components - intelligent automotive technology solutions (automotive electronics and automotive safety)</t>
        </is>
      </c>
      <c r="AV15" s="51" t="inlineStr">
        <is>
          <t>Main Board - Chapter 19A (PRC issuer; H Shares listed on the Stock Exchange alongside A Shares listed on the Shanghai Stock Exchange)</t>
        </is>
      </c>
      <c r="AW15" s="136" t="n">
        <v>45777</v>
      </c>
      <c r="AX15" s="137" t="n">
        <v>693850000</v>
      </c>
      <c r="AY15" s="117" t="n">
        <v>5347044000</v>
      </c>
      <c r="AZ15" s="117" t="n">
        <v>1107696000</v>
      </c>
      <c r="BA15" s="117" t="n">
        <v>466191000</v>
      </c>
      <c r="BB15" s="138" t="n">
        <v>0.472</v>
      </c>
      <c r="BC15" s="139" t="n">
        <v>0.333333</v>
      </c>
      <c r="BD15" s="80" t="inlineStr">
        <is>
          <t>NaN</t>
        </is>
      </c>
      <c r="BE15" s="161" t="inlineStr">
        <is>
          <t>NaN</t>
        </is>
      </c>
      <c r="BF15" s="161" t="inlineStr">
        <is>
          <t>NaN</t>
        </is>
      </c>
      <c r="BG15" s="161" t="inlineStr">
        <is>
          <t>NaN</t>
        </is>
      </c>
      <c r="BH15" s="161" t="inlineStr">
        <is>
          <t>NaN</t>
        </is>
      </c>
      <c r="BI15" s="161" t="inlineStr">
        <is>
          <t>NaN</t>
        </is>
      </c>
      <c r="BJ15" s="162" t="inlineStr">
        <is>
          <t>NA</t>
        </is>
      </c>
      <c r="BK15" s="163" t="inlineStr">
        <is>
          <t>NaN</t>
        </is>
      </c>
      <c r="BL15" s="161" t="inlineStr">
        <is>
          <t>NaN</t>
        </is>
      </c>
      <c r="BM15" s="164" t="inlineStr">
        <is>
          <t>NA</t>
        </is>
      </c>
      <c r="BN15" s="165" t="inlineStr">
        <is>
          <t>NaN</t>
        </is>
      </c>
      <c r="BO15" s="51" t="inlineStr">
        <is>
          <t>自然人 / Natural person (Mr. WANG Jianfeng)</t>
        </is>
      </c>
      <c r="BP15" s="135" t="n">
        <v>0.3586</v>
      </c>
      <c r="BQ15" s="135" t="n">
        <v>0.3586</v>
      </c>
      <c r="BR15" s="137" t="n">
        <v>26581451000</v>
      </c>
      <c r="BS15" s="51" t="inlineStr">
        <is>
          <t>规模商业化 / Mass production - commercialized at scale</t>
        </is>
      </c>
      <c r="BT15" s="142" t="n">
        <v>0</v>
      </c>
      <c r="BU15" s="60" t="inlineStr">
        <is>
          <t>Main Board</t>
        </is>
      </c>
      <c r="BV15" s="89" t="inlineStr">
        <is>
          <t>H Shares</t>
        </is>
      </c>
      <c r="BW15" s="61" t="n">
        <v>1</v>
      </c>
      <c r="BX15" s="77" t="n">
        <v>0</v>
      </c>
      <c r="BY15" s="77" t="n">
        <v>0</v>
      </c>
      <c r="BZ15" s="78" t="n">
        <v>0</v>
      </c>
      <c r="CA15" s="60" t="inlineStr">
        <is>
          <t>231020</t>
        </is>
      </c>
      <c r="CB15" s="76" t="inlineStr">
        <is>
          <t>HSICS (Hang Seng Industry Classification System) 2026</t>
        </is>
      </c>
      <c r="CC15" s="140" t="n">
        <v>33823</v>
      </c>
      <c r="CD15" s="171" t="n">
        <v>33.25</v>
      </c>
      <c r="CE15" s="76" t="inlineStr">
        <is>
          <t>PRC</t>
        </is>
      </c>
      <c r="CF15" s="89" t="inlineStr">
        <is>
          <t>Ningbo, Zhejiang Province, PRC</t>
        </is>
      </c>
      <c r="CG15" s="91" t="n"/>
      <c r="CH15" s="60" t="inlineStr">
        <is>
          <t>IFRS Accounting Standards</t>
        </is>
      </c>
      <c r="CI15" s="141" t="n">
        <v>44927</v>
      </c>
      <c r="CJ15" s="141" t="n">
        <v>45291</v>
      </c>
      <c r="CK15" s="141" t="n">
        <v>45292</v>
      </c>
      <c r="CL15" s="141" t="n">
        <v>45657</v>
      </c>
      <c r="CM15" s="141" t="n">
        <v>45658</v>
      </c>
      <c r="CN15" s="64" t="n">
        <v>19707287000</v>
      </c>
      <c r="CO15" s="64" t="n">
        <v>695567000</v>
      </c>
      <c r="CP15" s="64" t="n">
        <v>490528000</v>
      </c>
      <c r="CQ15" s="141" t="n">
        <v>45958</v>
      </c>
      <c r="CR15" s="141" t="n">
        <v>45964</v>
      </c>
      <c r="CS15" s="63" t="n">
        <v>155100000</v>
      </c>
      <c r="CT15" s="64" t="n">
        <v>3513685000</v>
      </c>
      <c r="CU15" s="64" t="n">
        <v>612055000</v>
      </c>
      <c r="CV15" s="59" t="inlineStr">
        <is>
          <t>无保留意见 / Unqualified opinion</t>
        </is>
      </c>
      <c r="CW15" s="64" t="n">
        <v>201830000</v>
      </c>
      <c r="CX15" s="51" t="inlineStr">
        <is>
          <t>Jun Sheng SP (a segregated portfolio of JSC International Investment Fund SPC); Ningbo Xinzhi Industrial Investment Co., Ltd.; Jump Trading Pacific Pte. Ltd.; Eastern Bell Capital VIII Investment Limited; PSBC Wealth Management Co., Ltd.; Vandi Investments Limited; Fidelidade - Companhia de Seguros, S.A.</t>
        </is>
      </c>
      <c r="CY15" s="142" t="n">
        <v>0.2438</v>
      </c>
      <c r="CZ15" s="136" t="n">
        <v>46148</v>
      </c>
      <c r="DA15" s="143" t="n">
        <v>147.67</v>
      </c>
      <c r="DB15" s="63" t="n">
        <v>94653</v>
      </c>
      <c r="DC15" s="63" t="n">
        <v>2290403500</v>
      </c>
      <c r="DD15" s="59" t="inlineStr">
        <is>
          <t>Subscription level 147.67 times</t>
        </is>
      </c>
      <c r="DE15" s="141" t="n">
        <v>45965</v>
      </c>
      <c r="DF15" s="141" t="n">
        <v>45966</v>
      </c>
      <c r="DG15" s="63" t="n">
        <v>155100000</v>
      </c>
      <c r="DH15" s="63" t="n">
        <v>15510000</v>
      </c>
      <c r="DI15" s="63" t="n">
        <v>139590000</v>
      </c>
      <c r="DJ15" s="63" t="n">
        <v>0</v>
      </c>
      <c r="DK15" s="169" t="n">
        <v>0</v>
      </c>
      <c r="DL15" s="59" t="inlineStr">
        <is>
          <t>Claw-back triggered: N/A; final no. of Offer Shares under the Hong Kong Public Offering 15,510,000, unchanged from the 15,510,000 initially available</t>
        </is>
      </c>
      <c r="DM15" s="144" t="n">
        <v>3252500000</v>
      </c>
      <c r="DN15" s="142" t="n">
        <v>0.1008</v>
      </c>
      <c r="DO15" s="51" t="n">
        <v>1550770563</v>
      </c>
      <c r="DP15" s="142" t="n">
        <v>0.0756</v>
      </c>
      <c r="DQ15" s="59" t="inlineStr">
        <is>
          <t>Free float denominator = total issued shares upon listing (col_CZ); numerator = offer shares minus cornerstone allocation</t>
        </is>
      </c>
      <c r="DR15" s="63" t="n">
        <v>1550770563</v>
      </c>
      <c r="DS15" s="142" t="n">
        <v>-0.00192492</v>
      </c>
      <c r="DT15" s="80" t="n">
        <v>22</v>
      </c>
      <c r="DU15" s="142" t="n">
        <v>0.035</v>
      </c>
      <c r="DV15" s="144" t="n">
        <v>54172000000</v>
      </c>
      <c r="DW15" s="145" t="n">
        <v>20.24</v>
      </c>
      <c r="DX15" s="169" t="n">
        <v>-0.08</v>
      </c>
      <c r="DY15" s="172" t="n">
        <v>-272976000</v>
      </c>
      <c r="DZ15" s="146" t="n">
        <v>21.5</v>
      </c>
      <c r="EA15" s="146" t="n">
        <v>21.5</v>
      </c>
      <c r="EB15" s="146" t="n">
        <v>19.85</v>
      </c>
      <c r="EC15" s="63" t="n">
        <v>34771600</v>
      </c>
      <c r="ED15" s="169" t="n">
        <v>0.224188</v>
      </c>
      <c r="EE15" s="64" t="n"/>
      <c r="EF15" s="60" t="inlineStr">
        <is>
          <t>Mechanism B</t>
        </is>
      </c>
      <c r="EG15" s="59" t="inlineStr">
        <is>
          <t>FINI (from 22/11/2023); 2025-08-04 pricing reform (Mechanism A/B; six-month cornerstone lock-up retained); this IPO: Mechanism B</t>
        </is>
      </c>
      <c r="EH15" t="inlineStr">
        <is>
          <t>宁波均胜电子股份有限公司</t>
        </is>
      </c>
      <c r="EI15" s="174" t="inlineStr">
        <is>
          <t>Active</t>
        </is>
      </c>
      <c r="EJ15" s="175" t="n">
        <v>17.594</v>
      </c>
      <c r="EK15" s="176" t="n">
        <v>-0.121793</v>
      </c>
      <c r="EL15" s="176" t="n">
        <v>-0.19205</v>
      </c>
      <c r="EM15" s="176" t="n">
        <v>-0.027379</v>
      </c>
      <c r="EN15" s="176" t="n">
        <v>-0.068857</v>
      </c>
      <c r="EO15" s="179" t="n">
        <v>0.9029</v>
      </c>
      <c r="EP15" s="179" t="n">
        <v>0.9431</v>
      </c>
      <c r="EQ15" s="178" t="n">
        <v>129258155.5</v>
      </c>
      <c r="ER15" s="175" t="n">
        <v>17.364</v>
      </c>
      <c r="ES15" s="176" t="n">
        <v>-0.133273</v>
      </c>
      <c r="ET15" s="176" t="n">
        <v>-0.202612</v>
      </c>
      <c r="EU15" s="176" t="n">
        <v>-0.010274</v>
      </c>
      <c r="EV15" s="176" t="n">
        <v>-0.164028</v>
      </c>
      <c r="EW15" s="179" t="n">
        <v>0.8757</v>
      </c>
      <c r="EX15" s="179" t="n">
        <v>1.0368</v>
      </c>
      <c r="EY15" s="178" t="n">
        <v>82212805.5</v>
      </c>
      <c r="EZ15" s="176" t="n">
        <v>0.114679</v>
      </c>
      <c r="FA15" s="176" t="n"/>
      <c r="FB15" s="179" t="n"/>
      <c r="FC15" s="176" t="n"/>
      <c r="FD15" s="179" t="n"/>
      <c r="FE15" s="174" t="inlineStr">
        <is>
          <t>Standard</t>
        </is>
      </c>
      <c r="FF15" s="181" t="n"/>
      <c r="FG15" s="185" t="n"/>
      <c r="FH15" s="183" t="n"/>
      <c r="FI15" s="178" t="n"/>
      <c r="FJ15" s="176" t="n"/>
      <c r="FK15" s="185" t="n"/>
      <c r="FL15" s="178" t="n"/>
      <c r="FM15" s="176" t="n"/>
      <c r="FN15" s="176" t="n"/>
      <c r="FO15" s="176" t="n"/>
      <c r="FP15" s="176" t="n"/>
      <c r="FQ15" s="176" t="n">
        <v>-0.139762</v>
      </c>
      <c r="FR15" s="179" t="n">
        <v>0.8463000000000001</v>
      </c>
      <c r="FS15" s="176" t="n">
        <v>-0.121793</v>
      </c>
      <c r="FT15" s="179" t="n">
        <v>0.9029</v>
      </c>
      <c r="FU15" s="176" t="n">
        <v>-0.163223</v>
      </c>
      <c r="FV15" s="179" t="n">
        <v>0.8344</v>
      </c>
      <c r="FW15" s="179" t="n">
        <v>0.9304</v>
      </c>
      <c r="FX15" s="178" t="n">
        <v>84680394.22</v>
      </c>
      <c r="FY15" s="186" t="n">
        <v>0.0005360083333333334</v>
      </c>
      <c r="FZ15" s="183" t="n">
        <v>0</v>
      </c>
      <c r="GA15" s="176" t="n">
        <v>0.03179343407815084</v>
      </c>
      <c r="GB15" s="176" t="n">
        <v>0.340002</v>
      </c>
      <c r="GC15" s="185" t="n"/>
      <c r="GD15" s="185" t="n"/>
      <c r="GE15" s="176" t="n"/>
      <c r="GF15" s="176" t="n"/>
      <c r="GG15" s="179" t="n"/>
      <c r="GH15" s="181" t="inlineStr">
        <is>
          <t>China International Capital Corporation Hong Kong Securities Limited</t>
        </is>
      </c>
      <c r="GI15" s="183" t="n">
        <v>2</v>
      </c>
      <c r="GJ15" s="183" t="n">
        <v>0</v>
      </c>
      <c r="GK15" s="176" t="n">
        <v>0.022</v>
      </c>
      <c r="GL15" s="176" t="n"/>
      <c r="GM15" s="176" t="n"/>
      <c r="GN15" s="183" t="n">
        <v>10</v>
      </c>
      <c r="GO15" s="183" t="n">
        <v>1</v>
      </c>
      <c r="GP15" s="183" t="n">
        <v>0</v>
      </c>
      <c r="GQ15" s="183" t="n">
        <v>0</v>
      </c>
      <c r="GR15" s="183" t="n">
        <v>0</v>
      </c>
      <c r="GS15" s="181" t="inlineStr">
        <is>
          <t>POST_FINI</t>
        </is>
      </c>
      <c r="GT15" s="181" t="inlineStr">
        <is>
          <t>POST_2025_REFORM</t>
        </is>
      </c>
    </row>
    <row r="16" ht="51" customFormat="1" customHeight="1" s="12">
      <c r="A16" s="43" t="n">
        <v>87</v>
      </c>
      <c r="B16" s="47" t="inlineStr">
        <is>
          <t>0800.HK</t>
        </is>
      </c>
      <c r="C16" s="44" t="inlineStr">
        <is>
          <t>WeRide Inc. - W</t>
        </is>
      </c>
      <c r="D16" s="130" t="n">
        <v>45958</v>
      </c>
      <c r="E16" s="48" t="n">
        <v>45967</v>
      </c>
      <c r="F16" s="43" t="inlineStr">
        <is>
          <t>China International Capital Corporation/
Morgan Stanley Asia Limited</t>
        </is>
      </c>
      <c r="G16" s="43" t="inlineStr">
        <is>
          <t>KPMG</t>
        </is>
      </c>
      <c r="H16" s="43" t="n"/>
      <c r="I16" s="131" t="n">
        <v>478315000</v>
      </c>
      <c r="J16" s="148" t="n">
        <v>1913260000</v>
      </c>
      <c r="K16" s="133" t="n">
        <v>27.1</v>
      </c>
      <c r="L16" t="n">
        <v>1026616330</v>
      </c>
      <c r="M16" s="67" t="n">
        <v>88250000</v>
      </c>
      <c r="N16" t="n">
        <v>938366330</v>
      </c>
      <c r="O16" t="n">
        <v>938366330</v>
      </c>
      <c r="P16" t="n">
        <v>0</v>
      </c>
      <c r="Q16" t="n">
        <v>88250000</v>
      </c>
      <c r="R16" s="67" t="n">
        <v>83837500</v>
      </c>
      <c r="S16" s="67" t="n">
        <v>4412500</v>
      </c>
      <c r="T16" s="147" t="n">
        <v>35</v>
      </c>
      <c r="U16" s="147" t="inlineStr">
        <is>
          <t>NaN</t>
        </is>
      </c>
      <c r="V16" s="169" t="n">
        <v>0</v>
      </c>
      <c r="W16" s="169" t="n">
        <v>0</v>
      </c>
      <c r="X16" s="170" t="inlineStr">
        <is>
          <t>Fixed price</t>
        </is>
      </c>
      <c r="Y16" s="26" t="inlineStr">
        <is>
          <t>RMB</t>
        </is>
      </c>
      <c r="Z16" s="137" t="n">
        <v>5614258000</v>
      </c>
      <c r="AA16" s="137" t="n">
        <v>7693770000</v>
      </c>
      <c r="AB16" s="137" t="n">
        <v>7145853000</v>
      </c>
      <c r="AC16" s="137" t="n">
        <v>-3051918000</v>
      </c>
      <c r="AD16" s="137" t="n">
        <v>7066019000</v>
      </c>
      <c r="AE16" s="137" t="n">
        <v>6463756000</v>
      </c>
      <c r="AF16" s="137" t="n">
        <v>8666176000</v>
      </c>
      <c r="AG16" s="137" t="n">
        <v>627751000</v>
      </c>
      <c r="AH16" s="137" t="n">
        <v>682097000</v>
      </c>
      <c r="AI16" s="137" t="n">
        <v>401844000</v>
      </c>
      <c r="AJ16" s="137" t="n">
        <v>361134000</v>
      </c>
      <c r="AK16" s="137" t="n">
        <v>399230000</v>
      </c>
      <c r="AL16" s="137" t="n">
        <v>-1946235000</v>
      </c>
      <c r="AM16" s="137" t="n">
        <v>-2510940000</v>
      </c>
      <c r="AN16" s="137" t="n">
        <v>-1579280000</v>
      </c>
      <c r="AO16" s="137" t="n">
        <v>-1949101000</v>
      </c>
      <c r="AP16" s="137" t="n">
        <v>-2516808000</v>
      </c>
      <c r="AQ16" s="137" t="n">
        <v>-1583034000</v>
      </c>
      <c r="AR16" s="142" t="n">
        <v>0.02</v>
      </c>
      <c r="AS16" s="142" t="n">
        <v>0.02</v>
      </c>
      <c r="AT16" s="84" t="n">
        <v>0.15</v>
      </c>
      <c r="AU16" s="51" t="inlineStr">
        <is>
          <t>Autonomous driving (L4 autonomous driving products and solutions)</t>
        </is>
      </c>
      <c r="AV16" s="51" t="inlineStr">
        <is>
          <t>Dual primary listing of Class A Ordinary Shares on the Stock Exchange as a Specialist Technology Company with WVR structure under Chapters 8A and 18C of the Listing Rules</t>
        </is>
      </c>
      <c r="AW16" s="136" t="n">
        <v>45838</v>
      </c>
      <c r="AX16" s="137" t="n">
        <v>-663396000</v>
      </c>
      <c r="AY16" s="117" t="n">
        <v>3836137000</v>
      </c>
      <c r="AZ16" s="117" t="n">
        <v>644635000</v>
      </c>
      <c r="BA16" s="117" t="n">
        <v>0</v>
      </c>
      <c r="BB16" s="138" t="n">
        <v>0.484</v>
      </c>
      <c r="BC16" s="139" t="n">
        <v>0.5</v>
      </c>
      <c r="BD16" s="80" t="n">
        <v>1</v>
      </c>
      <c r="BE16" s="161" t="n">
        <v>1</v>
      </c>
      <c r="BF16" s="161" t="inlineStr">
        <is>
          <t>NaN</t>
        </is>
      </c>
      <c r="BG16" s="161" t="n">
        <v>1</v>
      </c>
      <c r="BH16" s="161" t="n">
        <v>1</v>
      </c>
      <c r="BI16" s="161" t="inlineStr">
        <is>
          <t>NaN</t>
        </is>
      </c>
      <c r="BJ16" s="162" t="inlineStr">
        <is>
          <t>Qiming entities (Qiming Venture Partners V, L.P.; Qiming Managing Directors Fund V, L.P.; Qiming Venture Partners VII, L.P.; Qiming VII Strategic Investors Fund, L.P.); Alliance Ventures B.V.; Yutong entities (Beijing Xufeng Zhiyuan Intelligent Technology Partnership (Limited Partnership); Zhengzhou Xufeng Jiayuan Intelligent Connected Enterprise Management Center (Limited Partnership)); China-UAE Investment Cooperation Fund, L.P.</t>
        </is>
      </c>
      <c r="BK16" s="163" t="inlineStr">
        <is>
          <t>NaN</t>
        </is>
      </c>
      <c r="BL16" s="161" t="n">
        <v>1</v>
      </c>
      <c r="BM16" s="164" t="inlineStr">
        <is>
          <t>Series seed financing</t>
        </is>
      </c>
      <c r="BN16" s="165" t="inlineStr">
        <is>
          <t>NaN</t>
        </is>
      </c>
      <c r="BO16" s="51" t="inlineStr">
        <is>
          <t>自然人（WVR 受益人 Dr. Han 及 Dr. Li；公司无单一控股股东，二人构成单一最大股东集团）</t>
        </is>
      </c>
      <c r="BP16" s="135" t="n">
        <v>0.0798</v>
      </c>
      <c r="BQ16" s="135" t="n">
        <v>0.7015</v>
      </c>
      <c r="BR16" s="137" t="n">
        <v>246817000</v>
      </c>
      <c r="BS16" s="51" t="inlineStr">
        <is>
          <t>Commercial Company under Chapter 18C（技术已进入商业化阶段）</t>
        </is>
      </c>
      <c r="BT16" s="142" t="n">
        <v>0</v>
      </c>
      <c r="BU16" s="60" t="inlineStr">
        <is>
          <t>Main Board</t>
        </is>
      </c>
      <c r="BV16" s="89" t="inlineStr">
        <is>
          <t>Class A Ordinary Shares; Class B Ordinary Shares</t>
        </is>
      </c>
      <c r="BW16" s="61" t="n">
        <v>0</v>
      </c>
      <c r="BX16" s="77" t="n">
        <v>0</v>
      </c>
      <c r="BY16" s="77" t="n">
        <v>0</v>
      </c>
      <c r="BZ16" s="78" t="n">
        <v>0</v>
      </c>
      <c r="CA16" s="60" t="inlineStr">
        <is>
          <t>702015</t>
        </is>
      </c>
      <c r="CB16" s="76" t="inlineStr">
        <is>
          <t>HSICS (Hang Seng Industry Classification System) 2026</t>
        </is>
      </c>
      <c r="CC16" s="140" t="n">
        <v>42807</v>
      </c>
      <c r="CD16" s="171" t="n">
        <v>8.65</v>
      </c>
      <c r="CE16" s="76" t="inlineStr">
        <is>
          <t>Cayman Islands</t>
        </is>
      </c>
      <c r="CF16" s="89" t="inlineStr">
        <is>
          <t>Guangzhou, Guangdong Province, PRC</t>
        </is>
      </c>
      <c r="CG16" s="91" t="n">
        <v>1000</v>
      </c>
      <c r="CH16" s="60" t="inlineStr">
        <is>
          <t>IFRS Accounting Standards</t>
        </is>
      </c>
      <c r="CI16" s="141" t="n">
        <v>44927</v>
      </c>
      <c r="CJ16" s="141" t="n">
        <v>45291</v>
      </c>
      <c r="CK16" s="141" t="n">
        <v>45292</v>
      </c>
      <c r="CL16" s="141" t="n">
        <v>45657</v>
      </c>
      <c r="CM16" s="141" t="n">
        <v>45658</v>
      </c>
      <c r="CN16" s="64" t="n">
        <v>199615000</v>
      </c>
      <c r="CO16" s="64" t="n">
        <v>-789640000</v>
      </c>
      <c r="CP16" s="64" t="n">
        <v>-791517000</v>
      </c>
      <c r="CQ16" s="141" t="n">
        <v>45958</v>
      </c>
      <c r="CR16" s="141" t="n">
        <v>45964</v>
      </c>
      <c r="CS16" s="63" t="n">
        <v>1026616330</v>
      </c>
      <c r="CT16" s="64" t="n">
        <v>61059000</v>
      </c>
      <c r="CU16" s="64" t="n">
        <v>134471000</v>
      </c>
      <c r="CV16" s="59" t="inlineStr">
        <is>
          <t>Unqualified opinion (true and fair view)</t>
        </is>
      </c>
      <c r="CW16" s="64" t="n">
        <v>156700000</v>
      </c>
      <c r="CX16" s="51" t="inlineStr">
        <is>
          <t>NA</t>
        </is>
      </c>
      <c r="CY16" s="142" t="n">
        <v>0</v>
      </c>
      <c r="CZ16" s="136" t="inlineStr">
        <is>
          <t>NA</t>
        </is>
      </c>
      <c r="DA16" s="143" t="n">
        <v>73.44</v>
      </c>
      <c r="DB16" s="63" t="n">
        <v>64949</v>
      </c>
      <c r="DC16" s="63" t="n">
        <v>324037100</v>
      </c>
      <c r="DD16" s="59" t="inlineStr">
        <is>
          <t>Subscription level 73.44 times</t>
        </is>
      </c>
      <c r="DE16" s="141" t="n">
        <v>45965</v>
      </c>
      <c r="DF16" s="141" t="n">
        <v>45966</v>
      </c>
      <c r="DG16" s="63" t="n">
        <v>88250000</v>
      </c>
      <c r="DH16" s="63" t="n">
        <v>17650000</v>
      </c>
      <c r="DI16" s="63" t="n">
        <v>70600000</v>
      </c>
      <c r="DJ16" s="63" t="n">
        <v>0</v>
      </c>
      <c r="DK16" s="169" t="n">
        <v>0</v>
      </c>
      <c r="DL16" s="59" t="inlineStr">
        <is>
          <t>13,237,500 Offer Shares reallocated from the International Offering (claw-back); final Hong Kong Public Offering 17,650,000 Offer Shares (20% of the Global Offering)</t>
        </is>
      </c>
      <c r="DM16" s="144" t="n">
        <v>2264340000</v>
      </c>
      <c r="DN16" s="142" t="n">
        <v>0.972</v>
      </c>
      <c r="DO16" s="51" t="n">
        <v>1026616330</v>
      </c>
      <c r="DP16" s="142" t="n">
        <v>0.08599999999999999</v>
      </c>
      <c r="DQ16" s="59" t="inlineStr">
        <is>
          <t>Free float denominator = total issued shares upon listing (col_CZ); numerator = offer shares minus cornerstone allocation</t>
        </is>
      </c>
      <c r="DR16" s="63" t="n">
        <v>1026616330</v>
      </c>
      <c r="DS16" s="142" t="n">
        <v>-0.00192492</v>
      </c>
      <c r="DT16" s="80" t="n">
        <v>22</v>
      </c>
      <c r="DU16" s="142" t="n">
        <v>0.035</v>
      </c>
      <c r="DV16" s="144" t="n">
        <v>54172000000</v>
      </c>
      <c r="DW16" s="145" t="n">
        <v>24.4</v>
      </c>
      <c r="DX16" s="169" t="n">
        <v>-0.099631</v>
      </c>
      <c r="DY16" s="172" t="n">
        <v>-238275000</v>
      </c>
      <c r="DZ16" s="146" t="n">
        <v>24.98</v>
      </c>
      <c r="EA16" s="146" t="n">
        <v>24.98</v>
      </c>
      <c r="EB16" s="146" t="n">
        <v>23</v>
      </c>
      <c r="EC16" s="63" t="n">
        <v>16900938</v>
      </c>
      <c r="ED16" s="169" t="n">
        <v>0.191512</v>
      </c>
      <c r="EE16" s="64" t="n"/>
      <c r="EF16" s="60" t="inlineStr">
        <is>
          <t>Mechanism A</t>
        </is>
      </c>
      <c r="EG16" s="59" t="inlineStr">
        <is>
          <t>FINI (from 22/11/2023); 2025-08-04 pricing reform (Mechanism A/B; six-month cornerstone lock-up retained); this IPO: Mechanism A</t>
        </is>
      </c>
      <c r="EH16" t="inlineStr">
        <is>
          <t>文远知行</t>
        </is>
      </c>
      <c r="EI16" s="174" t="inlineStr">
        <is>
          <t>Active</t>
        </is>
      </c>
      <c r="EJ16" s="175" t="n">
        <v>23.12</v>
      </c>
      <c r="EK16" s="176" t="n">
        <v>-0.052459</v>
      </c>
      <c r="EL16" s="176" t="n">
        <v>-0.146863</v>
      </c>
      <c r="EM16" s="176" t="n">
        <v>-0.027379</v>
      </c>
      <c r="EN16" s="176" t="n">
        <v>-0.068857</v>
      </c>
      <c r="EO16" s="179" t="n">
        <v>0.9742</v>
      </c>
      <c r="EP16" s="179" t="n">
        <v>1.0176</v>
      </c>
      <c r="EQ16" s="178" t="n">
        <v>55632275</v>
      </c>
      <c r="ER16" s="175" t="n">
        <v>20</v>
      </c>
      <c r="ES16" s="176" t="n">
        <v>-0.180328</v>
      </c>
      <c r="ET16" s="176" t="n">
        <v>-0.261993</v>
      </c>
      <c r="EU16" s="176" t="n">
        <v>-0.010274</v>
      </c>
      <c r="EV16" s="176" t="n">
        <v>-0.164028</v>
      </c>
      <c r="EW16" s="179" t="n">
        <v>0.8282</v>
      </c>
      <c r="EX16" s="179" t="n">
        <v>0.9805</v>
      </c>
      <c r="EY16" s="178" t="n">
        <v>100117220</v>
      </c>
      <c r="EZ16" s="176" t="n">
        <v>0.248316</v>
      </c>
      <c r="FA16" s="176" t="n"/>
      <c r="FB16" s="179" t="n"/>
      <c r="FC16" s="176" t="n"/>
      <c r="FD16" s="179" t="n"/>
      <c r="FE16" s="174" t="inlineStr">
        <is>
          <t>Standard</t>
        </is>
      </c>
      <c r="FF16" s="181" t="n"/>
      <c r="FG16" s="185" t="n"/>
      <c r="FH16" s="183" t="n"/>
      <c r="FI16" s="178" t="n"/>
      <c r="FJ16" s="176" t="n"/>
      <c r="FK16" s="185" t="n"/>
      <c r="FL16" s="178" t="n"/>
      <c r="FM16" s="176" t="n"/>
      <c r="FN16" s="176" t="n"/>
      <c r="FO16" s="176" t="n"/>
      <c r="FP16" s="176" t="n"/>
      <c r="FQ16" s="176" t="n">
        <v>-0.131148</v>
      </c>
      <c r="FR16" s="179" t="n">
        <v>0.8548</v>
      </c>
      <c r="FS16" s="176" t="n">
        <v>-0.052459</v>
      </c>
      <c r="FT16" s="179" t="n">
        <v>0.9742</v>
      </c>
      <c r="FU16" s="176" t="n">
        <v>-0.206148</v>
      </c>
      <c r="FV16" s="179" t="n">
        <v>0.7916</v>
      </c>
      <c r="FW16" s="179" t="n">
        <v>0.8827</v>
      </c>
      <c r="FX16" s="178" t="n">
        <v>32526034.38</v>
      </c>
      <c r="FY16" s="186" t="n">
        <v>0.001071125</v>
      </c>
      <c r="FZ16" s="183" t="n">
        <v>0</v>
      </c>
      <c r="GA16" s="176" t="n">
        <v>0.03907763049080881</v>
      </c>
      <c r="GB16" s="176" t="n">
        <v>0.379138</v>
      </c>
      <c r="GC16" s="185" t="n"/>
      <c r="GD16" s="185" t="n"/>
      <c r="GE16" s="176" t="n"/>
      <c r="GF16" s="176" t="n"/>
      <c r="GG16" s="179" t="n"/>
      <c r="GH16" s="181" t="inlineStr">
        <is>
          <t>China International Capital Corporation</t>
        </is>
      </c>
      <c r="GI16" s="183" t="n">
        <v>2</v>
      </c>
      <c r="GJ16" s="183" t="n">
        <v>0</v>
      </c>
      <c r="GK16" s="176" t="n">
        <v>0.02</v>
      </c>
      <c r="GL16" s="176" t="n"/>
      <c r="GM16" s="176" t="n"/>
      <c r="GN16" s="183" t="n">
        <v>0</v>
      </c>
      <c r="GO16" s="183" t="n">
        <v>0</v>
      </c>
      <c r="GP16" s="183" t="n">
        <v>0</v>
      </c>
      <c r="GQ16" s="183" t="n">
        <v>13</v>
      </c>
      <c r="GR16" s="183" t="n">
        <v>1</v>
      </c>
      <c r="GS16" s="181" t="inlineStr">
        <is>
          <t>POST_FINI</t>
        </is>
      </c>
      <c r="GT16" s="181" t="inlineStr">
        <is>
          <t>POST_2025_REFORM</t>
        </is>
      </c>
    </row>
    <row r="17" ht="68" customFormat="1" customHeight="1" s="12">
      <c r="A17" s="43" t="n">
        <v>85</v>
      </c>
      <c r="B17" s="47" t="inlineStr">
        <is>
          <t>2026.HK</t>
        </is>
      </c>
      <c r="C17" s="44" t="inlineStr">
        <is>
          <t>Pony AI Inc. - W</t>
        </is>
      </c>
      <c r="D17" s="130" t="n">
        <v>45958</v>
      </c>
      <c r="E17" s="48" t="n">
        <v>45967</v>
      </c>
      <c r="F17" s="43" t="inlineStr">
        <is>
          <t>Goldman Sachs (Asia) L.L.C./
Merrill Lynch (Asia Pacific) Limited/
Deutsche Securities Asia Limited/
Huatai Financial Holdings
(Hong Kong) Limited</t>
        </is>
      </c>
      <c r="G17" s="43" t="inlineStr">
        <is>
          <t>Deloitte Touche Tohmatsu</t>
        </is>
      </c>
      <c r="H17" s="43" t="n"/>
      <c r="I17" s="131" t="n">
        <v>583188400</v>
      </c>
      <c r="J17" s="148" t="n">
        <v>6123422600</v>
      </c>
      <c r="K17" s="133" t="n">
        <v>139</v>
      </c>
      <c r="L17" t="n">
        <v>427248253</v>
      </c>
      <c r="M17" s="67" t="n">
        <v>41955700</v>
      </c>
      <c r="N17" t="n">
        <v>385292553</v>
      </c>
      <c r="O17" t="n">
        <v>385292553</v>
      </c>
      <c r="P17" t="n">
        <v>0</v>
      </c>
      <c r="Q17" t="n">
        <v>41955700</v>
      </c>
      <c r="R17" s="67" t="n">
        <v>37760100</v>
      </c>
      <c r="S17" s="67" t="n">
        <v>4195600</v>
      </c>
      <c r="T17" s="147" t="n">
        <v>180</v>
      </c>
      <c r="U17" s="147" t="inlineStr">
        <is>
          <t>NaN</t>
        </is>
      </c>
      <c r="V17" s="169" t="n">
        <v>0</v>
      </c>
      <c r="W17" s="169" t="n">
        <v>0</v>
      </c>
      <c r="X17" s="170" t="inlineStr">
        <is>
          <t>Fixed price</t>
        </is>
      </c>
      <c r="Y17" s="26" t="inlineStr">
        <is>
          <t>USD</t>
        </is>
      </c>
      <c r="Z17" s="137" t="n">
        <v>747117000</v>
      </c>
      <c r="AA17" s="137" t="n">
        <v>1050821000</v>
      </c>
      <c r="AB17" s="137" t="n">
        <v>991046000</v>
      </c>
      <c r="AC17" s="137" t="n">
        <v>695173000</v>
      </c>
      <c r="AD17" s="137" t="n">
        <v>968711000</v>
      </c>
      <c r="AE17" s="137" t="n">
        <v>864265000</v>
      </c>
      <c r="AF17" s="137" t="n">
        <v>51944000</v>
      </c>
      <c r="AG17" s="137" t="n">
        <v>82110000</v>
      </c>
      <c r="AH17" s="137" t="n">
        <v>126781000</v>
      </c>
      <c r="AI17" s="137" t="n">
        <v>71899000</v>
      </c>
      <c r="AJ17" s="137" t="n">
        <v>75025000</v>
      </c>
      <c r="AK17" s="137" t="n">
        <v>70868000</v>
      </c>
      <c r="AL17" s="137" t="n">
        <v>-125454000</v>
      </c>
      <c r="AM17" s="137" t="n">
        <v>-275005000</v>
      </c>
      <c r="AN17" s="137" t="n">
        <v>-181278000</v>
      </c>
      <c r="AO17" s="137" t="n">
        <v>-125328000</v>
      </c>
      <c r="AP17" s="137" t="n">
        <v>-275006000</v>
      </c>
      <c r="AQ17" s="137" t="n">
        <v>-181280000</v>
      </c>
      <c r="AR17" s="142" t="n">
        <v>0.025</v>
      </c>
      <c r="AS17" s="142" t="n">
        <v>0.025</v>
      </c>
      <c r="AT17" s="84" t="n">
        <v>0.15</v>
      </c>
      <c r="AU17" s="51" t="inlineStr">
        <is>
          <t>Autonomous driving technology — Level 4 autonomous driving solutions (robotaxi and robotruck services, licensing and applications)</t>
        </is>
      </c>
      <c r="AV17" s="51" t="inlineStr">
        <is>
          <t>Dual primary listing as an issuer with a WVR structure (Chapter 8A of the Hong Kong Listing Rules)</t>
        </is>
      </c>
      <c r="AW17" s="136" t="n">
        <v>45838</v>
      </c>
      <c r="AX17" s="137" t="n">
        <v>-79570000</v>
      </c>
      <c r="AY17" s="117" t="n">
        <v>318533000</v>
      </c>
      <c r="AZ17" s="117" t="n">
        <v>96516000</v>
      </c>
      <c r="BA17" s="117" t="n">
        <v>0</v>
      </c>
      <c r="BB17" s="138" t="n">
        <v>0.731</v>
      </c>
      <c r="BC17" s="139" t="n">
        <v>0.5</v>
      </c>
      <c r="BD17" s="80" t="n">
        <v>1</v>
      </c>
      <c r="BE17" s="161" t="n">
        <v>1</v>
      </c>
      <c r="BF17" s="161" t="n">
        <v>1</v>
      </c>
      <c r="BG17" s="161" t="n">
        <v>1</v>
      </c>
      <c r="BH17" s="161" t="inlineStr">
        <is>
          <t>NaN</t>
        </is>
      </c>
      <c r="BI17" s="161" t="n">
        <v>1</v>
      </c>
      <c r="BJ17" s="162" t="inlineStr">
        <is>
          <t>Toyota Motor Corporation; HSG Venture VI Holdco, Ltd.; HSG Venture VII Holdco, Ltd.; IDG China Venture Capital Fund IV L.P.; IDG China IV Investors L.P.; IDG China Capital Fund III L.P.; IDG China Capital III Investors L.P.; Morningside China TMT Fund IV, L.P.; Morningside China TMT Fund IV Co-Investment, L.P.; Morningside China TMT Special Opportunity Fund II, L.P.; 2774719 Ontario Limited; ClearVue Pony AI Plus Holdings, Ltd.; China-UAE Investment Cooperation Fund, L.P.; Raumier Limited; NEOM Company; Evodia Investments; Assets Key Limited; Hainan Kaibeixin Investment Partnership, L.P.; Shenzhen Z&amp;Y High-tech Venture Capital Co., LTD</t>
        </is>
      </c>
      <c r="BK17" s="163" t="inlineStr">
        <is>
          <t>NaN</t>
        </is>
      </c>
      <c r="BL17" s="161" t="n">
        <v>1</v>
      </c>
      <c r="BM17" s="164" t="inlineStr">
        <is>
          <t>Series A preferred shares</t>
        </is>
      </c>
      <c r="BN17" s="165" t="inlineStr">
        <is>
          <t>NaN</t>
        </is>
      </c>
      <c r="BO17" s="51" t="inlineStr">
        <is>
          <t>Natural person</t>
        </is>
      </c>
      <c r="BP17" s="135" t="n">
        <v>0.1404</v>
      </c>
      <c r="BQ17" s="135" t="n">
        <v>0.5185999999999999</v>
      </c>
      <c r="BR17" s="137" t="n">
        <v>18098000</v>
      </c>
      <c r="BS17" s="51" t="inlineStr">
        <is>
          <t>Commercialization-ready Level 4 fully driverless solution (early stage of large-scale commercialization)</t>
        </is>
      </c>
      <c r="BT17" s="142" t="n">
        <v>0</v>
      </c>
      <c r="BU17" s="60" t="inlineStr">
        <is>
          <t>Main Board</t>
        </is>
      </c>
      <c r="BV17" s="89" t="inlineStr">
        <is>
          <t>Class A Ordinary Shares; Class B Ordinary Shares</t>
        </is>
      </c>
      <c r="BW17" s="61" t="n">
        <v>0</v>
      </c>
      <c r="BX17" s="77" t="n">
        <v>1</v>
      </c>
      <c r="BY17" s="77" t="n">
        <v>0</v>
      </c>
      <c r="BZ17" s="78" t="n">
        <v>0</v>
      </c>
      <c r="CA17" s="60" t="inlineStr">
        <is>
          <t>702015</t>
        </is>
      </c>
      <c r="CB17" s="76" t="inlineStr">
        <is>
          <t>HSICS (Hang Seng Industry Classification System) 2026</t>
        </is>
      </c>
      <c r="CC17" s="140" t="n">
        <v>42678</v>
      </c>
      <c r="CD17" s="171" t="n">
        <v>9</v>
      </c>
      <c r="CE17" s="76" t="inlineStr">
        <is>
          <t>Cayman Islands</t>
        </is>
      </c>
      <c r="CF17" s="89" t="inlineStr">
        <is>
          <t>Guangzhou, PRC</t>
        </is>
      </c>
      <c r="CG17" s="91" t="n">
        <v>1000</v>
      </c>
      <c r="CH17" s="60" t="inlineStr">
        <is>
          <t>U.S. GAAP</t>
        </is>
      </c>
      <c r="CI17" s="141" t="n">
        <v>44927</v>
      </c>
      <c r="CJ17" s="141" t="n">
        <v>45291</v>
      </c>
      <c r="CK17" s="141" t="n">
        <v>45292</v>
      </c>
      <c r="CL17" s="141" t="n">
        <v>45657</v>
      </c>
      <c r="CM17" s="141" t="n">
        <v>45658</v>
      </c>
      <c r="CN17" s="64" t="n">
        <v>35434000</v>
      </c>
      <c r="CO17" s="64" t="n">
        <v>-90639000</v>
      </c>
      <c r="CP17" s="64" t="n">
        <v>-90640000</v>
      </c>
      <c r="CQ17" s="141" t="n">
        <v>45958</v>
      </c>
      <c r="CR17" s="141" t="n">
        <v>45964</v>
      </c>
      <c r="CS17" s="63" t="n">
        <v>427248253</v>
      </c>
      <c r="CT17" s="64" t="n">
        <v>5779000</v>
      </c>
      <c r="CU17" s="64" t="n">
        <v>14464000</v>
      </c>
      <c r="CV17" s="59" t="inlineStr">
        <is>
          <t>Unqualified opinion</t>
        </is>
      </c>
      <c r="CW17" s="64" t="n">
        <v>358500000</v>
      </c>
      <c r="CX17" s="51" t="inlineStr">
        <is>
          <t>Eastspring Investments (Singapore) Limited; Ghisallo Fund Master Ltd; Athos Capital Limited; Hel Ved Master Fund; Ocean Arete Limited</t>
        </is>
      </c>
      <c r="CY17" s="142" t="n">
        <v>0.139</v>
      </c>
      <c r="CZ17" s="136" t="n">
        <v>46148</v>
      </c>
      <c r="DA17" s="143" t="n">
        <v>15.88</v>
      </c>
      <c r="DB17" s="63" t="n">
        <v>37062</v>
      </c>
      <c r="DC17" s="63" t="n">
        <v>66637000</v>
      </c>
      <c r="DD17" s="59" t="inlineStr">
        <is>
          <t>Subscription level
15.88 times</t>
        </is>
      </c>
      <c r="DE17" s="141" t="n">
        <v>45965</v>
      </c>
      <c r="DF17" s="141" t="n">
        <v>45966</v>
      </c>
      <c r="DG17" s="63" t="n">
        <v>48249000</v>
      </c>
      <c r="DH17" s="63" t="n">
        <v>4195600</v>
      </c>
      <c r="DI17" s="63" t="n">
        <v>44053400</v>
      </c>
      <c r="DJ17" s="63" t="n">
        <v>0</v>
      </c>
      <c r="DK17" s="169" t="n">
        <v>0</v>
      </c>
      <c r="DL17" s="59" t="inlineStr">
        <is>
          <t>Claw-back triggered
N/A</t>
        </is>
      </c>
      <c r="DM17" s="144" t="n">
        <v>6454360000</v>
      </c>
      <c r="DN17" s="142" t="n">
        <v>0.9871</v>
      </c>
      <c r="DO17" s="51" t="n">
        <v>433541553</v>
      </c>
      <c r="DP17" s="142" t="n">
        <v>0.0958</v>
      </c>
      <c r="DQ17" s="59" t="inlineStr">
        <is>
          <t>Free float denominator = total issued shares upon listing (col_CZ); numerator = offer shares minus cornerstone allocation</t>
        </is>
      </c>
      <c r="DR17" s="63" t="n">
        <v>433541553</v>
      </c>
      <c r="DS17" s="142" t="n">
        <v>-0.00192492</v>
      </c>
      <c r="DT17" s="80" t="n">
        <v>22</v>
      </c>
      <c r="DU17" s="142" t="n">
        <v>0.035</v>
      </c>
      <c r="DV17" s="144" t="n">
        <v>54172000000</v>
      </c>
      <c r="DW17" s="145" t="n">
        <v>126.1</v>
      </c>
      <c r="DX17" s="169" t="n">
        <v>-0.092806</v>
      </c>
      <c r="DY17" s="172" t="n">
        <v>-622412100</v>
      </c>
      <c r="DZ17" s="146" t="n">
        <v>124</v>
      </c>
      <c r="EA17" s="146" t="n">
        <v>126.1</v>
      </c>
      <c r="EB17" s="146" t="n">
        <v>118.8</v>
      </c>
      <c r="EC17" s="63" t="n">
        <v>8679020</v>
      </c>
      <c r="ED17" s="169" t="n">
        <v>0.17988</v>
      </c>
      <c r="EE17" s="64" t="n"/>
      <c r="EF17" s="60" t="inlineStr">
        <is>
          <t>NA</t>
        </is>
      </c>
      <c r="EG17" s="59" t="inlineStr">
        <is>
          <t>FINI (from 22/11/2023); 2025-08-04 pricing reform (Mechanism A/B; six-month cornerstone lock-up retained)</t>
        </is>
      </c>
      <c r="EH17" t="inlineStr">
        <is>
          <t>小马智行</t>
        </is>
      </c>
      <c r="EI17" s="174" t="inlineStr">
        <is>
          <t>Active</t>
        </is>
      </c>
      <c r="EJ17" s="175" t="n">
        <v>110.1</v>
      </c>
      <c r="EK17" s="176" t="n">
        <v>-0.126883</v>
      </c>
      <c r="EL17" s="176" t="n">
        <v>-0.207914</v>
      </c>
      <c r="EM17" s="176" t="n">
        <v>-0.027379</v>
      </c>
      <c r="EN17" s="176" t="n">
        <v>-0.068857</v>
      </c>
      <c r="EO17" s="179" t="n">
        <v>0.8977000000000001</v>
      </c>
      <c r="EP17" s="179" t="n">
        <v>0.9377</v>
      </c>
      <c r="EQ17" s="178" t="n">
        <v>141800635</v>
      </c>
      <c r="ER17" s="175" t="n">
        <v>78.65000000000001</v>
      </c>
      <c r="ES17" s="176" t="n">
        <v>-0.376289</v>
      </c>
      <c r="ET17" s="176" t="n">
        <v>-0.434173</v>
      </c>
      <c r="EU17" s="176" t="n">
        <v>-0.010274</v>
      </c>
      <c r="EV17" s="176" t="n">
        <v>-0.164028</v>
      </c>
      <c r="EW17" s="179" t="n">
        <v>0.6302</v>
      </c>
      <c r="EX17" s="179" t="n">
        <v>0.7461</v>
      </c>
      <c r="EY17" s="178" t="n">
        <v>36872915</v>
      </c>
      <c r="EZ17" s="176" t="n">
        <v>0.034889</v>
      </c>
      <c r="FA17" s="176" t="n"/>
      <c r="FB17" s="179" t="n"/>
      <c r="FC17" s="176" t="n"/>
      <c r="FD17" s="179" t="n"/>
      <c r="FE17" s="174" t="inlineStr">
        <is>
          <t>Standard</t>
        </is>
      </c>
      <c r="FF17" s="181" t="n"/>
      <c r="FG17" s="185" t="n"/>
      <c r="FH17" s="183" t="n"/>
      <c r="FI17" s="178" t="n"/>
      <c r="FJ17" s="176" t="n"/>
      <c r="FK17" s="185" t="n"/>
      <c r="FL17" s="178" t="n"/>
      <c r="FM17" s="176" t="n"/>
      <c r="FN17" s="176" t="n"/>
      <c r="FO17" s="176" t="n"/>
      <c r="FP17" s="176" t="n"/>
      <c r="FQ17" s="176" t="n">
        <v>-0.108644</v>
      </c>
      <c r="FR17" s="179" t="n">
        <v>0.8769</v>
      </c>
      <c r="FS17" s="176" t="n">
        <v>-0.126883</v>
      </c>
      <c r="FT17" s="179" t="n">
        <v>0.8977000000000001</v>
      </c>
      <c r="FU17" s="176" t="n">
        <v>-0.177637</v>
      </c>
      <c r="FV17" s="179" t="n">
        <v>0.8201000000000001</v>
      </c>
      <c r="FW17" s="179" t="n">
        <v>0.9144</v>
      </c>
      <c r="FX17" s="178" t="n">
        <v>86103225</v>
      </c>
      <c r="FY17" s="186" t="n">
        <v>0.0006099833333333333</v>
      </c>
      <c r="FZ17" s="183" t="n">
        <v>0</v>
      </c>
      <c r="GA17" s="176" t="n">
        <v>0.04925870769163915</v>
      </c>
      <c r="GB17" s="176" t="n">
        <v>0.511687</v>
      </c>
      <c r="GC17" s="185" t="n"/>
      <c r="GD17" s="185" t="n"/>
      <c r="GE17" s="176" t="n"/>
      <c r="GF17" s="176" t="n"/>
      <c r="GG17" s="179" t="n"/>
      <c r="GH17" s="181" t="inlineStr">
        <is>
          <t>Goldman Sachs (Asia) L.L.C.</t>
        </is>
      </c>
      <c r="GI17" s="183" t="n">
        <v>4</v>
      </c>
      <c r="GJ17" s="183" t="n">
        <v>0</v>
      </c>
      <c r="GK17" s="176" t="n">
        <v>0.025</v>
      </c>
      <c r="GL17" s="176" t="n"/>
      <c r="GM17" s="176" t="n"/>
      <c r="GN17" s="183" t="n">
        <v>5</v>
      </c>
      <c r="GO17" s="183" t="n">
        <v>1</v>
      </c>
      <c r="GP17" s="183" t="n">
        <v>0</v>
      </c>
      <c r="GQ17" s="183" t="n">
        <v>28</v>
      </c>
      <c r="GR17" s="183" t="n">
        <v>1</v>
      </c>
      <c r="GS17" s="181" t="inlineStr">
        <is>
          <t>POST_FINI</t>
        </is>
      </c>
      <c r="GT17" s="181" t="inlineStr">
        <is>
          <t>POST_2025_REFORM</t>
        </is>
      </c>
    </row>
    <row r="18" ht="51" customFormat="1" customHeight="1" s="11">
      <c r="A18" s="43" t="n">
        <v>86</v>
      </c>
      <c r="B18" s="47" t="inlineStr">
        <is>
          <t>2630.HK</t>
        </is>
      </c>
      <c r="C18" s="44" t="inlineStr">
        <is>
          <t>Vigonvita Life Sciences Co., Ltd. - B - H shares</t>
        </is>
      </c>
      <c r="D18" s="130" t="n">
        <v>45958</v>
      </c>
      <c r="E18" s="48" t="n">
        <v>45967</v>
      </c>
      <c r="F18" s="43" t="inlineStr">
        <is>
          <t>CITIC Securities (Hong Kong) Limited</t>
        </is>
      </c>
      <c r="G18" s="43" t="inlineStr">
        <is>
          <t>Deloitte Touche Tohmatsu</t>
        </is>
      </c>
      <c r="H18" s="43" t="inlineStr">
        <is>
          <t>AVISTA Valuation Advisory Limited</t>
        </is>
      </c>
      <c r="I18" s="131" t="n">
        <v>58724525.99999999</v>
      </c>
      <c r="J18" s="148" t="n">
        <v>528514059.9999999</v>
      </c>
      <c r="K18" s="133" t="n">
        <v>33.37</v>
      </c>
      <c r="L18" t="n">
        <v>167597800</v>
      </c>
      <c r="M18" s="67" t="n">
        <v>17597800</v>
      </c>
      <c r="N18" t="n">
        <v>150000000</v>
      </c>
      <c r="O18" t="n">
        <v>150000000</v>
      </c>
      <c r="P18" t="n">
        <v>0</v>
      </c>
      <c r="Q18" t="n">
        <v>17597800</v>
      </c>
      <c r="R18" s="67" t="n">
        <v>15838000</v>
      </c>
      <c r="S18" s="67" t="n">
        <v>1759800</v>
      </c>
      <c r="T18" s="147" t="n">
        <v>34</v>
      </c>
      <c r="U18" s="147" t="n">
        <v>32</v>
      </c>
      <c r="V18" s="169" t="n">
        <v>0.011212</v>
      </c>
      <c r="W18" s="169" t="n">
        <v>0.060606</v>
      </c>
      <c r="X18" s="170" t="inlineStr">
        <is>
          <t>Within range</t>
        </is>
      </c>
      <c r="Y18" s="26" t="inlineStr">
        <is>
          <t>RMB</t>
        </is>
      </c>
      <c r="Z18" s="137" t="n">
        <v>676296000</v>
      </c>
      <c r="AA18" s="137" t="n">
        <v>725956000</v>
      </c>
      <c r="AB18" s="137" t="n">
        <v>727246000</v>
      </c>
      <c r="AC18" s="137" t="n">
        <v>188116000</v>
      </c>
      <c r="AD18" s="137" t="n">
        <v>140371000</v>
      </c>
      <c r="AE18" s="137" t="n">
        <v>86492000</v>
      </c>
      <c r="AF18" s="137" t="n">
        <v>488180000</v>
      </c>
      <c r="AG18" s="137" t="n">
        <v>585585000</v>
      </c>
      <c r="AH18" s="137" t="n">
        <v>640754000</v>
      </c>
      <c r="AI18" s="137" t="n">
        <v>199651000</v>
      </c>
      <c r="AJ18" s="137" t="n">
        <v>11832000</v>
      </c>
      <c r="AK18" s="137" t="n">
        <v>38874000</v>
      </c>
      <c r="AL18" s="137" t="n">
        <v>6427000</v>
      </c>
      <c r="AM18" s="137" t="n">
        <v>-217643000</v>
      </c>
      <c r="AN18" s="137" t="n">
        <v>-337227000</v>
      </c>
      <c r="AO18" s="137" t="n">
        <v>6427000</v>
      </c>
      <c r="AP18" s="137" t="n">
        <v>-217643000</v>
      </c>
      <c r="AQ18" s="137" t="n">
        <v>-337227000</v>
      </c>
      <c r="AR18" s="142" t="n">
        <v>0.032</v>
      </c>
      <c r="AS18" s="142" t="n">
        <v>0.032</v>
      </c>
      <c r="AT18" s="84" t="n">
        <v>0.15</v>
      </c>
      <c r="AU18" s="51" t="inlineStr">
        <is>
          <t>Biopharmaceutical — discovery, development and commercialisation of small molecule drugs (neuropsychiatry, reproductive health and viral infection)</t>
        </is>
      </c>
      <c r="AV18" s="51" t="inlineStr">
        <is>
          <t>Chapter 18A of the Listing Rules (Main Board)</t>
        </is>
      </c>
      <c r="AW18" s="136" t="n">
        <v>45777</v>
      </c>
      <c r="AX18" s="137" t="n">
        <v>-43729000</v>
      </c>
      <c r="AY18" s="117" t="n">
        <v>72833000</v>
      </c>
      <c r="AZ18" s="117" t="n">
        <v>63905000</v>
      </c>
      <c r="BA18" s="117" t="n">
        <v>102000</v>
      </c>
      <c r="BB18" s="138" t="n">
        <v>0.912</v>
      </c>
      <c r="BC18" s="139" t="n">
        <v>0.333333</v>
      </c>
      <c r="BD18" s="80" t="n">
        <v>1</v>
      </c>
      <c r="BE18" s="161" t="n">
        <v>1</v>
      </c>
      <c r="BF18" s="161" t="n">
        <v>1</v>
      </c>
      <c r="BG18" s="161" t="n">
        <v>1</v>
      </c>
      <c r="BH18" s="161" t="n">
        <v>1</v>
      </c>
      <c r="BI18" s="161" t="inlineStr">
        <is>
          <t>NaN</t>
        </is>
      </c>
      <c r="BJ18" s="162" t="inlineStr">
        <is>
          <t>Gongqingcheng Zhongcai Qihu Financial Control Phase II Internet Industry Investment Center (Limited Partnership); Suzhou Xieyao Kexin Venture Capital Partnership Enterprise (Limited Partnership); Suzhou Xieyao Kesheng Entrepreneurship Investment Partnership Enterprise (Limited Partnership); Suzhou Meilingge Business Consulting Partnership Enterprise (Limited Partnership); Ganzhou Yufei Shanshui Equity Investment Partnership Enterprise (Limited Partnership); Jiaxing Yuhan Equity Investment Partnership Enterprise (Limited Partnership); Qingdao Bei’an Industrial Investment Holding Co., Ltd.; Shenzhen Ruikang Yuhong Win Win Investment Partnership (Limited Partnership); Hainan Junshi Phase I Equity Investment Fund Partnership Enterprise (Limited Partnership); Hangzhou Hemeng Medical Intelligence Equity Investment Partnership Enterprise (Limited Partnership); Qingdao Wangde Venture Capital Partnership Enterprise (Limited Partnership); Fuzhou Yide Equity Investment Partnership Enterprise (Limited Partnership); Suzhou Junding Changwang Entrepreneurship Investment Center (Limited Partnership); Suzhou Industrial Investment Innovation and Entrepreneurship Investment Partnership Enterprise (Limited Partnership); Hubei Jiuzhou Ketou Health Venture Capital Fund Partnership (Limited Partnership); Fuzhou Xindui Investment Partnership Enterprise (Limited Partnership); Hubei Chuangxin Tongxiang Enterprise Management Partnership (Limited Partnership)</t>
        </is>
      </c>
      <c r="BK18" s="163" t="n">
        <v>0.2402</v>
      </c>
      <c r="BL18" s="161" t="inlineStr">
        <is>
          <t>NaN</t>
        </is>
      </c>
      <c r="BM18" s="164" t="inlineStr">
        <is>
          <t>Angel Round Financing</t>
        </is>
      </c>
      <c r="BN18" s="165" t="n">
        <v>6.96</v>
      </c>
      <c r="BO18" s="51" t="inlineStr">
        <is>
          <t>Natural persons (founder Dr. Shen and his spouse Ms. Jin Jie)</t>
        </is>
      </c>
      <c r="BP18" s="135" t="n">
        <v>0.5056</v>
      </c>
      <c r="BQ18" s="135" t="n">
        <v>0.5056</v>
      </c>
      <c r="BR18" s="137" t="n">
        <v>507823000</v>
      </c>
      <c r="BS18" s="51" t="inlineStr">
        <is>
          <t>Two in commercial stage, four in clinical stage and three in preclinical stage (nine innovative assets in total)</t>
        </is>
      </c>
      <c r="BT18" s="142" t="n">
        <v>0</v>
      </c>
      <c r="BU18" s="60" t="inlineStr">
        <is>
          <t>Main Board</t>
        </is>
      </c>
      <c r="BV18" s="89" t="inlineStr">
        <is>
          <t>H Shares</t>
        </is>
      </c>
      <c r="BW18" s="61" t="n">
        <v>0</v>
      </c>
      <c r="BX18" s="77" t="n">
        <v>0</v>
      </c>
      <c r="BY18" s="77" t="n">
        <v>1</v>
      </c>
      <c r="BZ18" s="78" t="n">
        <v>0</v>
      </c>
      <c r="CA18" s="60" t="inlineStr">
        <is>
          <t>281020</t>
        </is>
      </c>
      <c r="CB18" s="76" t="inlineStr">
        <is>
          <t>HSICS (Hang Seng Industry Classification System) 2026</t>
        </is>
      </c>
      <c r="CC18" s="140" t="n">
        <v>41295</v>
      </c>
      <c r="CD18" s="171" t="n">
        <v>12.79</v>
      </c>
      <c r="CE18" s="76" t="inlineStr">
        <is>
          <t>PRC</t>
        </is>
      </c>
      <c r="CF18" s="89" t="inlineStr">
        <is>
          <t>Suzhou, PRC</t>
        </is>
      </c>
      <c r="CG18" s="91" t="n"/>
      <c r="CH18" s="60" t="inlineStr">
        <is>
          <t>IFRS Accounting Standards</t>
        </is>
      </c>
      <c r="CI18" s="141" t="n">
        <v>44927</v>
      </c>
      <c r="CJ18" s="141" t="n">
        <v>45291</v>
      </c>
      <c r="CK18" s="141" t="n">
        <v>45292</v>
      </c>
      <c r="CL18" s="141" t="n">
        <v>45657</v>
      </c>
      <c r="CM18" s="141" t="n">
        <v>45658</v>
      </c>
      <c r="CN18" s="64" t="n">
        <v>12958000</v>
      </c>
      <c r="CO18" s="64" t="n">
        <v>-112409000</v>
      </c>
      <c r="CP18" s="64" t="n">
        <v>-112409000</v>
      </c>
      <c r="CQ18" s="141" t="n">
        <v>45958</v>
      </c>
      <c r="CR18" s="141" t="n">
        <v>45964</v>
      </c>
      <c r="CS18" s="63" t="n">
        <v>66677133</v>
      </c>
      <c r="CT18" s="64" t="n">
        <v>9870000</v>
      </c>
      <c r="CU18" s="64" t="n">
        <v>76000000</v>
      </c>
      <c r="CV18" s="59" t="inlineStr">
        <is>
          <t>Unqualified opinion</t>
        </is>
      </c>
      <c r="CW18" s="64" t="n">
        <v>59600000</v>
      </c>
      <c r="CX18" s="51" t="inlineStr">
        <is>
          <t>NA</t>
        </is>
      </c>
      <c r="CY18" s="142" t="n">
        <v>0</v>
      </c>
      <c r="CZ18" s="136" t="inlineStr">
        <is>
          <t>NA</t>
        </is>
      </c>
      <c r="DA18" s="143" t="n">
        <v>6238.42</v>
      </c>
      <c r="DB18" s="63" t="n">
        <v>265188</v>
      </c>
      <c r="DC18" s="63" t="n">
        <v>10978367400</v>
      </c>
      <c r="DD18" s="59" t="inlineStr">
        <is>
          <t>Subscription level 6,238.42 times (Hong Kong Public Offering; claw-back triggered: No)</t>
        </is>
      </c>
      <c r="DE18" s="141" t="n">
        <v>45965</v>
      </c>
      <c r="DF18" s="141" t="n">
        <v>45966</v>
      </c>
      <c r="DG18" s="63" t="n">
        <v>17597800</v>
      </c>
      <c r="DH18" s="63" t="n">
        <v>1759800</v>
      </c>
      <c r="DI18" s="63" t="n">
        <v>15838000</v>
      </c>
      <c r="DJ18" s="63" t="n">
        <v>0</v>
      </c>
      <c r="DK18" s="169" t="n">
        <v>0</v>
      </c>
      <c r="DL18" s="59" t="inlineStr">
        <is>
          <t>Claw-back triggered: No; final Hong Kong Public Offering 1,759,800 and International Offering 15,838,000, i.e. no reallocation from the International Offering</t>
        </is>
      </c>
      <c r="DM18" s="144" t="n">
        <v>527360000</v>
      </c>
      <c r="DN18" s="142" t="n">
        <v>0.3052</v>
      </c>
      <c r="DO18" s="51" t="n">
        <v>167597800</v>
      </c>
      <c r="DP18" s="142" t="n">
        <v>0.105</v>
      </c>
      <c r="DQ18" s="59" t="inlineStr">
        <is>
          <t>Free float denominator = total issued shares upon listing (col_CZ = 167,597,800)</t>
        </is>
      </c>
      <c r="DR18" s="63" t="n">
        <v>167597800</v>
      </c>
      <c r="DS18" s="142" t="n">
        <v>-0.00192492</v>
      </c>
      <c r="DT18" s="80" t="n">
        <v>22</v>
      </c>
      <c r="DU18" s="142" t="n">
        <v>0.035</v>
      </c>
      <c r="DV18" s="144" t="n">
        <v>54172000000</v>
      </c>
      <c r="DW18" s="145" t="n">
        <v>82</v>
      </c>
      <c r="DX18" s="169" t="n">
        <v>1.457297</v>
      </c>
      <c r="DY18" s="172" t="n">
        <v>855781014</v>
      </c>
      <c r="DZ18" s="146" t="n">
        <v>95</v>
      </c>
      <c r="EA18" s="146" t="n">
        <v>97</v>
      </c>
      <c r="EB18" s="146" t="n">
        <v>81.75</v>
      </c>
      <c r="EC18" s="63" t="n">
        <v>5534414</v>
      </c>
      <c r="ED18" s="169" t="n">
        <v>0.314495</v>
      </c>
      <c r="EE18" s="64" t="n"/>
      <c r="EF18" s="60" t="inlineStr">
        <is>
          <t>Mechanism B</t>
        </is>
      </c>
      <c r="EG18" s="59" t="inlineStr">
        <is>
          <t>FINI (from 22/11/2023); 2025-08-04 pricing reform (Mechanism A/B; six-month cornerstone lock-up retained); this IPO: Mechanism B</t>
        </is>
      </c>
      <c r="EH18" t="inlineStr">
        <is>
          <t>苏州旺山旺水生物医药股份有限公司</t>
        </is>
      </c>
      <c r="EI18" s="174" t="inlineStr">
        <is>
          <t>Active</t>
        </is>
      </c>
      <c r="EJ18" s="175" t="n">
        <v>76</v>
      </c>
      <c r="EK18" s="176" t="n">
        <v>-0.073171</v>
      </c>
      <c r="EL18" s="176" t="n">
        <v>1.277495</v>
      </c>
      <c r="EM18" s="176" t="n">
        <v>-0.027379</v>
      </c>
      <c r="EN18" s="176" t="n">
        <v>-0.068857</v>
      </c>
      <c r="EO18" s="179" t="n">
        <v>0.9529</v>
      </c>
      <c r="EP18" s="179" t="n">
        <v>0.9954</v>
      </c>
      <c r="EQ18" s="178" t="n">
        <v>40243390</v>
      </c>
      <c r="ER18" s="175" t="n">
        <v>76</v>
      </c>
      <c r="ES18" s="176" t="n">
        <v>-0.073171</v>
      </c>
      <c r="ET18" s="176" t="n">
        <v>1.277495</v>
      </c>
      <c r="EU18" s="176" t="n">
        <v>-0.010274</v>
      </c>
      <c r="EV18" s="176" t="n">
        <v>-0.164028</v>
      </c>
      <c r="EW18" s="179" t="n">
        <v>0.9365</v>
      </c>
      <c r="EX18" s="179" t="n">
        <v>1.1087</v>
      </c>
      <c r="EY18" s="178" t="n">
        <v>3889025</v>
      </c>
      <c r="EZ18" s="176" t="n">
        <v>0.007998999999999999</v>
      </c>
      <c r="FA18" s="176" t="n"/>
      <c r="FB18" s="179" t="n"/>
      <c r="FC18" s="176" t="n"/>
      <c r="FD18" s="179" t="n"/>
      <c r="FE18" s="174" t="inlineStr">
        <is>
          <t>18A (Biotech / B-tag)</t>
        </is>
      </c>
      <c r="FF18" s="181" t="n"/>
      <c r="FG18" s="185" t="n"/>
      <c r="FH18" s="183" t="n"/>
      <c r="FI18" s="178" t="n"/>
      <c r="FJ18" s="176" t="n"/>
      <c r="FK18" s="185" t="n"/>
      <c r="FL18" s="178" t="n"/>
      <c r="FM18" s="176" t="n"/>
      <c r="FN18" s="176" t="n"/>
      <c r="FO18" s="176" t="n"/>
      <c r="FP18" s="176" t="n"/>
      <c r="FQ18" s="176" t="n">
        <v>-0.355488</v>
      </c>
      <c r="FR18" s="179" t="n">
        <v>0.6341</v>
      </c>
      <c r="FS18" s="176" t="n">
        <v>-0.073171</v>
      </c>
      <c r="FT18" s="179" t="n">
        <v>0.9529</v>
      </c>
      <c r="FU18" s="176" t="n">
        <v>0.286585</v>
      </c>
      <c r="FV18" s="179" t="n">
        <v>1.283</v>
      </c>
      <c r="FW18" s="179" t="n">
        <v>1.4305</v>
      </c>
      <c r="FX18" s="178" t="n">
        <v>21559403.12</v>
      </c>
      <c r="FY18" s="186" t="n">
        <v>0.004251458333333334</v>
      </c>
      <c r="FZ18" s="183" t="n">
        <v>0</v>
      </c>
      <c r="GA18" s="176" t="n">
        <v>0.1444530651431415</v>
      </c>
      <c r="GB18" s="176" t="n">
        <v>0.467754</v>
      </c>
      <c r="GC18" s="185" t="n"/>
      <c r="GD18" s="185" t="n"/>
      <c r="GE18" s="176" t="n"/>
      <c r="GF18" s="176" t="n"/>
      <c r="GG18" s="179" t="n"/>
      <c r="GH18" s="181" t="inlineStr">
        <is>
          <t>CITIC Securities (Hong Kong) Limited</t>
        </is>
      </c>
      <c r="GI18" s="183" t="n">
        <v>1</v>
      </c>
      <c r="GJ18" s="183" t="n">
        <v>0</v>
      </c>
      <c r="GK18" s="176" t="n">
        <v>0.032</v>
      </c>
      <c r="GL18" s="176" t="n"/>
      <c r="GM18" s="176" t="n"/>
      <c r="GN18" s="183" t="n">
        <v>0</v>
      </c>
      <c r="GO18" s="183" t="n">
        <v>0</v>
      </c>
      <c r="GP18" s="183" t="n">
        <v>0</v>
      </c>
      <c r="GQ18" s="183" t="n">
        <v>18</v>
      </c>
      <c r="GR18" s="183" t="n">
        <v>1</v>
      </c>
      <c r="GS18" s="181" t="inlineStr">
        <is>
          <t>POST_FINI</t>
        </is>
      </c>
      <c r="GT18" s="181" t="inlineStr">
        <is>
          <t>POST_2025_REFORM</t>
        </is>
      </c>
    </row>
    <row r="19" ht="85" customFormat="1" customHeight="1" s="11">
      <c r="A19" s="43" t="n">
        <v>88</v>
      </c>
      <c r="B19" s="47" t="inlineStr">
        <is>
          <t>2698.HK</t>
        </is>
      </c>
      <c r="C19" s="44" t="inlineStr">
        <is>
          <t>Softcare Limited</t>
        </is>
      </c>
      <c r="D19" s="130" t="n">
        <v>45961</v>
      </c>
      <c r="E19" s="48" t="n">
        <v>45971</v>
      </c>
      <c r="F19" s="43" t="inlineStr">
        <is>
          <t>China International Capital Corporation
Hong Kong Securities Limited/
CITIC Securities (Hong Kong) Limited/
GF Capital (Hong Kong) Limited</t>
        </is>
      </c>
      <c r="G19" s="43" t="inlineStr">
        <is>
          <t>Deloitte Touche Tohmatsu</t>
        </is>
      </c>
      <c r="H19" s="43" t="n"/>
      <c r="I19" s="131" t="n">
        <v>238116080</v>
      </c>
      <c r="J19" s="148" t="n">
        <v>2500218840</v>
      </c>
      <c r="K19" s="133" t="n">
        <v>26.2</v>
      </c>
      <c r="L19" t="n">
        <v>605884000</v>
      </c>
      <c r="M19" s="67" t="n">
        <v>90884000</v>
      </c>
      <c r="N19" t="n">
        <v>515000000</v>
      </c>
      <c r="O19" t="n">
        <v>515000000</v>
      </c>
      <c r="P19" t="n">
        <v>0</v>
      </c>
      <c r="Q19" t="n">
        <v>90884000</v>
      </c>
      <c r="R19" s="67" t="n">
        <v>81795600</v>
      </c>
      <c r="S19" s="67" t="n">
        <v>9088400</v>
      </c>
      <c r="T19" s="147" t="n">
        <v>26.2</v>
      </c>
      <c r="U19" s="147" t="n">
        <v>24.2</v>
      </c>
      <c r="V19" s="169" t="n">
        <v>0.039683</v>
      </c>
      <c r="W19" s="169" t="n">
        <v>0.079365</v>
      </c>
      <c r="X19" s="170" t="inlineStr">
        <is>
          <t>At high</t>
        </is>
      </c>
      <c r="Y19" s="26" t="inlineStr">
        <is>
          <t>US$</t>
        </is>
      </c>
      <c r="Z19" s="137" t="n">
        <v>244687000</v>
      </c>
      <c r="AA19" s="137" t="n">
        <v>254066000</v>
      </c>
      <c r="AB19" s="137" t="n">
        <v>317133000</v>
      </c>
      <c r="AC19" s="137" t="n">
        <v>85398000</v>
      </c>
      <c r="AD19" s="137" t="n">
        <v>139886000</v>
      </c>
      <c r="AE19" s="137" t="n">
        <v>170865000</v>
      </c>
      <c r="AF19" s="137" t="n">
        <v>159289000</v>
      </c>
      <c r="AG19" s="137" t="n">
        <v>114180000</v>
      </c>
      <c r="AH19" s="137" t="n">
        <v>146268000</v>
      </c>
      <c r="AI19" s="137" t="n">
        <v>411369000</v>
      </c>
      <c r="AJ19" s="137" t="n">
        <v>454389000</v>
      </c>
      <c r="AK19" s="137" t="n">
        <v>483930000</v>
      </c>
      <c r="AL19" s="137" t="n">
        <v>76488000</v>
      </c>
      <c r="AM19" s="137" t="n">
        <v>113081000</v>
      </c>
      <c r="AN19" s="137" t="n">
        <v>110841000</v>
      </c>
      <c r="AO19" s="137" t="n">
        <v>64680000</v>
      </c>
      <c r="AP19" s="137" t="n">
        <v>95111000</v>
      </c>
      <c r="AQ19" s="137" t="n">
        <v>93309000</v>
      </c>
      <c r="AR19" s="142" t="n">
        <v>0.025</v>
      </c>
      <c r="AS19" s="142" t="n">
        <v>0.025</v>
      </c>
      <c r="AT19" s="84" t="n">
        <v>0.15</v>
      </c>
      <c r="AU19" s="51" t="inlineStr">
        <is>
          <t>Multinational hygiene product corporation engaged in the development, manufacturing and sales of baby and feminine hygiene products (baby diapers, baby pants, sanitary pads and wet wipes) focusing on Emerging Markets in Africa, Latin America and Central Asia</t>
        </is>
      </c>
      <c r="AV19" s="51" t="inlineStr">
        <is>
          <t>Main Board (Listing Rules Chapter 8)</t>
        </is>
      </c>
      <c r="AW19" s="136" t="n">
        <v>45777</v>
      </c>
      <c r="AX19" s="137" t="n">
        <v>32332000</v>
      </c>
      <c r="AY19" s="117" t="n">
        <v>84526000</v>
      </c>
      <c r="AZ19" s="117" t="n">
        <v>257000</v>
      </c>
      <c r="BA19" s="117" t="inlineStr">
        <is>
          <t>NaN</t>
        </is>
      </c>
      <c r="BB19" s="138" t="n">
        <v>0.063</v>
      </c>
      <c r="BC19" s="139" t="n">
        <v>0.333333</v>
      </c>
      <c r="BD19" s="80" t="n">
        <v>1</v>
      </c>
      <c r="BE19" s="161" t="inlineStr">
        <is>
          <t>NaN</t>
        </is>
      </c>
      <c r="BF19" s="161" t="inlineStr">
        <is>
          <t>NaN</t>
        </is>
      </c>
      <c r="BG19" s="161" t="inlineStr">
        <is>
          <t>NaN</t>
        </is>
      </c>
      <c r="BH19" s="161" t="n">
        <v>1</v>
      </c>
      <c r="BI19" s="161" t="inlineStr">
        <is>
          <t>NaN</t>
        </is>
      </c>
      <c r="BJ19" s="162" t="inlineStr">
        <is>
          <t>International Finance Corporation</t>
        </is>
      </c>
      <c r="BK19" s="163" t="n">
        <v>0.0291</v>
      </c>
      <c r="BL19" s="161" t="inlineStr">
        <is>
          <t>NaN</t>
        </is>
      </c>
      <c r="BM19" s="164" t="inlineStr">
        <is>
          <t>Pre-IPO Investment (subscription agreement dated February 18, 2025)</t>
        </is>
      </c>
      <c r="BN19" s="165" t="n">
        <v>0.7</v>
      </c>
      <c r="BO19" s="51" t="inlineStr">
        <is>
          <t>Natural person</t>
        </is>
      </c>
      <c r="BP19" s="135" t="n">
        <v>0.5475</v>
      </c>
      <c r="BQ19" s="135" t="n">
        <v>0.5475</v>
      </c>
      <c r="BR19" s="137" t="n">
        <v>33133000</v>
      </c>
      <c r="BS19" s="51" t="inlineStr">
        <is>
          <t>NA</t>
        </is>
      </c>
      <c r="BT19" s="142" t="n">
        <v>0</v>
      </c>
      <c r="BU19" s="60" t="inlineStr">
        <is>
          <t>Main Board</t>
        </is>
      </c>
      <c r="BV19" s="89" t="inlineStr">
        <is>
          <t>Ordinary Shares of US$0.0001 each</t>
        </is>
      </c>
      <c r="BW19" s="61" t="n">
        <v>0</v>
      </c>
      <c r="BX19" s="77" t="n">
        <v>0</v>
      </c>
      <c r="BY19" s="77" t="n">
        <v>0</v>
      </c>
      <c r="BZ19" s="78" t="n">
        <v>0</v>
      </c>
      <c r="CA19" s="60" t="inlineStr">
        <is>
          <t>253020</t>
        </is>
      </c>
      <c r="CB19" s="76" t="inlineStr">
        <is>
          <t>HSICS (Hang Seng Industry Classification System) 2026</t>
        </is>
      </c>
      <c r="CC19" s="140" t="n">
        <v>44609</v>
      </c>
      <c r="CD19" s="171" t="n">
        <v>3.73</v>
      </c>
      <c r="CE19" s="76" t="inlineStr">
        <is>
          <t>Cayman Islands</t>
        </is>
      </c>
      <c r="CF19" s="89" t="inlineStr">
        <is>
          <t>Hong Kong</t>
        </is>
      </c>
      <c r="CG19" s="91" t="n">
        <v>1000</v>
      </c>
      <c r="CH19" s="60" t="inlineStr">
        <is>
          <t>IFRS Accounting Standards</t>
        </is>
      </c>
      <c r="CI19" s="141" t="n">
        <v>44927</v>
      </c>
      <c r="CJ19" s="141" t="n">
        <v>45291</v>
      </c>
      <c r="CK19" s="141" t="n">
        <v>45292</v>
      </c>
      <c r="CL19" s="141" t="n">
        <v>45657</v>
      </c>
      <c r="CM19" s="141" t="n">
        <v>45658</v>
      </c>
      <c r="CN19" s="64" t="n">
        <v>161310000</v>
      </c>
      <c r="CO19" s="64" t="n">
        <v>36947000</v>
      </c>
      <c r="CP19" s="64" t="n">
        <v>31103000</v>
      </c>
      <c r="CQ19" s="141" t="n">
        <v>45961</v>
      </c>
      <c r="CR19" s="141" t="n">
        <v>45966</v>
      </c>
      <c r="CS19" s="63" t="n">
        <v>605884000</v>
      </c>
      <c r="CT19" s="64" t="n">
        <v>54209000</v>
      </c>
      <c r="CU19" s="64" t="n">
        <v>7980000</v>
      </c>
      <c r="CV19" s="59" t="inlineStr">
        <is>
          <t>Unqualified opinion</t>
        </is>
      </c>
      <c r="CW19" s="64" t="n">
        <v>149300000</v>
      </c>
      <c r="CX19" s="51" t="inlineStr">
        <is>
          <t>BA Sprout Limited; BA HM Limited; Arc Avenue Asset Management Pte. Ltd.; Arcane Nexus Limited; Beijing Shunao Business Information Consulting Partnership (Limited Partnership); CDH Emerging Markets Fund II, L.P.; HCEP Master Fund and HCEP Long Only Master Fund; NewTrails Capital L.P.; NEWTRAILS FOREST L.P.; China Southern Asset Management Co., Ltd.; Fullgoal Fund Management Co., Ltd.; Fullgoal Asset Management (HK) Limited; E Fund Management Co., Ltd.; E Fund Management (Hong Kong) Co., Ltd.; Charisma Mega Limited; TruMed Healthcare Master Fund; TruMed Health Innovation Fund LP; Qihui Runjin (Qingdao) Private Equity Investment Fund Partnership (Limited Partnership); China Asset Management (Hong Kong) Limited; Jane Street Asia Trading Limited</t>
        </is>
      </c>
      <c r="CY19" s="142" t="n">
        <v>0.4534</v>
      </c>
      <c r="CZ19" s="136" t="n">
        <v>46152</v>
      </c>
      <c r="DA19" s="143" t="n">
        <v>1813.77</v>
      </c>
      <c r="DB19" s="63" t="n">
        <v>294053</v>
      </c>
      <c r="DC19" s="63" t="n">
        <v>16483610576</v>
      </c>
      <c r="DD19" s="59" t="inlineStr">
        <is>
          <t>Subscription level 1,813.77 times (Hong Kong Public Offering)</t>
        </is>
      </c>
      <c r="DE19" s="141" t="n">
        <v>45967</v>
      </c>
      <c r="DF19" s="141" t="n">
        <v>45968</v>
      </c>
      <c r="DG19" s="63" t="n">
        <v>90884000</v>
      </c>
      <c r="DH19" s="63" t="n">
        <v>9088400</v>
      </c>
      <c r="DI19" s="63" t="n">
        <v>81795600</v>
      </c>
      <c r="DJ19" s="63" t="n">
        <v>13632600</v>
      </c>
      <c r="DK19" s="169" t="n">
        <v>1</v>
      </c>
      <c r="DL19" s="59" t="inlineStr">
        <is>
          <t>No reallocation: no. of Offer Shares reallocated from the International Offering = 0; final no. of Offer Shares under the Hong Kong Public Offering = 9,088,400 (10% of the Global Offering)</t>
        </is>
      </c>
      <c r="DM19" s="144" t="n">
        <v>2228720000</v>
      </c>
      <c r="DN19" s="142" t="n">
        <v>0.3628</v>
      </c>
      <c r="DO19" s="51" t="n">
        <v>605884000</v>
      </c>
      <c r="DP19" s="142" t="n">
        <v>0.082</v>
      </c>
      <c r="DQ19" s="59" t="inlineStr">
        <is>
          <t>Total issued Shares upon Listing (before exercise of the Over-allotment Option) = 605,884,000; numerator = Global Offering Shares (90,884,000) less Cornerstone Investor allocation (41,207,400)</t>
        </is>
      </c>
      <c r="DR19" s="63" t="n">
        <v>605884000</v>
      </c>
      <c r="DS19" s="142" t="n">
        <v>-0.01277814</v>
      </c>
      <c r="DT19" s="80" t="n">
        <v>26</v>
      </c>
      <c r="DU19" s="142" t="n">
        <v>0.0341536</v>
      </c>
      <c r="DV19" s="144" t="n">
        <v>54683000000</v>
      </c>
      <c r="DW19" s="145" t="n">
        <v>33</v>
      </c>
      <c r="DX19" s="169" t="n">
        <v>0.259542</v>
      </c>
      <c r="DY19" s="172" t="n">
        <v>618011200</v>
      </c>
      <c r="DZ19" s="146" t="n">
        <v>34.98</v>
      </c>
      <c r="EA19" s="146" t="n">
        <v>36.8</v>
      </c>
      <c r="EB19" s="146" t="n">
        <v>33</v>
      </c>
      <c r="EC19" s="63" t="n">
        <v>42610340</v>
      </c>
      <c r="ED19" s="169" t="n">
        <v>0.468843</v>
      </c>
      <c r="EE19" s="64" t="n"/>
      <c r="EF19" s="60" t="inlineStr">
        <is>
          <t>Mechanism B</t>
        </is>
      </c>
      <c r="EG19" s="59" t="inlineStr">
        <is>
          <t>FINI (from 22/11/2023); 2025-08-04 pricing reform (Mechanism A/B; six-month cornerstone lock-up retained); this IPO: Mechanism B</t>
        </is>
      </c>
      <c r="EH19" t="inlineStr">
        <is>
          <t>乐舒适有限公司</t>
        </is>
      </c>
      <c r="EI19" s="174" t="inlineStr">
        <is>
          <t>Active</t>
        </is>
      </c>
      <c r="EJ19" s="175" t="n">
        <v>28.637</v>
      </c>
      <c r="EK19" s="176" t="n">
        <v>-0.095969</v>
      </c>
      <c r="EL19" s="176" t="n">
        <v>0.138665</v>
      </c>
      <c r="EM19" s="176" t="n">
        <v>-0.021163</v>
      </c>
      <c r="EN19" s="176" t="n">
        <v>-0.042785</v>
      </c>
      <c r="EO19" s="179" t="n">
        <v>0.9236</v>
      </c>
      <c r="EP19" s="179" t="n">
        <v>0.9444</v>
      </c>
      <c r="EQ19" s="178" t="n">
        <v>112620944</v>
      </c>
      <c r="ER19" s="175" t="n">
        <v>25.877</v>
      </c>
      <c r="ES19" s="176" t="n">
        <v>-0.183098</v>
      </c>
      <c r="ET19" s="176" t="n">
        <v>0.028922</v>
      </c>
      <c r="EU19" s="176" t="n">
        <v>-0.009089</v>
      </c>
      <c r="EV19" s="176" t="n">
        <v>-0.136785</v>
      </c>
      <c r="EW19" s="179" t="n">
        <v>0.8244</v>
      </c>
      <c r="EX19" s="179" t="n">
        <v>0.9463</v>
      </c>
      <c r="EY19" s="178" t="n">
        <v>30832763</v>
      </c>
      <c r="EZ19" s="176" t="n">
        <v>0.020734</v>
      </c>
      <c r="FA19" s="176" t="n"/>
      <c r="FB19" s="179" t="n"/>
      <c r="FC19" s="176" t="n"/>
      <c r="FD19" s="179" t="n"/>
      <c r="FE19" s="174" t="inlineStr">
        <is>
          <t>Standard</t>
        </is>
      </c>
      <c r="FF19" s="181" t="n"/>
      <c r="FG19" s="185" t="n"/>
      <c r="FH19" s="183" t="n"/>
      <c r="FI19" s="178" t="n"/>
      <c r="FJ19" s="176" t="n"/>
      <c r="FK19" s="185" t="n"/>
      <c r="FL19" s="178" t="n"/>
      <c r="FM19" s="176" t="n"/>
      <c r="FN19" s="176" t="n"/>
      <c r="FO19" s="176" t="n"/>
      <c r="FP19" s="176" t="n"/>
      <c r="FQ19" s="176" t="n">
        <v>-0.06755700000000001</v>
      </c>
      <c r="FR19" s="179" t="n">
        <v>0.9351</v>
      </c>
      <c r="FS19" s="176" t="n">
        <v>-0.095969</v>
      </c>
      <c r="FT19" s="179" t="n">
        <v>0.9236</v>
      </c>
      <c r="FU19" s="176" t="n">
        <v>-0.073239</v>
      </c>
      <c r="FV19" s="179" t="n">
        <v>0.9086</v>
      </c>
      <c r="FW19" s="179" t="n">
        <v>1.0057</v>
      </c>
      <c r="FX19" s="178" t="n">
        <v>50173352.97</v>
      </c>
      <c r="FY19" s="186" t="n">
        <v>0.0009341157024793389</v>
      </c>
      <c r="FZ19" s="183" t="n">
        <v>0</v>
      </c>
      <c r="GA19" s="176" t="n">
        <v>0.03659655299445797</v>
      </c>
      <c r="GB19" s="176" t="n">
        <v>0.277363</v>
      </c>
      <c r="GC19" s="185" t="n"/>
      <c r="GD19" s="185" t="n"/>
      <c r="GE19" s="176" t="n"/>
      <c r="GF19" s="176" t="n"/>
      <c r="GG19" s="179" t="n"/>
      <c r="GH19" s="181" t="inlineStr">
        <is>
          <t>China International Capital Corporation Hong Kong Securities Limited</t>
        </is>
      </c>
      <c r="GI19" s="183" t="n">
        <v>3</v>
      </c>
      <c r="GJ19" s="183" t="n">
        <v>0</v>
      </c>
      <c r="GK19" s="176" t="n">
        <v>0.025</v>
      </c>
      <c r="GL19" s="176" t="n"/>
      <c r="GM19" s="176" t="n"/>
      <c r="GN19" s="183" t="n">
        <v>25</v>
      </c>
      <c r="GO19" s="183" t="n">
        <v>1</v>
      </c>
      <c r="GP19" s="183" t="n">
        <v>0</v>
      </c>
      <c r="GQ19" s="183" t="n">
        <v>1</v>
      </c>
      <c r="GR19" s="183" t="n">
        <v>1</v>
      </c>
      <c r="GS19" s="181" t="inlineStr">
        <is>
          <t>POST_FINI</t>
        </is>
      </c>
      <c r="GT19" s="181" t="inlineStr">
        <is>
          <t>POST_2025_REFORM</t>
        </is>
      </c>
    </row>
    <row r="20" ht="102" customFormat="1" customHeight="1" s="11">
      <c r="A20" s="43" t="n">
        <v>89</v>
      </c>
      <c r="B20" s="47" t="inlineStr">
        <is>
          <t>2579.HK</t>
        </is>
      </c>
      <c r="C20" s="44" t="inlineStr">
        <is>
          <t>CNGR Advanced Material Co., Ltd. - H shares</t>
        </is>
      </c>
      <c r="D20" s="130" t="n">
        <v>45968</v>
      </c>
      <c r="E20" s="48" t="n">
        <v>45978</v>
      </c>
      <c r="F20" s="43" t="inlineStr">
        <is>
          <t>Morgan Stanley Asia Limited/
Huatai Financial Holdings 
(Hong Kong) Limited</t>
        </is>
      </c>
      <c r="G20" s="43" t="inlineStr">
        <is>
          <t>Ernst &amp; Young</t>
        </is>
      </c>
      <c r="H20" s="43" t="n"/>
      <c r="I20" s="131" t="n">
        <v>354368400</v>
      </c>
      <c r="J20" s="148" t="n">
        <v>3189295200</v>
      </c>
      <c r="K20" s="133" t="n">
        <v>34</v>
      </c>
      <c r="L20" t="n">
        <v>1042253858</v>
      </c>
      <c r="M20" s="67" t="n">
        <v>104225400</v>
      </c>
      <c r="N20" t="n">
        <v>938028458</v>
      </c>
      <c r="O20" t="n">
        <v>938028458</v>
      </c>
      <c r="P20" t="n">
        <v>0</v>
      </c>
      <c r="Q20" t="n">
        <v>104225400</v>
      </c>
      <c r="R20" s="67" t="n">
        <v>93802800</v>
      </c>
      <c r="S20" s="67" t="n">
        <v>10422600</v>
      </c>
      <c r="T20" s="147" t="n">
        <v>37.8</v>
      </c>
      <c r="U20" s="147" t="n">
        <v>34</v>
      </c>
      <c r="V20" s="169" t="n">
        <v>-0.052925</v>
      </c>
      <c r="W20" s="169" t="n">
        <v>0.10585</v>
      </c>
      <c r="X20" s="170" t="inlineStr">
        <is>
          <t>At low</t>
        </is>
      </c>
      <c r="Y20" s="26" t="inlineStr">
        <is>
          <t>RMB</t>
        </is>
      </c>
      <c r="Z20" s="137" t="n">
        <v>62010966000</v>
      </c>
      <c r="AA20" s="137" t="n">
        <v>72895179000</v>
      </c>
      <c r="AB20" s="137" t="n">
        <v>74694105000</v>
      </c>
      <c r="AC20" s="137" t="n">
        <v>27923693000</v>
      </c>
      <c r="AD20" s="137" t="n">
        <v>29488567000</v>
      </c>
      <c r="AE20" s="137" t="n">
        <v>29429595000</v>
      </c>
      <c r="AF20" s="137" t="n">
        <v>34087273000</v>
      </c>
      <c r="AG20" s="137" t="n">
        <v>43406612000</v>
      </c>
      <c r="AH20" s="137" t="n">
        <v>45264510000</v>
      </c>
      <c r="AI20" s="137" t="n">
        <v>34273223000</v>
      </c>
      <c r="AJ20" s="137" t="n">
        <v>40222890000</v>
      </c>
      <c r="AK20" s="137" t="n">
        <v>42645094000</v>
      </c>
      <c r="AL20" s="137" t="n">
        <v>2380899000</v>
      </c>
      <c r="AM20" s="137" t="n">
        <v>2022544000</v>
      </c>
      <c r="AN20" s="137" t="n">
        <v>1654106000</v>
      </c>
      <c r="AO20" s="137" t="n">
        <v>2100489000</v>
      </c>
      <c r="AP20" s="137" t="n">
        <v>1787755000</v>
      </c>
      <c r="AQ20" s="137" t="n">
        <v>1411300000</v>
      </c>
      <c r="AR20" s="142" t="n">
        <v>0.014</v>
      </c>
      <c r="AS20" s="142" t="n">
        <v>0.014</v>
      </c>
      <c r="AT20" s="84" t="n">
        <v>0.15</v>
      </c>
      <c r="AU20" s="51" t="inlineStr">
        <is>
          <t>New energy materials — new energy battery materials (cathode active material precursors (pCAM)) and new energy metal products</t>
        </is>
      </c>
      <c r="AV20" s="51" t="inlineStr">
        <is>
          <t>Main Board — H Share listing by a PRC joint stock company under Chapter 19A of the Listing Rules (A+H issuer)</t>
        </is>
      </c>
      <c r="AW20" s="136" t="n">
        <v>45838</v>
      </c>
      <c r="AX20" s="137" t="n">
        <v>1475641000</v>
      </c>
      <c r="AY20" s="117" t="n">
        <v>9645273000</v>
      </c>
      <c r="AZ20" s="117" t="n">
        <v>544764000</v>
      </c>
      <c r="BA20" s="117" t="inlineStr">
        <is>
          <t>NaN</t>
        </is>
      </c>
      <c r="BB20" s="138" t="n">
        <v>0.34</v>
      </c>
      <c r="BC20" s="139" t="n">
        <v>0.5</v>
      </c>
      <c r="BD20" s="80" t="n">
        <v>1</v>
      </c>
      <c r="BE20" s="161" t="inlineStr">
        <is>
          <t>NaN</t>
        </is>
      </c>
      <c r="BF20" s="161" t="n">
        <v>1</v>
      </c>
      <c r="BG20" s="161" t="inlineStr">
        <is>
          <t>NaN</t>
        </is>
      </c>
      <c r="BH20" s="161" t="n">
        <v>1</v>
      </c>
      <c r="BI20" s="161" t="inlineStr">
        <is>
          <t>NaN</t>
        </is>
      </c>
      <c r="BJ20" s="162" t="inlineStr">
        <is>
          <t>Guizhou New Industrialization Development Equity Investment Fund Partnership (Limited Partnership); Hunan Xingxiang Emerging Industry Investment Fund Partnership (Limited Partnership); Shanghai Gaoyi Asset Management Partnership (Limited Partnership); Sunwoda Treasury</t>
        </is>
      </c>
      <c r="BK20" s="163" t="n">
        <v>0.0463</v>
      </c>
      <c r="BL20" s="161" t="inlineStr">
        <is>
          <t>NaN</t>
        </is>
      </c>
      <c r="BM20" s="164" t="inlineStr">
        <is>
          <t>2021 A Share Placement</t>
        </is>
      </c>
      <c r="BN20" s="165" t="inlineStr">
        <is>
          <t>NaN</t>
        </is>
      </c>
      <c r="BO20" s="51" t="inlineStr">
        <is>
          <t>自然人 / Natural person (Mr. Deng and Ms. Wu as a group of Controlling Shareholders)</t>
        </is>
      </c>
      <c r="BP20" s="135" t="n">
        <v>0.5068</v>
      </c>
      <c r="BQ20" s="135" t="n">
        <v>0.5068</v>
      </c>
      <c r="BR20" s="137" t="n">
        <v>29430478000</v>
      </c>
      <c r="BS20" s="51" t="inlineStr">
        <is>
          <t>规模商业化 / Mass commercialisation (global leader ranked first by shipment volume for five consecutive years since 2020)</t>
        </is>
      </c>
      <c r="BT20" s="142" t="n">
        <v>0</v>
      </c>
      <c r="BU20" s="60" t="inlineStr">
        <is>
          <t>Main Board</t>
        </is>
      </c>
      <c r="BV20" s="89" t="inlineStr">
        <is>
          <t>H Shares</t>
        </is>
      </c>
      <c r="BW20" s="61" t="n">
        <v>1</v>
      </c>
      <c r="BX20" s="77" t="n">
        <v>0</v>
      </c>
      <c r="BY20" s="77" t="n">
        <v>0</v>
      </c>
      <c r="BZ20" s="78" t="n">
        <v>0</v>
      </c>
      <c r="CA20" s="60" t="inlineStr">
        <is>
          <t>053040</t>
        </is>
      </c>
      <c r="CB20" s="76" t="inlineStr">
        <is>
          <t>HSICS (Hang Seng Industry Classification System) 2026</t>
        </is>
      </c>
      <c r="CC20" s="140" t="n">
        <v>41897</v>
      </c>
      <c r="CD20" s="171" t="n">
        <v>11.17</v>
      </c>
      <c r="CE20" s="76" t="inlineStr">
        <is>
          <t>PRC</t>
        </is>
      </c>
      <c r="CF20" s="89" t="inlineStr">
        <is>
          <t>Tongren, Guizhou Province, the PRC</t>
        </is>
      </c>
      <c r="CG20" s="91" t="n"/>
      <c r="CH20" s="60" t="inlineStr">
        <is>
          <t>IFRS Accounting Standards (IFRS)</t>
        </is>
      </c>
      <c r="CI20" s="141" t="n">
        <v>44927</v>
      </c>
      <c r="CJ20" s="141" t="n">
        <v>45291</v>
      </c>
      <c r="CK20" s="141" t="n">
        <v>45292</v>
      </c>
      <c r="CL20" s="141" t="n">
        <v>45657</v>
      </c>
      <c r="CM20" s="141" t="n">
        <v>45658</v>
      </c>
      <c r="CN20" s="64" t="n">
        <v>21322547000</v>
      </c>
      <c r="CO20" s="64" t="n">
        <v>827053000</v>
      </c>
      <c r="CP20" s="64" t="n">
        <v>705650000</v>
      </c>
      <c r="CQ20" s="141" t="n">
        <v>45968</v>
      </c>
      <c r="CR20" s="141" t="n">
        <v>45973</v>
      </c>
      <c r="CS20" s="63" t="n">
        <v>104225400</v>
      </c>
      <c r="CT20" s="64" t="n">
        <v>2542523000</v>
      </c>
      <c r="CU20" s="64" t="n">
        <v>1535036000</v>
      </c>
      <c r="CV20" s="59" t="inlineStr">
        <is>
          <t>Unqualified opinion (无保留意见)</t>
        </is>
      </c>
      <c r="CW20" s="64" t="n">
        <v>123400000</v>
      </c>
      <c r="CX20" s="51" t="inlineStr">
        <is>
          <t>Guizhou New Industrialization Development Equity Investment Fund Partnership (Limited Partnership); Pointer Investment (Hong Kong) Limited; CALB Group Co., Ltd.; Dongsheng Pulead Technology and Guotai Junan Investments (Hong Kong) Limited (in connection with Dongsheng Pulead OTC Swaps); NR 1 SP; Shanghai Gaoyi and Huatai Capital Investment Limited (in connection with Gaoyi OTC Swaps); Hunan Xingxiang Emerging Industry Investment Fund Partnership (Limited Partnership); Lens International (HK) Limited; Sunwoda Treasury (Hong Kong) Limited</t>
        </is>
      </c>
      <c r="CY20" s="142" t="n">
        <v>0.4663</v>
      </c>
      <c r="CZ20" s="136" t="n">
        <v>46159</v>
      </c>
      <c r="DA20" s="143" t="n">
        <v>27.9</v>
      </c>
      <c r="DB20" s="63" t="n">
        <v>40241</v>
      </c>
      <c r="DC20" s="63" t="n">
        <v>290779400</v>
      </c>
      <c r="DD20" s="59" t="inlineStr">
        <is>
          <t>Subscription level 27.90 times; Claw-back triggered: No</t>
        </is>
      </c>
      <c r="DE20" s="141" t="n">
        <v>45974</v>
      </c>
      <c r="DF20" s="141" t="n">
        <v>45977</v>
      </c>
      <c r="DG20" s="63" t="n">
        <v>104225400</v>
      </c>
      <c r="DH20" s="63" t="n">
        <v>10422600</v>
      </c>
      <c r="DI20" s="63" t="n">
        <v>93802800</v>
      </c>
      <c r="DJ20" s="63" t="n">
        <v>0</v>
      </c>
      <c r="DK20" s="169" t="n">
        <v>0</v>
      </c>
      <c r="DL20" s="59" t="inlineStr">
        <is>
          <t>Claw-back triggered: No; the Hong Kong Public Offering remained at its initial 10,422,600 Offer Shares (10% of the Global Offering) with no reallocation from the International Offering</t>
        </is>
      </c>
      <c r="DM20" s="144" t="n">
        <v>3432609775</v>
      </c>
      <c r="DN20" s="142" t="n">
        <v>0.1</v>
      </c>
      <c r="DO20" s="51" t="n">
        <v>1042253858</v>
      </c>
      <c r="DP20" s="142" t="n">
        <v>0.0534</v>
      </c>
      <c r="DQ20" s="59" t="inlineStr">
        <is>
          <t>Free float denominator = total issued shares upon listing (col_CZ); numerator = offer shares minus cornerstone allocation</t>
        </is>
      </c>
      <c r="DR20" s="63" t="n">
        <v>1042253858</v>
      </c>
      <c r="DS20" s="142" t="n">
        <v>-0.01280536</v>
      </c>
      <c r="DT20" s="80" t="n">
        <v>32</v>
      </c>
      <c r="DU20" s="142" t="n">
        <v>0.0311845</v>
      </c>
      <c r="DV20" s="144" t="n">
        <v>54072000000</v>
      </c>
      <c r="DW20" s="145" t="n">
        <v>33.96</v>
      </c>
      <c r="DX20" s="169" t="n">
        <v>-0.001176</v>
      </c>
      <c r="DY20" s="172" t="n">
        <v>-4169016</v>
      </c>
      <c r="DZ20" s="146" t="n">
        <v>34</v>
      </c>
      <c r="EA20" s="146" t="n">
        <v>34</v>
      </c>
      <c r="EB20" s="146" t="n">
        <v>32</v>
      </c>
      <c r="EC20" s="63" t="n">
        <v>17061800</v>
      </c>
      <c r="ED20" s="169" t="n">
        <v>0.163701</v>
      </c>
      <c r="EE20" s="64" t="n"/>
      <c r="EF20" s="60" t="inlineStr">
        <is>
          <t>Mechanism B</t>
        </is>
      </c>
      <c r="EG20" s="59" t="inlineStr">
        <is>
          <t>FINI (from 22/11/2023); 2025-08-04 pricing reform (Mechanism A/B; six-month cornerstone lock-up retained); this IPO: Mechanism B</t>
        </is>
      </c>
      <c r="EH20" t="inlineStr">
        <is>
          <t>中伟新材料股份有限公司</t>
        </is>
      </c>
      <c r="EI20" s="174" t="inlineStr">
        <is>
          <t>Active</t>
        </is>
      </c>
      <c r="EJ20" s="175" t="n">
        <v>26.125</v>
      </c>
      <c r="EK20" s="176" t="n">
        <v>-0.210367</v>
      </c>
      <c r="EL20" s="176" t="n">
        <v>-0.211296</v>
      </c>
      <c r="EM20" s="176" t="n">
        <v>-0.015444</v>
      </c>
      <c r="EN20" s="176" t="n">
        <v>-0.020641</v>
      </c>
      <c r="EO20" s="179" t="n">
        <v>0.802</v>
      </c>
      <c r="EP20" s="179" t="n">
        <v>0.8063</v>
      </c>
      <c r="EQ20" s="178" t="n">
        <v>67259016.5</v>
      </c>
      <c r="ER20" s="175" t="n">
        <v>36.105</v>
      </c>
      <c r="ES20" s="176" t="n">
        <v>0.09128</v>
      </c>
      <c r="ET20" s="176" t="n">
        <v>0.08999600000000001</v>
      </c>
      <c r="EU20" s="176" t="n">
        <v>-0.026876</v>
      </c>
      <c r="EV20" s="176" t="n">
        <v>-0.158409</v>
      </c>
      <c r="EW20" s="179" t="n">
        <v>1.1214</v>
      </c>
      <c r="EX20" s="179" t="n">
        <v>1.2967</v>
      </c>
      <c r="EY20" s="178" t="n">
        <v>107893240</v>
      </c>
      <c r="EZ20" s="176" t="n">
        <v>0.19032</v>
      </c>
      <c r="FA20" s="176" t="n"/>
      <c r="FB20" s="179" t="n"/>
      <c r="FC20" s="176" t="n"/>
      <c r="FD20" s="179" t="n"/>
      <c r="FE20" s="174" t="inlineStr">
        <is>
          <t>Standard</t>
        </is>
      </c>
      <c r="FF20" s="181" t="n"/>
      <c r="FG20" s="185" t="n"/>
      <c r="FH20" s="183" t="n"/>
      <c r="FI20" s="178" t="n"/>
      <c r="FJ20" s="176" t="n"/>
      <c r="FK20" s="185" t="n"/>
      <c r="FL20" s="178" t="n"/>
      <c r="FM20" s="176" t="n"/>
      <c r="FN20" s="176" t="n"/>
      <c r="FO20" s="176" t="n"/>
      <c r="FP20" s="176" t="n"/>
      <c r="FQ20" s="176" t="n">
        <v>-0.163216</v>
      </c>
      <c r="FR20" s="179" t="n">
        <v>0.8754</v>
      </c>
      <c r="FS20" s="176" t="n">
        <v>-0.210367</v>
      </c>
      <c r="FT20" s="179" t="n">
        <v>0.802</v>
      </c>
      <c r="FU20" s="176" t="n">
        <v>0.027203</v>
      </c>
      <c r="FV20" s="179" t="n">
        <v>1.0261</v>
      </c>
      <c r="FW20" s="179" t="n">
        <v>1.1347</v>
      </c>
      <c r="FX20" s="178" t="n">
        <v>85882944.69</v>
      </c>
      <c r="FY20" s="186" t="n">
        <v>0.0006480330578512396</v>
      </c>
      <c r="FZ20" s="183" t="n">
        <v>0</v>
      </c>
      <c r="GA20" s="176" t="n">
        <v>0.04313168948061351</v>
      </c>
      <c r="GB20" s="176" t="n">
        <v>0.260056</v>
      </c>
      <c r="GC20" s="185" t="n"/>
      <c r="GD20" s="185" t="n"/>
      <c r="GE20" s="176" t="n"/>
      <c r="GF20" s="176" t="n"/>
      <c r="GG20" s="179" t="n"/>
      <c r="GH20" s="181" t="inlineStr">
        <is>
          <t>Morgan Stanley Asia Limited</t>
        </is>
      </c>
      <c r="GI20" s="183" t="n">
        <v>2</v>
      </c>
      <c r="GJ20" s="183" t="n">
        <v>0</v>
      </c>
      <c r="GK20" s="176" t="n">
        <v>0.014</v>
      </c>
      <c r="GL20" s="176" t="n"/>
      <c r="GM20" s="176" t="n"/>
      <c r="GN20" s="183" t="n">
        <v>10</v>
      </c>
      <c r="GO20" s="183" t="n">
        <v>1</v>
      </c>
      <c r="GP20" s="183" t="n">
        <v>0</v>
      </c>
      <c r="GQ20" s="183" t="n">
        <v>4</v>
      </c>
      <c r="GR20" s="183" t="n">
        <v>1</v>
      </c>
      <c r="GS20" s="181" t="inlineStr">
        <is>
          <t>POST_FINI</t>
        </is>
      </c>
      <c r="GT20" s="181" t="inlineStr">
        <is>
          <t>POST_2025_REFORM</t>
        </is>
      </c>
    </row>
    <row r="21" ht="51" customFormat="1" customHeight="1" s="11">
      <c r="A21" s="43" t="n">
        <v>90</v>
      </c>
      <c r="B21" s="47" t="inlineStr">
        <is>
          <t>2788.HK</t>
        </is>
      </c>
      <c r="C21" s="44" t="inlineStr">
        <is>
          <t>Chuangxin Industries Holdings Limited</t>
        </is>
      </c>
      <c r="D21" s="130" t="n">
        <v>45975</v>
      </c>
      <c r="E21" s="48" t="n">
        <v>45985</v>
      </c>
      <c r="F21" s="43" t="inlineStr">
        <is>
          <t>China International Capital Corporation
Hong Kong Securities Limited/
Huatai Financial Holdings 
(Hong Kong) Limited</t>
        </is>
      </c>
      <c r="G21" s="43" t="inlineStr">
        <is>
          <t>Deloitte Touche Tohmatsu</t>
        </is>
      </c>
      <c r="H21" s="43" t="n"/>
      <c r="I21" s="131" t="n">
        <v>549500000</v>
      </c>
      <c r="J21" s="148" t="n">
        <v>5769750000</v>
      </c>
      <c r="K21" s="133" t="n">
        <v>10.99</v>
      </c>
      <c r="L21" t="n">
        <v>2000000000</v>
      </c>
      <c r="M21" s="67" t="n">
        <v>500000000</v>
      </c>
      <c r="N21" t="n">
        <v>1500000000</v>
      </c>
      <c r="O21" t="n">
        <v>1500000000</v>
      </c>
      <c r="P21" t="n">
        <v>0</v>
      </c>
      <c r="Q21" t="n">
        <v>500000000</v>
      </c>
      <c r="R21" s="67" t="n">
        <v>450000000</v>
      </c>
      <c r="S21" s="67" t="n">
        <v>50000000</v>
      </c>
      <c r="T21" s="147" t="n">
        <v>10.99</v>
      </c>
      <c r="U21" s="147" t="n">
        <v>10.18</v>
      </c>
      <c r="V21" s="169" t="n">
        <v>0.038262</v>
      </c>
      <c r="W21" s="169" t="n">
        <v>0.07652299999999999</v>
      </c>
      <c r="X21" s="170" t="inlineStr">
        <is>
          <t>At high</t>
        </is>
      </c>
      <c r="Y21" s="26" t="inlineStr">
        <is>
          <t>RMB</t>
        </is>
      </c>
      <c r="Z21" s="137" t="n">
        <v>19553450000</v>
      </c>
      <c r="AA21" s="137" t="n">
        <v>18319817000</v>
      </c>
      <c r="AB21" s="137" t="n">
        <v>20943206000</v>
      </c>
      <c r="AC21" s="137" t="n">
        <v>3448870000</v>
      </c>
      <c r="AD21" s="137" t="n">
        <v>2326268000</v>
      </c>
      <c r="AE21" s="137" t="n">
        <v>3181773000</v>
      </c>
      <c r="AF21" s="137" t="n">
        <v>16104580000</v>
      </c>
      <c r="AG21" s="137" t="n">
        <v>15993549000</v>
      </c>
      <c r="AH21" s="137" t="n">
        <v>17761433000</v>
      </c>
      <c r="AI21" s="137" t="n">
        <v>13489726000</v>
      </c>
      <c r="AJ21" s="137" t="n">
        <v>13814657000</v>
      </c>
      <c r="AK21" s="137" t="n">
        <v>17312462400</v>
      </c>
      <c r="AL21" s="137" t="n">
        <v>1047659000</v>
      </c>
      <c r="AM21" s="137" t="n">
        <v>1272492000</v>
      </c>
      <c r="AN21" s="137" t="n">
        <v>2485550400</v>
      </c>
      <c r="AO21" s="137" t="n">
        <v>912902000</v>
      </c>
      <c r="AP21" s="137" t="n">
        <v>1080632000</v>
      </c>
      <c r="AQ21" s="137" t="n">
        <v>2053082400</v>
      </c>
      <c r="AR21" s="142" t="n">
        <v>0.015</v>
      </c>
      <c r="AS21" s="142" t="n">
        <v>0.015</v>
      </c>
      <c r="AT21" s="84" t="n">
        <v>0.15</v>
      </c>
      <c r="AU21" s="51" t="inlineStr">
        <is>
          <t>Production and sales of electrolytic aluminum and alumina</t>
        </is>
      </c>
      <c r="AV21" s="51" t="inlineStr">
        <is>
          <t>Main Board of the Stock Exchange (Chapter 8; not Chapter 18A/18C)</t>
        </is>
      </c>
      <c r="AW21" s="136" t="n">
        <v>45808</v>
      </c>
      <c r="AX21" s="137" t="n">
        <v>832863000</v>
      </c>
      <c r="AY21" s="117" t="n">
        <v>470857000</v>
      </c>
      <c r="AZ21" s="117" t="inlineStr">
        <is>
          <t>NaN</t>
        </is>
      </c>
      <c r="BA21" s="117" t="inlineStr">
        <is>
          <t>NaN</t>
        </is>
      </c>
      <c r="BB21" s="138" t="n">
        <v>0.797</v>
      </c>
      <c r="BC21" s="139" t="n">
        <v>0.416667</v>
      </c>
      <c r="BD21" s="80" t="inlineStr">
        <is>
          <t>NaN</t>
        </is>
      </c>
      <c r="BE21" s="161" t="inlineStr">
        <is>
          <t>NaN</t>
        </is>
      </c>
      <c r="BF21" s="161" t="inlineStr">
        <is>
          <t>NaN</t>
        </is>
      </c>
      <c r="BG21" s="161" t="inlineStr">
        <is>
          <t>NaN</t>
        </is>
      </c>
      <c r="BH21" s="161" t="inlineStr">
        <is>
          <t>NaN</t>
        </is>
      </c>
      <c r="BI21" s="161" t="inlineStr">
        <is>
          <t>NaN</t>
        </is>
      </c>
      <c r="BJ21" s="162" t="inlineStr">
        <is>
          <t>NA</t>
        </is>
      </c>
      <c r="BK21" s="163" t="inlineStr">
        <is>
          <t>NaN</t>
        </is>
      </c>
      <c r="BL21" s="161" t="inlineStr">
        <is>
          <t>NaN</t>
        </is>
      </c>
      <c r="BM21" s="164" t="inlineStr">
        <is>
          <t>NA</t>
        </is>
      </c>
      <c r="BN21" s="165" t="inlineStr">
        <is>
          <t>NaN</t>
        </is>
      </c>
      <c r="BO21" s="51" t="inlineStr">
        <is>
          <t>Natural person (founder Mr. Cui Lixin)</t>
        </is>
      </c>
      <c r="BP21" s="135" t="n">
        <v>0.75</v>
      </c>
      <c r="BQ21" s="135" t="n">
        <v>0.75</v>
      </c>
      <c r="BR21" s="137" t="n">
        <v>12521400000</v>
      </c>
      <c r="BS21" s="51" t="inlineStr">
        <is>
          <t>Mass commercialization (established, fully-operating production capacity)</t>
        </is>
      </c>
      <c r="BT21" s="142" t="n">
        <v>0</v>
      </c>
      <c r="BU21" s="60" t="inlineStr">
        <is>
          <t>Main Board</t>
        </is>
      </c>
      <c r="BV21" s="89" t="inlineStr">
        <is>
          <t>Ordinary Shares</t>
        </is>
      </c>
      <c r="BW21" s="61" t="n">
        <v>0</v>
      </c>
      <c r="BX21" s="77" t="n">
        <v>0</v>
      </c>
      <c r="BY21" s="77" t="n">
        <v>0</v>
      </c>
      <c r="BZ21" s="78" t="n">
        <v>0</v>
      </c>
      <c r="CA21" s="60" t="inlineStr">
        <is>
          <t>052030</t>
        </is>
      </c>
      <c r="CB21" s="76" t="inlineStr">
        <is>
          <t>HSICS (Hang Seng Industry Classification System) 2026</t>
        </is>
      </c>
      <c r="CC21" s="140" t="n">
        <v>45111</v>
      </c>
      <c r="CD21" s="171" t="n">
        <v>2.39</v>
      </c>
      <c r="CE21" s="76" t="inlineStr">
        <is>
          <t>Cayman Islands</t>
        </is>
      </c>
      <c r="CF21" s="89" t="inlineStr">
        <is>
          <t>Hong Kong (principal place of business); production in Inner Mongolia and Shandong, PRC</t>
        </is>
      </c>
      <c r="CG21" s="91" t="n"/>
      <c r="CH21" s="60" t="inlineStr">
        <is>
          <t>IFRS Accounting Standards</t>
        </is>
      </c>
      <c r="CI21" s="141" t="n">
        <v>44927</v>
      </c>
      <c r="CJ21" s="141" t="n">
        <v>45291</v>
      </c>
      <c r="CK21" s="141" t="n">
        <v>45292</v>
      </c>
      <c r="CL21" s="141" t="n">
        <v>45657</v>
      </c>
      <c r="CM21" s="141" t="n">
        <v>45658</v>
      </c>
      <c r="CN21" s="64" t="n">
        <v>7213526000</v>
      </c>
      <c r="CO21" s="64" t="n">
        <v>1035646000</v>
      </c>
      <c r="CP21" s="64" t="n">
        <v>855451000</v>
      </c>
      <c r="CQ21" s="141" t="n">
        <v>45975</v>
      </c>
      <c r="CR21" s="141" t="n">
        <v>45980</v>
      </c>
      <c r="CS21" s="63" t="n">
        <v>2000000000</v>
      </c>
      <c r="CT21" s="64" t="n">
        <v>1432661000</v>
      </c>
      <c r="CU21" s="64" t="n">
        <v>1301498000</v>
      </c>
      <c r="CV21" s="59" t="inlineStr">
        <is>
          <t>Unqualified / true and fair view opinion</t>
        </is>
      </c>
      <c r="CW21" s="64" t="n">
        <v>176800000</v>
      </c>
      <c r="CX21" s="51" t="inlineStr">
        <is>
          <t>HHLR Advisors, Ltd.; China Hongqiao Group Limited; Taikang Life Insurance Co., Ltd; Glencore International AG; Mercuria Holdings (Singapore) Pte. Ltd.; Greenwoods Asset Management Hong Kong Limited; Shanghai Greenwoods Asset Management Co., Ltd and CICC Financial Trading Limited; TURQUOISE HIME, L.P.; Investcorp Verdant Holdings Limited; CPIC Investment Management (H.K.) Company Limited; GF Management Co., Ltd. and GF International Investment Management Limited; Fullgoal Asset Management (HK) Limited and Fullgoal Fund Management Co., Ltd.; Integrated Core Strategies (Asia) Pte. Ltd.; Jane Street Asia Trading Limited; Polymer Capital Management (HK) Limited; Pointer Investment (H.K.) Ltd.; Brilliant Partners Fund LP and China Core Fund; Cephei Capital Management (Hong Kong) Limited</t>
        </is>
      </c>
      <c r="CY21" s="142" t="n">
        <v>0.4966</v>
      </c>
      <c r="CZ21" s="136" t="n">
        <v>46166</v>
      </c>
      <c r="DA21" s="143" t="n">
        <v>447.2</v>
      </c>
      <c r="DB21" s="63" t="n">
        <v>145228</v>
      </c>
      <c r="DC21" s="63" t="n">
        <v>22359787500</v>
      </c>
      <c r="DD21" s="59" t="inlineStr">
        <is>
          <t>Subscription level 447.20 times</t>
        </is>
      </c>
      <c r="DE21" s="141" t="n">
        <v>45981</v>
      </c>
      <c r="DF21" s="141" t="n">
        <v>45982</v>
      </c>
      <c r="DG21" s="63" t="n">
        <v>500000000</v>
      </c>
      <c r="DH21" s="63" t="n">
        <v>50000000</v>
      </c>
      <c r="DI21" s="63" t="n">
        <v>450000000</v>
      </c>
      <c r="DJ21" s="63" t="n">
        <v>75000000</v>
      </c>
      <c r="DK21" s="169" t="n">
        <v>1</v>
      </c>
      <c r="DL21" s="59" t="inlineStr">
        <is>
          <t>No claw-back: no Offer Shares reallocated between the International Offer and the Public Offer (both claw-back lines marked N/A)</t>
        </is>
      </c>
      <c r="DM21" s="144" t="n">
        <v>5312800000</v>
      </c>
      <c r="DN21" s="142" t="n">
        <v>0.25</v>
      </c>
      <c r="DO21" s="51" t="n">
        <v>2000000000</v>
      </c>
      <c r="DP21" s="142" t="n">
        <v>0.1259</v>
      </c>
      <c r="DQ21" s="59" t="inlineStr">
        <is>
          <t>Free float denominator = total issued shares upon listing (col_CZ); numerator = offer shares minus cornerstone allocation</t>
        </is>
      </c>
      <c r="DR21" s="63" t="n">
        <v>2000000000</v>
      </c>
      <c r="DS21" s="142" t="n">
        <v>0.04486307</v>
      </c>
      <c r="DT21" s="80" t="n">
        <v>31</v>
      </c>
      <c r="DU21" s="142" t="n">
        <v>0.0309756</v>
      </c>
      <c r="DV21" s="144" t="n">
        <v>54090000000</v>
      </c>
      <c r="DW21" s="145" t="n">
        <v>14.59</v>
      </c>
      <c r="DX21" s="169" t="n">
        <v>0.327571</v>
      </c>
      <c r="DY21" s="172" t="n">
        <v>1800000000</v>
      </c>
      <c r="DZ21" s="146" t="n">
        <v>15.2</v>
      </c>
      <c r="EA21" s="146" t="n">
        <v>15.8</v>
      </c>
      <c r="EB21" s="146" t="n">
        <v>14.18</v>
      </c>
      <c r="EC21" s="63" t="n">
        <v>170339680</v>
      </c>
      <c r="ED21" s="169" t="n">
        <v>0.340679</v>
      </c>
      <c r="EE21" s="64" t="n"/>
      <c r="EF21" s="60" t="inlineStr">
        <is>
          <t>Mechanism B</t>
        </is>
      </c>
      <c r="EG21" s="59" t="inlineStr">
        <is>
          <t>FINI (from 22/11/2023); 2025-08-04 pricing reform (Mechanism A/B; six-month cornerstone lock-up retained); this IPO: Mechanism B</t>
        </is>
      </c>
      <c r="EH21" t="inlineStr">
        <is>
          <t>创新实业集团有限公司</t>
        </is>
      </c>
      <c r="EI21" s="174" t="inlineStr">
        <is>
          <t>Active</t>
        </is>
      </c>
      <c r="EJ21" s="175" t="n">
        <v>18.48</v>
      </c>
      <c r="EK21" s="176" t="n">
        <v>0.337192</v>
      </c>
      <c r="EL21" s="176" t="n">
        <v>0.775217</v>
      </c>
      <c r="EM21" s="176" t="n">
        <v>-0.00101</v>
      </c>
      <c r="EN21" s="176" t="n">
        <v>-0.011995</v>
      </c>
      <c r="EO21" s="179" t="n">
        <v>1.3385</v>
      </c>
      <c r="EP21" s="179" t="n">
        <v>1.3534</v>
      </c>
      <c r="EQ21" s="178" t="n">
        <v>310180874</v>
      </c>
      <c r="ER21" s="175" t="n">
        <v>21.34</v>
      </c>
      <c r="ES21" s="176" t="n">
        <v>0.544139</v>
      </c>
      <c r="ET21" s="176" t="n">
        <v>1.049953</v>
      </c>
      <c r="EU21" s="176" t="n">
        <v>-0.004552</v>
      </c>
      <c r="EV21" s="176" t="n">
        <v>-0.107957</v>
      </c>
      <c r="EW21" s="179" t="n">
        <v>1.5512</v>
      </c>
      <c r="EX21" s="179" t="n">
        <v>1.731</v>
      </c>
      <c r="EY21" s="178" t="n">
        <v>214038916.5</v>
      </c>
      <c r="EZ21" s="176" t="n">
        <v>0.08683100000000001</v>
      </c>
      <c r="FA21" s="176" t="n"/>
      <c r="FB21" s="179" t="n"/>
      <c r="FC21" s="176" t="n"/>
      <c r="FD21" s="179" t="n"/>
      <c r="FE21" s="174" t="inlineStr">
        <is>
          <t>Standard</t>
        </is>
      </c>
      <c r="FF21" s="181" t="n"/>
      <c r="FG21" s="185" t="n"/>
      <c r="FH21" s="183" t="n"/>
      <c r="FI21" s="178" t="n"/>
      <c r="FJ21" s="176" t="n"/>
      <c r="FK21" s="185" t="n"/>
      <c r="FL21" s="178" t="n"/>
      <c r="FM21" s="176" t="n"/>
      <c r="FN21" s="176" t="n"/>
      <c r="FO21" s="176" t="n"/>
      <c r="FP21" s="176" t="n"/>
      <c r="FQ21" s="176" t="n">
        <v>0.029667</v>
      </c>
      <c r="FR21" s="179" t="n">
        <v>1.024</v>
      </c>
      <c r="FS21" s="176" t="n">
        <v>0.337192</v>
      </c>
      <c r="FT21" s="179" t="n">
        <v>1.3385</v>
      </c>
      <c r="FU21" s="176" t="n">
        <v>0.698263</v>
      </c>
      <c r="FV21" s="179" t="n">
        <v>1.6425</v>
      </c>
      <c r="FW21" s="179" t="n">
        <v>1.7868</v>
      </c>
      <c r="FX21" s="178" t="n">
        <v>177679845.74</v>
      </c>
      <c r="FY21" s="186" t="n">
        <v>0.0003004545454545454</v>
      </c>
      <c r="FZ21" s="183" t="n">
        <v>0</v>
      </c>
      <c r="GA21" s="176" t="n">
        <v>0.05493556798522831</v>
      </c>
      <c r="GB21" s="176" t="n">
        <v>0.387767</v>
      </c>
      <c r="GC21" s="185" t="n"/>
      <c r="GD21" s="185" t="n"/>
      <c r="GE21" s="176" t="n"/>
      <c r="GF21" s="176" t="n"/>
      <c r="GG21" s="179" t="n"/>
      <c r="GH21" s="181" t="inlineStr">
        <is>
          <t>China International Capital Corporation Hong Kong Securities Limited</t>
        </is>
      </c>
      <c r="GI21" s="183" t="n">
        <v>2</v>
      </c>
      <c r="GJ21" s="183" t="n">
        <v>0</v>
      </c>
      <c r="GK21" s="176" t="n">
        <v>0.015</v>
      </c>
      <c r="GL21" s="176" t="n"/>
      <c r="GM21" s="176" t="n"/>
      <c r="GN21" s="183" t="n">
        <v>24</v>
      </c>
      <c r="GO21" s="183" t="n">
        <v>1</v>
      </c>
      <c r="GP21" s="183" t="n">
        <v>0</v>
      </c>
      <c r="GQ21" s="183" t="n">
        <v>0</v>
      </c>
      <c r="GR21" s="183" t="n">
        <v>0</v>
      </c>
      <c r="GS21" s="181" t="inlineStr">
        <is>
          <t>POST_FINI</t>
        </is>
      </c>
      <c r="GT21" s="181" t="inlineStr">
        <is>
          <t>POST_2025_REFORM</t>
        </is>
      </c>
    </row>
    <row r="22" ht="51" customFormat="1" customHeight="1" s="11">
      <c r="A22" s="43" t="n">
        <v>91</v>
      </c>
      <c r="B22" s="47" t="inlineStr">
        <is>
          <t>2685.HK</t>
        </is>
      </c>
      <c r="C22" s="44" t="inlineStr">
        <is>
          <t>Quantgroup Holding Limited</t>
        </is>
      </c>
      <c r="D22" s="130" t="n">
        <v>45980</v>
      </c>
      <c r="E22" s="48" t="n">
        <v>45988</v>
      </c>
      <c r="F22" s="43" t="inlineStr">
        <is>
          <t>China International Capital Corporation
Hong Kong Securities Limited /
CITIC Securities (Hong Kong) Limited</t>
        </is>
      </c>
      <c r="G22" s="43" t="inlineStr">
        <is>
          <t>KPMG</t>
        </is>
      </c>
      <c r="H22" s="43" t="n"/>
      <c r="I22" s="131" t="n">
        <v>13083000</v>
      </c>
      <c r="J22" s="148" t="n">
        <v>134872500</v>
      </c>
      <c r="K22" s="133" t="n">
        <v>9.800000000000001</v>
      </c>
      <c r="L22" t="n">
        <v>513347500</v>
      </c>
      <c r="M22" s="67" t="n">
        <v>13347500</v>
      </c>
      <c r="N22" t="n">
        <v>500000000</v>
      </c>
      <c r="O22" t="n">
        <v>500000000</v>
      </c>
      <c r="P22" t="n">
        <v>0</v>
      </c>
      <c r="Q22" t="n">
        <v>13347500</v>
      </c>
      <c r="R22" s="67" t="n">
        <v>12012500</v>
      </c>
      <c r="S22" s="67" t="n">
        <v>1335000</v>
      </c>
      <c r="T22" s="147" t="n">
        <v>9.800000000000001</v>
      </c>
      <c r="U22" s="147" t="n">
        <v>8.800000000000001</v>
      </c>
      <c r="V22" s="169" t="n">
        <v>0.053763</v>
      </c>
      <c r="W22" s="169" t="n">
        <v>0.107527</v>
      </c>
      <c r="X22" s="170" t="inlineStr">
        <is>
          <t>At high</t>
        </is>
      </c>
      <c r="Y22" s="26" t="inlineStr">
        <is>
          <t>RMB</t>
        </is>
      </c>
      <c r="Z22" s="137" t="n">
        <v>614067000</v>
      </c>
      <c r="AA22" s="137" t="n">
        <v>1001292000</v>
      </c>
      <c r="AB22" s="137" t="n">
        <v>1235613000</v>
      </c>
      <c r="AC22" s="137" t="n">
        <v>-1093015000</v>
      </c>
      <c r="AD22" s="137" t="n">
        <v>-908916000</v>
      </c>
      <c r="AE22" s="137" t="n">
        <v>-771978000</v>
      </c>
      <c r="AF22" s="137" t="n">
        <v>1707082000</v>
      </c>
      <c r="AG22" s="137" t="n">
        <v>1910208000</v>
      </c>
      <c r="AH22" s="137" t="n">
        <v>2007591000</v>
      </c>
      <c r="AI22" s="137" t="n">
        <v>529669000</v>
      </c>
      <c r="AJ22" s="137" t="n">
        <v>993029000</v>
      </c>
      <c r="AK22" s="137" t="n">
        <v>993936000</v>
      </c>
      <c r="AL22" s="137" t="n">
        <v>2752000</v>
      </c>
      <c r="AM22" s="137" t="n">
        <v>194822000</v>
      </c>
      <c r="AN22" s="137" t="n">
        <v>386577600</v>
      </c>
      <c r="AO22" s="137" t="n">
        <v>3643000</v>
      </c>
      <c r="AP22" s="137" t="n">
        <v>147128000</v>
      </c>
      <c r="AQ22" s="137" t="n">
        <v>301514400</v>
      </c>
      <c r="AR22" s="142" t="n">
        <v>0.04</v>
      </c>
      <c r="AS22" s="142" t="n">
        <v>0.04</v>
      </c>
      <c r="AT22" s="84" t="n">
        <v>0.15</v>
      </c>
      <c r="AU22" s="51" t="inlineStr">
        <is>
          <t>Operation of online marketplaces in China, with advertisement placement and matching services for financial institutions</t>
        </is>
      </c>
      <c r="AV22" s="51" t="inlineStr">
        <is>
          <t>Main Board (Chapter 8 eligibility; no Chapter 18A/18C basis of listing disclosed)</t>
        </is>
      </c>
      <c r="AW22" s="136" t="n">
        <v>45808</v>
      </c>
      <c r="AX22" s="137" t="n">
        <v>97683000</v>
      </c>
      <c r="AY22" s="117" t="n">
        <v>428050000</v>
      </c>
      <c r="AZ22" s="117" t="n">
        <v>21859000</v>
      </c>
      <c r="BA22" s="117" t="n">
        <v>9000</v>
      </c>
      <c r="BB22" s="138" t="n">
        <v>0.099</v>
      </c>
      <c r="BC22" s="139" t="n">
        <v>0.416667</v>
      </c>
      <c r="BD22" s="80" t="n">
        <v>1</v>
      </c>
      <c r="BE22" s="161" t="n">
        <v>1</v>
      </c>
      <c r="BF22" s="161" t="n">
        <v>1</v>
      </c>
      <c r="BG22" s="161" t="inlineStr">
        <is>
          <t>NaN</t>
        </is>
      </c>
      <c r="BH22" s="161" t="inlineStr">
        <is>
          <t>NaN</t>
        </is>
      </c>
      <c r="BI22" s="161" t="inlineStr">
        <is>
          <t>NaN</t>
        </is>
      </c>
      <c r="BJ22" s="162" t="inlineStr">
        <is>
          <t>Mercury Valley; Sunshine Life Insurance; East Asia Star Investment (BVI) Limited; Gaorong QTG Holding Limited; Shanghai Super Star Venture Capital Partners (Limited Partnership); CGC Enterprises Limited; Taironghaoyuan Limited; Saturn Storm; Shitai Point; Fuhai Yichuang; Suyuan Limited; Zhiwei Zhizhang; Tianyi Point; Jiaqing Investment; Jiangmen Growth; Shanghai Chuyuan</t>
        </is>
      </c>
      <c r="BK22" s="163" t="n">
        <v>0.5717</v>
      </c>
      <c r="BL22" s="161" t="n">
        <v>1</v>
      </c>
      <c r="BM22" s="164" t="inlineStr">
        <is>
          <t>Series A Preferred Shares</t>
        </is>
      </c>
      <c r="BN22" s="165" t="inlineStr">
        <is>
          <t>NaN</t>
        </is>
      </c>
      <c r="BO22" s="51" t="inlineStr">
        <is>
          <t>自然人 / natural person (Dr. Zhou, ultimate Controlling Shareholder)</t>
        </is>
      </c>
      <c r="BP22" s="135" t="n">
        <v>0.3303</v>
      </c>
      <c r="BQ22" s="135" t="n">
        <v>0.3303</v>
      </c>
      <c r="BR22" s="137" t="n">
        <v>52288000</v>
      </c>
      <c r="BS22" s="51" t="inlineStr">
        <is>
          <t>Commercial operation (apps in stable operation, continuous upgrades)</t>
        </is>
      </c>
      <c r="BT22" s="142" t="n">
        <v>0</v>
      </c>
      <c r="BU22" s="60" t="inlineStr">
        <is>
          <t>Main Board</t>
        </is>
      </c>
      <c r="BV22" s="89" t="inlineStr">
        <is>
          <t>Ordinary Shares</t>
        </is>
      </c>
      <c r="BW22" s="61" t="n">
        <v>0</v>
      </c>
      <c r="BX22" s="77" t="n">
        <v>0</v>
      </c>
      <c r="BY22" s="77" t="n">
        <v>0</v>
      </c>
      <c r="BZ22" s="78" t="n">
        <v>0</v>
      </c>
      <c r="CA22" s="60" t="inlineStr">
        <is>
          <t>237060</t>
        </is>
      </c>
      <c r="CB22" s="76" t="inlineStr">
        <is>
          <t>HSICS (Hang Seng Industry Classification System) 2026</t>
        </is>
      </c>
      <c r="CC22" s="140" t="n">
        <v>44651</v>
      </c>
      <c r="CD22" s="171" t="n">
        <v>3.66</v>
      </c>
      <c r="CE22" s="76" t="inlineStr">
        <is>
          <t>Cayman Islands</t>
        </is>
      </c>
      <c r="CF22" s="89" t="inlineStr">
        <is>
          <t>Beijing, PRC</t>
        </is>
      </c>
      <c r="CG22" s="91" t="n">
        <v>1000</v>
      </c>
      <c r="CH22" s="60" t="inlineStr">
        <is>
          <t>IFRS Accounting Standards</t>
        </is>
      </c>
      <c r="CI22" s="141" t="n">
        <v>44927</v>
      </c>
      <c r="CJ22" s="141" t="n">
        <v>45291</v>
      </c>
      <c r="CK22" s="141" t="n">
        <v>45292</v>
      </c>
      <c r="CL22" s="141" t="n">
        <v>45657</v>
      </c>
      <c r="CM22" s="141" t="n">
        <v>45658</v>
      </c>
      <c r="CN22" s="64" t="n">
        <v>414140000</v>
      </c>
      <c r="CO22" s="64" t="n">
        <v>161074000</v>
      </c>
      <c r="CP22" s="64" t="n">
        <v>125631000</v>
      </c>
      <c r="CQ22" s="141" t="n">
        <v>45980</v>
      </c>
      <c r="CR22" s="141" t="n">
        <v>45985</v>
      </c>
      <c r="CS22" s="63" t="n">
        <v>513347500</v>
      </c>
      <c r="CT22" s="64" t="n">
        <v>400346000</v>
      </c>
      <c r="CU22" s="64" t="n">
        <v>13000</v>
      </c>
      <c r="CV22" s="59" t="inlineStr">
        <is>
          <t>Unqualified opinion</t>
        </is>
      </c>
      <c r="CW22" s="64" t="n">
        <v>118400000</v>
      </c>
      <c r="CX22" s="51" t="inlineStr">
        <is>
          <t>NA</t>
        </is>
      </c>
      <c r="CY22" s="142" t="n">
        <v>0</v>
      </c>
      <c r="CZ22" s="136" t="inlineStr">
        <is>
          <t>NA</t>
        </is>
      </c>
      <c r="DA22" s="143" t="n">
        <v>9366.280000000001</v>
      </c>
      <c r="DB22" s="63" t="n">
        <v>159327</v>
      </c>
      <c r="DC22" s="63" t="n">
        <v>12503983800</v>
      </c>
      <c r="DD22" s="59" t="inlineStr">
        <is>
          <t>Subscription level 9,366.28 times</t>
        </is>
      </c>
      <c r="DE22" s="141" t="n">
        <v>45986</v>
      </c>
      <c r="DF22" s="141" t="n">
        <v>45987</v>
      </c>
      <c r="DG22" s="63" t="n">
        <v>13347500</v>
      </c>
      <c r="DH22" s="63" t="n">
        <v>1335000</v>
      </c>
      <c r="DI22" s="63" t="n">
        <v>12012500</v>
      </c>
      <c r="DJ22" s="63" t="n">
        <v>1750000</v>
      </c>
      <c r="DK22" s="169" t="n">
        <v>0.874071</v>
      </c>
      <c r="DL22" s="59" t="inlineStr">
        <is>
          <t>Reallocation
No</t>
        </is>
      </c>
      <c r="DM22" s="144" t="n">
        <v>12370000</v>
      </c>
      <c r="DN22" s="142" t="n">
        <v>0.3694</v>
      </c>
      <c r="DO22" s="51" t="n">
        <v>513347500</v>
      </c>
      <c r="DP22" s="142" t="n">
        <v>0.026</v>
      </c>
      <c r="DQ22" s="59" t="inlineStr">
        <is>
          <t>Free float denominator = total issued shares upon listing (col_CZ); numerator = offer shares minus cornerstone allocation</t>
        </is>
      </c>
      <c r="DR22" s="63" t="n">
        <v>513347500</v>
      </c>
      <c r="DS22" s="142" t="n">
        <v>0.00275337</v>
      </c>
      <c r="DT22" s="80" t="n">
        <v>31</v>
      </c>
      <c r="DU22" s="142" t="n">
        <v>0.0287762</v>
      </c>
      <c r="DV22" s="144" t="n">
        <v>54090000000</v>
      </c>
      <c r="DW22" s="145" t="n">
        <v>18.5</v>
      </c>
      <c r="DX22" s="169" t="n">
        <v>0.887755</v>
      </c>
      <c r="DY22" s="172" t="n">
        <v>116123250</v>
      </c>
      <c r="DZ22" s="146" t="n">
        <v>26</v>
      </c>
      <c r="EA22" s="146" t="n">
        <v>27.8</v>
      </c>
      <c r="EB22" s="146" t="n">
        <v>18.3</v>
      </c>
      <c r="EC22" s="63" t="n">
        <v>4893100</v>
      </c>
      <c r="ED22" s="169" t="n">
        <v>0.366593</v>
      </c>
      <c r="EE22" s="64" t="n"/>
      <c r="EF22" s="60" t="inlineStr">
        <is>
          <t>Mechanism B</t>
        </is>
      </c>
      <c r="EG22" s="59" t="inlineStr">
        <is>
          <t>FINI (from 22/11/2023); 2025-08-04 pricing reform (Mechanism A/B; six-month cornerstone lock-up retained); this IPO: Mechanism B</t>
        </is>
      </c>
      <c r="EH22" t="inlineStr">
        <is>
          <t>量化派控股有限公司</t>
        </is>
      </c>
      <c r="EI22" s="174" t="inlineStr">
        <is>
          <t>Active</t>
        </is>
      </c>
      <c r="EJ22" s="175" t="n">
        <v>26.4</v>
      </c>
      <c r="EK22" s="176" t="n">
        <v>0.427027</v>
      </c>
      <c r="EL22" s="176" t="n">
        <v>1.693878</v>
      </c>
      <c r="EM22" s="176" t="n">
        <v>-0.004895</v>
      </c>
      <c r="EN22" s="176" t="n">
        <v>-0.01764</v>
      </c>
      <c r="EO22" s="179" t="n">
        <v>1.434</v>
      </c>
      <c r="EP22" s="179" t="n">
        <v>1.4527</v>
      </c>
      <c r="EQ22" s="178" t="n">
        <v>19164030</v>
      </c>
      <c r="ER22" s="175" t="n">
        <v>10.56</v>
      </c>
      <c r="ES22" s="176" t="n">
        <v>-0.429189</v>
      </c>
      <c r="ET22" s="176" t="n">
        <v>0.07755099999999999</v>
      </c>
      <c r="EU22" s="176" t="n">
        <v>-0.023807</v>
      </c>
      <c r="EV22" s="176" t="n">
        <v>-0.123343</v>
      </c>
      <c r="EW22" s="179" t="n">
        <v>0.5847</v>
      </c>
      <c r="EX22" s="179" t="n">
        <v>0.6511</v>
      </c>
      <c r="EY22" s="178" t="n">
        <v>28991050</v>
      </c>
      <c r="EZ22" s="176" t="n">
        <v>0.228773</v>
      </c>
      <c r="FA22" s="176" t="n"/>
      <c r="FB22" s="179" t="n"/>
      <c r="FC22" s="176" t="n"/>
      <c r="FD22" s="179" t="n"/>
      <c r="FE22" s="174" t="inlineStr">
        <is>
          <t>Standard</t>
        </is>
      </c>
      <c r="FF22" s="181" t="n"/>
      <c r="FG22" s="185" t="n"/>
      <c r="FH22" s="183" t="n"/>
      <c r="FI22" s="178" t="n"/>
      <c r="FJ22" s="176" t="n"/>
      <c r="FK22" s="185" t="n"/>
      <c r="FL22" s="178" t="n"/>
      <c r="FM22" s="176" t="n"/>
      <c r="FN22" s="176" t="n"/>
      <c r="FO22" s="176" t="n"/>
      <c r="FP22" s="176" t="n"/>
      <c r="FQ22" s="176" t="n">
        <v>0.540541</v>
      </c>
      <c r="FR22" s="179" t="n">
        <v>1.5516</v>
      </c>
      <c r="FS22" s="176" t="n">
        <v>0.427027</v>
      </c>
      <c r="FT22" s="179" t="n">
        <v>1.434</v>
      </c>
      <c r="FU22" s="176" t="n">
        <v>0.762162</v>
      </c>
      <c r="FV22" s="179" t="n">
        <v>1.7169</v>
      </c>
      <c r="FW22" s="179" t="n">
        <v>1.92</v>
      </c>
      <c r="FX22" s="178" t="n">
        <v>14799006.56</v>
      </c>
      <c r="FY22" s="186" t="n">
        <v>0.002517268907563025</v>
      </c>
      <c r="FZ22" s="183" t="n">
        <v>0</v>
      </c>
      <c r="GA22" s="176" t="n">
        <v>0.1054726242270941</v>
      </c>
      <c r="GB22" s="176" t="n">
        <v>0.756688</v>
      </c>
      <c r="GC22" s="185" t="n"/>
      <c r="GD22" s="185" t="n"/>
      <c r="GE22" s="176" t="n"/>
      <c r="GF22" s="176" t="n"/>
      <c r="GG22" s="179" t="n"/>
      <c r="GH22" s="181" t="inlineStr">
        <is>
          <t>China International Capital Corporation Hong Kong Securities Limited</t>
        </is>
      </c>
      <c r="GI22" s="183" t="n">
        <v>2</v>
      </c>
      <c r="GJ22" s="183" t="n">
        <v>0</v>
      </c>
      <c r="GK22" s="176" t="n">
        <v>0.04</v>
      </c>
      <c r="GL22" s="176" t="n"/>
      <c r="GM22" s="176" t="n"/>
      <c r="GN22" s="183" t="n">
        <v>0</v>
      </c>
      <c r="GO22" s="183" t="n">
        <v>0</v>
      </c>
      <c r="GP22" s="183" t="n">
        <v>0</v>
      </c>
      <c r="GQ22" s="183" t="n">
        <v>16</v>
      </c>
      <c r="GR22" s="183" t="n">
        <v>1</v>
      </c>
      <c r="GS22" s="181" t="inlineStr">
        <is>
          <t>POST_FINI</t>
        </is>
      </c>
      <c r="GT22" s="181" t="inlineStr">
        <is>
          <t>POST_2025_REFORM</t>
        </is>
      </c>
    </row>
    <row r="23" ht="68" customFormat="1" customHeight="1" s="11">
      <c r="A23" s="43" t="n">
        <v>92</v>
      </c>
      <c r="B23" s="47" t="inlineStr">
        <is>
          <t>9609.HK</t>
        </is>
      </c>
      <c r="C23" s="44" t="inlineStr">
        <is>
          <t>Hebei Haiwei Electronic New Material Technology Co., Ltd.- H shares</t>
        </is>
      </c>
      <c r="D23" s="130" t="n">
        <v>45981</v>
      </c>
      <c r="E23" s="48" t="n">
        <v>45989</v>
      </c>
      <c r="F23" s="43" t="inlineStr">
        <is>
          <t>China International Capital Corporation 
Hong Kong Securities Limited</t>
        </is>
      </c>
      <c r="G23" s="43" t="inlineStr">
        <is>
          <t>Deloitte Touche Tohmatsu</t>
        </is>
      </c>
      <c r="H23" s="43" t="n"/>
      <c r="I23" s="131" t="n">
        <v>50631168</v>
      </c>
      <c r="J23" s="148" t="n">
        <v>480793320</v>
      </c>
      <c r="K23" s="133" t="n">
        <v>14.28</v>
      </c>
      <c r="L23" t="n">
        <v>154543287</v>
      </c>
      <c r="M23" s="67" t="n">
        <v>30831400</v>
      </c>
      <c r="N23" t="n">
        <v>123711887</v>
      </c>
      <c r="O23" t="n">
        <v>123711887</v>
      </c>
      <c r="P23" t="n">
        <v>0</v>
      </c>
      <c r="Q23" t="n">
        <v>30831400</v>
      </c>
      <c r="R23" s="67" t="n">
        <v>27748200</v>
      </c>
      <c r="S23" s="67" t="n">
        <v>3083200</v>
      </c>
      <c r="T23" s="147" t="n">
        <v>14.28</v>
      </c>
      <c r="U23" s="147" t="n">
        <v>14.28</v>
      </c>
      <c r="V23" s="169" t="n">
        <v>0</v>
      </c>
      <c r="W23" s="169" t="n">
        <v>0</v>
      </c>
      <c r="X23" s="170" t="inlineStr">
        <is>
          <t>Fixed price</t>
        </is>
      </c>
      <c r="Y23" s="26" t="inlineStr">
        <is>
          <t>RMB</t>
        </is>
      </c>
      <c r="Z23" s="137" t="n">
        <v>740123000</v>
      </c>
      <c r="AA23" s="137" t="n">
        <v>762578000</v>
      </c>
      <c r="AB23" s="137" t="n">
        <v>834564000</v>
      </c>
      <c r="AC23" s="137" t="n">
        <v>602320000</v>
      </c>
      <c r="AD23" s="137" t="n">
        <v>686019000</v>
      </c>
      <c r="AE23" s="137" t="n">
        <v>716763000</v>
      </c>
      <c r="AF23" s="137" t="n">
        <v>137803000</v>
      </c>
      <c r="AG23" s="137" t="n">
        <v>76559000</v>
      </c>
      <c r="AH23" s="137" t="n">
        <v>117801000</v>
      </c>
      <c r="AI23" s="137" t="n">
        <v>329545000</v>
      </c>
      <c r="AJ23" s="137" t="n">
        <v>421695000</v>
      </c>
      <c r="AK23" s="137" t="n">
        <v>377085600</v>
      </c>
      <c r="AL23" s="137" t="n">
        <v>78292000</v>
      </c>
      <c r="AM23" s="137" t="n">
        <v>93228000</v>
      </c>
      <c r="AN23" s="137" t="n">
        <v>87156000</v>
      </c>
      <c r="AO23" s="137" t="n">
        <v>69826000</v>
      </c>
      <c r="AP23" s="137" t="n">
        <v>86418000</v>
      </c>
      <c r="AQ23" s="137" t="n">
        <v>75261600</v>
      </c>
      <c r="AR23" s="142" t="n">
        <v>0.03</v>
      </c>
      <c r="AS23" s="142" t="n">
        <v>0.03</v>
      </c>
      <c r="AT23" s="84" t="n">
        <v>0.15</v>
      </c>
      <c r="AU23" s="51" t="inlineStr">
        <is>
          <t>Capacitor film manufacturing (capacitor base films and metallized films)</t>
        </is>
      </c>
      <c r="AV23" s="51" t="inlineStr">
        <is>
          <t>Main Board of the Stock Exchange (H-share listing; no Chapter 18A/18C specialist-technology route disclosed)</t>
        </is>
      </c>
      <c r="AW23" s="136" t="n">
        <v>45808</v>
      </c>
      <c r="AX23" s="137" t="n">
        <v>-35810000</v>
      </c>
      <c r="AY23" s="117" t="n">
        <v>155110000</v>
      </c>
      <c r="AZ23" s="117" t="n">
        <v>7265000</v>
      </c>
      <c r="BA23" s="117" t="inlineStr">
        <is>
          <t>NaN</t>
        </is>
      </c>
      <c r="BB23" s="138" t="n">
        <v>0.421</v>
      </c>
      <c r="BC23" s="139" t="n">
        <v>0.416667</v>
      </c>
      <c r="BD23" s="80" t="n">
        <v>1</v>
      </c>
      <c r="BE23" s="161" t="n">
        <v>1</v>
      </c>
      <c r="BF23" s="161" t="n">
        <v>1</v>
      </c>
      <c r="BG23" s="161" t="n">
        <v>1</v>
      </c>
      <c r="BH23" s="161" t="n">
        <v>1</v>
      </c>
      <c r="BI23" s="161" t="inlineStr">
        <is>
          <t>NaN</t>
        </is>
      </c>
      <c r="BJ23" s="162" t="inlineStr">
        <is>
          <t>CICC Pucheng Investment Co., Ltd.; Yibin Lvneng Equity Investment Partnership (Limited Partnership); Ningbo Meishan Bonded Port Area Thriving Venture Capital Partnership (Limited Partnership); Sungrow Power Supply Co., Ltd.; Shanghai Dingbo Enterprise Consulting Partnership (Limited Partnership); BYD Company Limited; Jiaxing Chuangqi Kaiying Venture Capital Partnership (Limited Partnership); Guangzhou Hanxin Venture Capital Partnership (Limited Partnership); Hebei Industry Investment Zhanxin Industry Development Center (Limited Partnership); Yichang Industrial Investment Changzheng Green Industry Fund Partnership (Limited Partnership); Chutian Changxing (Wuhan) Enterprise Management Center (Limited Partnership); Anhui New Energy and Energy Saving and Environmental Protection Industry Fund Partnership (Limited Partnership); Qingdao Taifu Hongying No. 6 Private Equity Investment Fund Partnership (Limited Partnership); Hebei Henghu Equity Investment Fund Center (Limited Partnership); Huamin Caixin; Dezhou Jianyi Investment Consulting Co., Ltd; Qingdao Taifu Huixin No. 8 Private Equity Investment Fund Partnership (Limited Partnership)</t>
        </is>
      </c>
      <c r="BK23" s="163" t="n">
        <v>0.2288</v>
      </c>
      <c r="BL23" s="161" t="inlineStr">
        <is>
          <t>NaN</t>
        </is>
      </c>
      <c r="BM23" s="164" t="inlineStr">
        <is>
          <t>Series A</t>
        </is>
      </c>
      <c r="BN23" s="165" t="n">
        <v>2.77</v>
      </c>
      <c r="BO23" s="51" t="inlineStr">
        <is>
          <t>自然人 (Mr. Song Wenlan)</t>
        </is>
      </c>
      <c r="BP23" s="135" t="n">
        <v>0.3948</v>
      </c>
      <c r="BQ23" s="135" t="n">
        <v>0.6173999999999999</v>
      </c>
      <c r="BR23" s="137" t="n">
        <v>70070000</v>
      </c>
      <c r="BS23" s="51" t="inlineStr">
        <is>
          <t>已量产 / 规模商业化 (mass production and commercial sales of capacitor films)</t>
        </is>
      </c>
      <c r="BT23" s="142" t="n">
        <v>0</v>
      </c>
      <c r="BU23" s="60" t="inlineStr">
        <is>
          <t>Main Board</t>
        </is>
      </c>
      <c r="BV23" s="89" t="inlineStr">
        <is>
          <t>H Shares</t>
        </is>
      </c>
      <c r="BW23" s="61" t="n">
        <v>0</v>
      </c>
      <c r="BX23" s="77" t="n">
        <v>0</v>
      </c>
      <c r="BY23" s="77" t="n">
        <v>0</v>
      </c>
      <c r="BZ23" s="78" t="n">
        <v>0</v>
      </c>
      <c r="CA23" s="60" t="inlineStr">
        <is>
          <t>101020</t>
        </is>
      </c>
      <c r="CB23" s="76" t="inlineStr">
        <is>
          <t>HSICS (Hang Seng Industry Classification System) 2026</t>
        </is>
      </c>
      <c r="CC23" s="140" t="n">
        <v>38966</v>
      </c>
      <c r="CD23" s="171" t="n">
        <v>19.23</v>
      </c>
      <c r="CE23" s="76" t="inlineStr">
        <is>
          <t>PRC</t>
        </is>
      </c>
      <c r="CF23" s="89" t="inlineStr">
        <is>
          <t>Hengshui, Hebei Province, PRC</t>
        </is>
      </c>
      <c r="CG23" s="91" t="n"/>
      <c r="CH23" s="60" t="inlineStr">
        <is>
          <t>IFRS Accounting Standards</t>
        </is>
      </c>
      <c r="CI23" s="141" t="n">
        <v>44927</v>
      </c>
      <c r="CJ23" s="141" t="n">
        <v>45291</v>
      </c>
      <c r="CK23" s="141" t="n">
        <v>45292</v>
      </c>
      <c r="CL23" s="141" t="n">
        <v>45657</v>
      </c>
      <c r="CM23" s="141" t="n">
        <v>45658</v>
      </c>
      <c r="CN23" s="64" t="n">
        <v>157119000</v>
      </c>
      <c r="CO23" s="64" t="n">
        <v>36315000</v>
      </c>
      <c r="CP23" s="64" t="n">
        <v>31359000</v>
      </c>
      <c r="CQ23" s="141" t="n">
        <v>45981</v>
      </c>
      <c r="CR23" s="141" t="n">
        <v>45986</v>
      </c>
      <c r="CS23" s="63" t="n">
        <v>59850939</v>
      </c>
      <c r="CT23" s="64" t="n">
        <v>55730000</v>
      </c>
      <c r="CU23" s="64" t="n">
        <v>3192000</v>
      </c>
      <c r="CV23" s="59" t="inlineStr">
        <is>
          <t>Unqualified opinion (无保留意见)</t>
        </is>
      </c>
      <c r="CW23" s="64" t="n">
        <v>51900000</v>
      </c>
      <c r="CX23" s="51" t="inlineStr">
        <is>
          <t>Horizon Splendor Limited</t>
        </is>
      </c>
      <c r="CY23" s="142" t="n">
        <v>0.4267</v>
      </c>
      <c r="CZ23" s="136" t="n">
        <v>46170</v>
      </c>
      <c r="DA23" s="143" t="n">
        <v>5426.27</v>
      </c>
      <c r="DB23" s="63" t="n">
        <v>165803</v>
      </c>
      <c r="DC23" s="63" t="n">
        <v>16730263200</v>
      </c>
      <c r="DD23" s="59" t="inlineStr">
        <is>
          <t>Subscription level 5,426.27 times (Hong Kong Public Offering); the announcement states a "Subscription level" and not an "over-subscribed by N times" figure</t>
        </is>
      </c>
      <c r="DE23" s="141" t="inlineStr">
        <is>
          <t>NA</t>
        </is>
      </c>
      <c r="DF23" s="141" t="n">
        <v>45988</v>
      </c>
      <c r="DG23" s="63" t="n">
        <v>35456000</v>
      </c>
      <c r="DH23" s="63" t="n">
        <v>3545600</v>
      </c>
      <c r="DI23" s="63" t="n">
        <v>31910400</v>
      </c>
      <c r="DJ23" s="63" t="n">
        <v>1758600</v>
      </c>
      <c r="DK23" s="169" t="n">
        <v>0.330663</v>
      </c>
      <c r="DL23" s="59" t="inlineStr">
        <is>
          <t>No reallocation/clawback between the Hong Kong Public Offering and the International Offering; the additional Offer Shares under the Offer Size Adjustment Option were allocated to maintain the initial 10.0%:90.0% proportion. Claw-back triggered: N/A</t>
        </is>
      </c>
      <c r="DM23" s="144" t="n">
        <v>451760000</v>
      </c>
      <c r="DN23" s="142" t="n">
        <v>0.3752</v>
      </c>
      <c r="DO23" s="51" t="n">
        <v>159167887</v>
      </c>
      <c r="DP23" s="142" t="n">
        <v>0.1277</v>
      </c>
      <c r="DQ23" s="59" t="inlineStr">
        <is>
          <t>Free float denominator = total issued shares upon listing (col_CZ); numerator = offer shares minus cornerstone allocation</t>
        </is>
      </c>
      <c r="DR23" s="63" t="n">
        <v>159167887</v>
      </c>
      <c r="DS23" s="142" t="n">
        <v>-0.0075651</v>
      </c>
      <c r="DT23" s="80" t="n">
        <v>31</v>
      </c>
      <c r="DU23" s="142" t="n">
        <v>0.0228369</v>
      </c>
      <c r="DV23" s="144" t="n">
        <v>54163000000</v>
      </c>
      <c r="DW23" s="145" t="n">
        <v>11</v>
      </c>
      <c r="DX23" s="169" t="n">
        <v>-0.229692</v>
      </c>
      <c r="DY23" s="172" t="n">
        <v>-116295680</v>
      </c>
      <c r="DZ23" s="146" t="n">
        <v>13.5</v>
      </c>
      <c r="EA23" s="146" t="n">
        <v>13.5</v>
      </c>
      <c r="EB23" s="146" t="n">
        <v>11</v>
      </c>
      <c r="EC23" s="63" t="n">
        <v>16128800</v>
      </c>
      <c r="ED23" s="169" t="n">
        <v>0.454896</v>
      </c>
      <c r="EE23" s="64" t="n"/>
      <c r="EF23" s="60" t="inlineStr">
        <is>
          <t>Mechanism B</t>
        </is>
      </c>
      <c r="EG23" s="59" t="inlineStr">
        <is>
          <t>FINI (from 22/11/2023); 2025-08-04 pricing reform (Mechanism A/B; six-month cornerstone lock-up retained); this IPO: Mechanism B</t>
        </is>
      </c>
      <c r="EH23" t="inlineStr">
        <is>
          <t>河北海伟电子新材料科技股份有限公司</t>
        </is>
      </c>
      <c r="EI23" s="174" t="inlineStr">
        <is>
          <t>Active</t>
        </is>
      </c>
      <c r="EJ23" s="175" t="n">
        <v>10.15</v>
      </c>
      <c r="EK23" s="176" t="n">
        <v>-0.07727299999999999</v>
      </c>
      <c r="EL23" s="176" t="n">
        <v>-0.289216</v>
      </c>
      <c r="EM23" s="176" t="n">
        <v>-0.008649</v>
      </c>
      <c r="EN23" s="176" t="n">
        <v>-0.020735</v>
      </c>
      <c r="EO23" s="179" t="n">
        <v>0.9308</v>
      </c>
      <c r="EP23" s="179" t="n">
        <v>0.9423</v>
      </c>
      <c r="EQ23" s="178" t="n">
        <v>17878745</v>
      </c>
      <c r="ER23" s="175" t="n">
        <v>6.68</v>
      </c>
      <c r="ES23" s="176" t="n">
        <v>-0.392727</v>
      </c>
      <c r="ET23" s="176" t="n">
        <v>-0.532213</v>
      </c>
      <c r="EU23" s="176" t="n">
        <v>-0.032976</v>
      </c>
      <c r="EV23" s="176" t="n">
        <v>-0.126901</v>
      </c>
      <c r="EW23" s="179" t="n">
        <v>0.628</v>
      </c>
      <c r="EX23" s="179" t="n">
        <v>0.6955</v>
      </c>
      <c r="EY23" s="178" t="n">
        <v>320030</v>
      </c>
      <c r="EZ23" s="176" t="n">
        <v>0.00145</v>
      </c>
      <c r="FA23" s="176" t="n"/>
      <c r="FB23" s="179" t="n"/>
      <c r="FC23" s="176" t="n"/>
      <c r="FD23" s="179" t="n"/>
      <c r="FE23" s="174" t="inlineStr">
        <is>
          <t>Standard</t>
        </is>
      </c>
      <c r="FF23" s="181" t="n"/>
      <c r="FG23" s="185" t="n"/>
      <c r="FH23" s="183" t="n"/>
      <c r="FI23" s="178" t="n"/>
      <c r="FJ23" s="176" t="n"/>
      <c r="FK23" s="185" t="n"/>
      <c r="FL23" s="178" t="n"/>
      <c r="FM23" s="176" t="n"/>
      <c r="FN23" s="176" t="n"/>
      <c r="FO23" s="176" t="n"/>
      <c r="FP23" s="176" t="n"/>
      <c r="FQ23" s="176" t="n">
        <v>0.050909</v>
      </c>
      <c r="FR23" s="179" t="n">
        <v>1.0478</v>
      </c>
      <c r="FS23" s="176" t="n">
        <v>-0.07727299999999999</v>
      </c>
      <c r="FT23" s="179" t="n">
        <v>0.9308</v>
      </c>
      <c r="FU23" s="176" t="n">
        <v>-0.152727</v>
      </c>
      <c r="FV23" s="179" t="n">
        <v>0.8407</v>
      </c>
      <c r="FW23" s="179" t="n">
        <v>0.9508</v>
      </c>
      <c r="FX23" s="178" t="n">
        <v>7391298.36</v>
      </c>
      <c r="FY23" s="186" t="n">
        <v>0.0555398487394958</v>
      </c>
      <c r="FZ23" s="183" t="n">
        <v>0</v>
      </c>
      <c r="GA23" s="176" t="n">
        <v>0.04080569401749809</v>
      </c>
      <c r="GB23" s="176" t="n">
        <v>0.585185</v>
      </c>
      <c r="GC23" s="185" t="n"/>
      <c r="GD23" s="185" t="n"/>
      <c r="GE23" s="176" t="n"/>
      <c r="GF23" s="176" t="n"/>
      <c r="GG23" s="179" t="n"/>
      <c r="GH23" s="181" t="inlineStr">
        <is>
          <t>China International Capital Corporation Hong Kong Securities Limited</t>
        </is>
      </c>
      <c r="GI23" s="183" t="n">
        <v>1</v>
      </c>
      <c r="GJ23" s="183" t="n">
        <v>0</v>
      </c>
      <c r="GK23" s="176" t="n">
        <v>0.03</v>
      </c>
      <c r="GL23" s="176" t="n"/>
      <c r="GM23" s="176" t="n"/>
      <c r="GN23" s="183" t="n">
        <v>1</v>
      </c>
      <c r="GO23" s="183" t="n">
        <v>0</v>
      </c>
      <c r="GP23" s="183" t="n">
        <v>0</v>
      </c>
      <c r="GQ23" s="183" t="n">
        <v>20</v>
      </c>
      <c r="GR23" s="183" t="n">
        <v>1</v>
      </c>
      <c r="GS23" s="181" t="inlineStr">
        <is>
          <t>POST_FINI</t>
        </is>
      </c>
      <c r="GT23" s="181" t="inlineStr">
        <is>
          <t>POST_2025_REFORM</t>
        </is>
      </c>
    </row>
    <row r="24" ht="68" customFormat="1" customHeight="1" s="11">
      <c r="A24" s="43" t="n">
        <v>94</v>
      </c>
      <c r="B24" s="47" t="inlineStr">
        <is>
          <t>2539.HK</t>
        </is>
      </c>
      <c r="C24" s="44" t="inlineStr">
        <is>
          <t>Lemo Services Co., Ltd - H shares</t>
        </is>
      </c>
      <c r="D24" s="130" t="n">
        <v>45986</v>
      </c>
      <c r="E24" s="48" t="n">
        <v>45994</v>
      </c>
      <c r="F24" s="43" t="inlineStr">
        <is>
          <t>China Securities (International) 
Corporate Finance Company Limited/
Shenwan Hongyuan Capital (H.K.) Limited</t>
        </is>
      </c>
      <c r="G24" s="43" t="inlineStr">
        <is>
          <t>KPMG</t>
        </is>
      </c>
      <c r="H24" s="43" t="n"/>
      <c r="I24" s="131" t="n">
        <v>22224000</v>
      </c>
      <c r="J24" s="148" t="n">
        <v>200000000</v>
      </c>
      <c r="K24" s="133" t="n">
        <v>40</v>
      </c>
      <c r="L24" t="n">
        <v>55555600</v>
      </c>
      <c r="M24" s="67" t="n">
        <v>5555600</v>
      </c>
      <c r="N24" t="n">
        <v>50000000</v>
      </c>
      <c r="O24" t="n">
        <v>50000000</v>
      </c>
      <c r="P24" t="n">
        <v>0</v>
      </c>
      <c r="Q24" t="n">
        <v>5555600</v>
      </c>
      <c r="R24" s="67" t="n">
        <v>5000000</v>
      </c>
      <c r="S24" s="67" t="n">
        <v>555600</v>
      </c>
      <c r="T24" s="147" t="n">
        <v>40</v>
      </c>
      <c r="U24" s="147" t="n">
        <v>27</v>
      </c>
      <c r="V24" s="169" t="n">
        <v>0.19403</v>
      </c>
      <c r="W24" s="169" t="n">
        <v>0.38806</v>
      </c>
      <c r="X24" s="170" t="inlineStr">
        <is>
          <t>At high</t>
        </is>
      </c>
      <c r="Y24" s="26" t="inlineStr">
        <is>
          <t>RMB</t>
        </is>
      </c>
      <c r="Z24" s="137" t="n">
        <v>405814000</v>
      </c>
      <c r="AA24" s="137" t="n">
        <v>472690000</v>
      </c>
      <c r="AB24" s="137" t="n">
        <v>549928000</v>
      </c>
      <c r="AC24" s="137" t="n">
        <v>151885000</v>
      </c>
      <c r="AD24" s="137" t="n">
        <v>240023000</v>
      </c>
      <c r="AE24" s="137" t="n">
        <v>331395000</v>
      </c>
      <c r="AF24" s="137" t="n">
        <v>253929000</v>
      </c>
      <c r="AG24" s="137" t="n">
        <v>232667000</v>
      </c>
      <c r="AH24" s="137" t="n">
        <v>218533000</v>
      </c>
      <c r="AI24" s="137" t="n">
        <v>586836000</v>
      </c>
      <c r="AJ24" s="137" t="n">
        <v>797991000</v>
      </c>
      <c r="AK24" s="137" t="n">
        <v>946098000</v>
      </c>
      <c r="AL24" s="137" t="n">
        <v>103214000</v>
      </c>
      <c r="AM24" s="137" t="n">
        <v>102304000</v>
      </c>
      <c r="AN24" s="137" t="n">
        <v>158446500</v>
      </c>
      <c r="AO24" s="137" t="n">
        <v>87340000</v>
      </c>
      <c r="AP24" s="137" t="n">
        <v>85807000</v>
      </c>
      <c r="AQ24" s="137" t="n">
        <v>132825000</v>
      </c>
      <c r="AR24" s="142" t="n">
        <v>0.025</v>
      </c>
      <c r="AS24" s="142" t="n">
        <v>0.025</v>
      </c>
      <c r="AT24" s="84" t="inlineStr">
        <is>
          <t>NaN</t>
        </is>
      </c>
      <c r="AU24" s="51" t="inlineStr">
        <is>
          <t>Mechanical massage service (provision of massage services performed by mechanical massage equipment at points of service in public venues)</t>
        </is>
      </c>
      <c r="AV24" s="51" t="inlineStr">
        <is>
          <t>Main Board of the Stock Exchange (H-share listing by a PRC joint stock company; Listing Rules Chapter 19A applies, incl. Rule 19A.13A/19A.13C)</t>
        </is>
      </c>
      <c r="AW24" s="136" t="n">
        <v>45900</v>
      </c>
      <c r="AX24" s="137" t="n">
        <v>190454000</v>
      </c>
      <c r="AY24" s="117" t="n">
        <v>46694000</v>
      </c>
      <c r="AZ24" s="117" t="n">
        <v>14885000</v>
      </c>
      <c r="BA24" s="117" t="inlineStr">
        <is>
          <t>NaN</t>
        </is>
      </c>
      <c r="BB24" s="138" t="n">
        <v>0.067</v>
      </c>
      <c r="BC24" s="139" t="n">
        <v>0.666667</v>
      </c>
      <c r="BD24" s="80" t="n">
        <v>1</v>
      </c>
      <c r="BE24" s="161" t="inlineStr">
        <is>
          <t>NaN</t>
        </is>
      </c>
      <c r="BF24" s="161" t="n">
        <v>1</v>
      </c>
      <c r="BG24" s="161" t="inlineStr">
        <is>
          <t>NaN</t>
        </is>
      </c>
      <c r="BH24" s="161" t="inlineStr">
        <is>
          <t>NaN</t>
        </is>
      </c>
      <c r="BI24" s="161" t="inlineStr">
        <is>
          <t>NaN</t>
        </is>
      </c>
      <c r="BJ24" s="162" t="inlineStr">
        <is>
          <t>Pan Jianzhong; Li Bin; Cornerstone Yixiang; Shanghai Qimai; Wang Zhenghua; Dai Chusheng; Fang Xin; Chen Guohai</t>
        </is>
      </c>
      <c r="BK24" s="163" t="n">
        <v>0.047</v>
      </c>
      <c r="BL24" s="161" t="inlineStr">
        <is>
          <t>NaN</t>
        </is>
      </c>
      <c r="BM24" s="164" t="inlineStr">
        <is>
          <t>Pre-IPO Investment (first round, registration completed 8 May 2017)</t>
        </is>
      </c>
      <c r="BN24" s="165" t="n">
        <v>8.550000000000001</v>
      </c>
      <c r="BO24" s="51" t="inlineStr">
        <is>
          <t>Natural person (Mr. Xie Zhonghui, Controlling Shareholder; no single ultimate controller disclosed beyond the controlling shareholder group)</t>
        </is>
      </c>
      <c r="BP24" s="135" t="n">
        <v>0.189</v>
      </c>
      <c r="BQ24" s="135" t="n">
        <v>0.31</v>
      </c>
      <c r="BR24" s="137" t="n">
        <v>60217000</v>
      </c>
      <c r="BS24" s="51" t="inlineStr">
        <is>
          <t>规模商业化</t>
        </is>
      </c>
      <c r="BT24" s="142" t="n">
        <v>0</v>
      </c>
      <c r="BU24" s="60" t="inlineStr">
        <is>
          <t>Main Board</t>
        </is>
      </c>
      <c r="BV24" s="89" t="inlineStr">
        <is>
          <t>H Shares</t>
        </is>
      </c>
      <c r="BW24" s="61" t="n">
        <v>0</v>
      </c>
      <c r="BX24" s="77" t="n">
        <v>0</v>
      </c>
      <c r="BY24" s="77" t="n">
        <v>0</v>
      </c>
      <c r="BZ24" s="78" t="n">
        <v>0</v>
      </c>
      <c r="CA24" s="60" t="inlineStr">
        <is>
          <t>234070</t>
        </is>
      </c>
      <c r="CB24" s="76" t="inlineStr">
        <is>
          <t>HSICS (Hang Seng Industry Classification System) 2026</t>
        </is>
      </c>
      <c r="CC24" s="140" t="n">
        <v>41788</v>
      </c>
      <c r="CD24" s="171" t="n">
        <v>11.52</v>
      </c>
      <c r="CE24" s="76" t="inlineStr">
        <is>
          <t>PRC</t>
        </is>
      </c>
      <c r="CF24" s="89" t="inlineStr">
        <is>
          <t>Fuzhou, Fujian, PRC</t>
        </is>
      </c>
      <c r="CG24" s="91" t="n"/>
      <c r="CH24" s="60" t="inlineStr">
        <is>
          <t>IFRS Accounting Standards</t>
        </is>
      </c>
      <c r="CI24" s="141" t="n">
        <v>44927</v>
      </c>
      <c r="CJ24" s="141" t="n">
        <v>45291</v>
      </c>
      <c r="CK24" s="141" t="n">
        <v>45292</v>
      </c>
      <c r="CL24" s="141" t="n">
        <v>45657</v>
      </c>
      <c r="CM24" s="141" t="n">
        <v>45658</v>
      </c>
      <c r="CN24" s="64" t="n">
        <v>630732000</v>
      </c>
      <c r="CO24" s="64" t="n">
        <v>105631000</v>
      </c>
      <c r="CP24" s="64" t="n">
        <v>88550000</v>
      </c>
      <c r="CQ24" s="141" t="n">
        <v>45986</v>
      </c>
      <c r="CR24" s="141" t="n">
        <v>45989</v>
      </c>
      <c r="CS24" s="63" t="n">
        <v>23226020</v>
      </c>
      <c r="CT24" s="64" t="n">
        <v>230732000</v>
      </c>
      <c r="CU24" s="64" t="n">
        <v>105660000</v>
      </c>
      <c r="CV24" s="59" t="inlineStr">
        <is>
          <t>Unqualified opinion (true and fair view)</t>
        </is>
      </c>
      <c r="CW24" s="64" t="n">
        <v>38800000</v>
      </c>
      <c r="CX24" s="51" t="inlineStr">
        <is>
          <t>NA</t>
        </is>
      </c>
      <c r="CY24" s="142" t="n">
        <v>0</v>
      </c>
      <c r="CZ24" s="136" t="inlineStr">
        <is>
          <t>NA</t>
        </is>
      </c>
      <c r="DA24" s="143" t="n">
        <v>7324.29</v>
      </c>
      <c r="DB24" s="63" t="n">
        <v>173139</v>
      </c>
      <c r="DC24" s="63" t="n">
        <v>4069376000</v>
      </c>
      <c r="DD24" s="59" t="inlineStr">
        <is>
          <t>Subscription level 7,324.29 times</t>
        </is>
      </c>
      <c r="DE24" s="141" t="n">
        <v>45992</v>
      </c>
      <c r="DF24" s="141" t="n">
        <v>45993</v>
      </c>
      <c r="DG24" s="63" t="n">
        <v>5555600</v>
      </c>
      <c r="DH24" s="63" t="n">
        <v>555600</v>
      </c>
      <c r="DI24" s="63" t="n">
        <v>5000000</v>
      </c>
      <c r="DJ24" s="63" t="n">
        <v>0</v>
      </c>
      <c r="DK24" s="169" t="n">
        <v>0</v>
      </c>
      <c r="DL24" s="59" t="inlineStr">
        <is>
          <t>NA</t>
        </is>
      </c>
      <c r="DM24" s="144" t="n">
        <v>182160000</v>
      </c>
      <c r="DN24" s="142" t="n">
        <v>0.3045</v>
      </c>
      <c r="DO24" s="51" t="n">
        <v>55555600</v>
      </c>
      <c r="DP24" s="142" t="n">
        <v>0.1</v>
      </c>
      <c r="DQ24" s="59" t="inlineStr">
        <is>
          <t>Free float denominator = total issued Shares upon Listing (col_CZ = 55,555,600); numerator = H Shares issued under the Global Offering (5,555,600), all held by the public with no disposal restrictions; no cornerstone allocation to deduct</t>
        </is>
      </c>
      <c r="DR24" s="63" t="n">
        <v>55555600</v>
      </c>
      <c r="DS24" s="142" t="n">
        <v>-0.016959</v>
      </c>
      <c r="DT24" s="80" t="n">
        <v>31</v>
      </c>
      <c r="DU24" s="142" t="n">
        <v>0.026256</v>
      </c>
      <c r="DV24" s="144" t="n">
        <v>54212000000</v>
      </c>
      <c r="DW24" s="145" t="n">
        <v>54.5</v>
      </c>
      <c r="DX24" s="169" t="n">
        <v>0.3625</v>
      </c>
      <c r="DY24" s="172" t="n">
        <v>80556200</v>
      </c>
      <c r="DZ24" s="146" t="n">
        <v>64.8</v>
      </c>
      <c r="EA24" s="146" t="n">
        <v>78.65000000000001</v>
      </c>
      <c r="EB24" s="146" t="n">
        <v>49.3</v>
      </c>
      <c r="EC24" s="63" t="n">
        <v>2556200</v>
      </c>
      <c r="ED24" s="169" t="n">
        <v>0.460112</v>
      </c>
      <c r="EE24" s="64" t="n"/>
      <c r="EF24" s="60" t="inlineStr">
        <is>
          <t>Mechanism B</t>
        </is>
      </c>
      <c r="EG24" s="59" t="inlineStr">
        <is>
          <t>FINI (from 22/11/2023); 2025-08-04 pricing reform (Mechanism A/B; six-month cornerstone lock-up retained); this IPO: Mechanism B</t>
        </is>
      </c>
      <c r="EH24" t="inlineStr">
        <is>
          <t>乐摩科技服务股份有限公司</t>
        </is>
      </c>
      <c r="EI24" s="174" t="inlineStr">
        <is>
          <t>Active</t>
        </is>
      </c>
      <c r="EJ24" s="175" t="n">
        <v>36.421</v>
      </c>
      <c r="EK24" s="176" t="n">
        <v>-0.324549</v>
      </c>
      <c r="EL24" s="176" t="n">
        <v>-0.079698</v>
      </c>
      <c r="EM24" s="176" t="n">
        <v>0.022427</v>
      </c>
      <c r="EN24" s="176" t="n">
        <v>0.036409</v>
      </c>
      <c r="EO24" s="179" t="n">
        <v>0.6606</v>
      </c>
      <c r="EP24" s="179" t="n">
        <v>0.6516999999999999</v>
      </c>
      <c r="EQ24" s="178" t="n">
        <v>21752797.5</v>
      </c>
      <c r="ER24" s="175" t="n">
        <v>14.69</v>
      </c>
      <c r="ES24" s="176" t="n">
        <v>-0.727564</v>
      </c>
      <c r="ET24" s="176" t="n">
        <v>-0.628806</v>
      </c>
      <c r="EU24" s="176" t="n">
        <v>-0.00495</v>
      </c>
      <c r="EV24" s="176" t="n">
        <v>-0.086352</v>
      </c>
      <c r="EW24" s="179" t="n">
        <v>0.2738</v>
      </c>
      <c r="EX24" s="179" t="n">
        <v>0.2982</v>
      </c>
      <c r="EY24" s="178" t="n">
        <v>392498.5</v>
      </c>
      <c r="EZ24" s="176" t="n">
        <v>0.002522</v>
      </c>
      <c r="FA24" s="176" t="n"/>
      <c r="FB24" s="179" t="n"/>
      <c r="FC24" s="176" t="n"/>
      <c r="FD24" s="179" t="n"/>
      <c r="FE24" s="174" t="inlineStr">
        <is>
          <t>Standard</t>
        </is>
      </c>
      <c r="FF24" s="181" t="n"/>
      <c r="FG24" s="185" t="n"/>
      <c r="FH24" s="183" t="n"/>
      <c r="FI24" s="178" t="n"/>
      <c r="FJ24" s="176" t="n"/>
      <c r="FK24" s="185" t="n"/>
      <c r="FL24" s="178" t="n"/>
      <c r="FM24" s="176" t="n"/>
      <c r="FN24" s="176" t="n"/>
      <c r="FO24" s="176" t="n"/>
      <c r="FP24" s="176" t="n"/>
      <c r="FQ24" s="176" t="n">
        <v>0.250366</v>
      </c>
      <c r="FR24" s="179" t="n">
        <v>1.2664</v>
      </c>
      <c r="FS24" s="176" t="n">
        <v>-0.324549</v>
      </c>
      <c r="FT24" s="179" t="n">
        <v>0.6606</v>
      </c>
      <c r="FU24" s="176" t="n">
        <v>-0.688044</v>
      </c>
      <c r="FV24" s="179" t="n">
        <v>0.3119</v>
      </c>
      <c r="FW24" s="179" t="n">
        <v>0.3541</v>
      </c>
      <c r="FX24" s="178" t="n">
        <v>14709691.02</v>
      </c>
      <c r="FY24" s="186" t="n">
        <v>0.04586383333333333</v>
      </c>
      <c r="FZ24" s="183" t="n">
        <v>0</v>
      </c>
      <c r="GA24" s="176" t="n">
        <v>0.08611244942087982</v>
      </c>
      <c r="GB24" s="176" t="n">
        <v>0.82765</v>
      </c>
      <c r="GC24" s="185" t="n"/>
      <c r="GD24" s="185" t="n"/>
      <c r="GE24" s="176" t="n"/>
      <c r="GF24" s="176" t="n"/>
      <c r="GG24" s="179" t="n"/>
      <c r="GH24" s="181" t="inlineStr">
        <is>
          <t>China Securities (International) Corporate Finance Company Limited</t>
        </is>
      </c>
      <c r="GI24" s="183" t="n">
        <v>2</v>
      </c>
      <c r="GJ24" s="183" t="n">
        <v>0</v>
      </c>
      <c r="GK24" s="176" t="n">
        <v>0.025</v>
      </c>
      <c r="GL24" s="176" t="n"/>
      <c r="GM24" s="176" t="n"/>
      <c r="GN24" s="183" t="n">
        <v>0</v>
      </c>
      <c r="GO24" s="183" t="n">
        <v>0</v>
      </c>
      <c r="GP24" s="183" t="n">
        <v>0</v>
      </c>
      <c r="GQ24" s="183" t="n">
        <v>8</v>
      </c>
      <c r="GR24" s="183" t="n">
        <v>0</v>
      </c>
      <c r="GS24" s="181" t="inlineStr">
        <is>
          <t>POST_FINI</t>
        </is>
      </c>
      <c r="GT24" s="181" t="inlineStr">
        <is>
          <t>POST_2025_REFORM</t>
        </is>
      </c>
    </row>
    <row r="25" ht="51" customFormat="1" customHeight="1" s="11">
      <c r="A25" s="43" t="n">
        <v>93</v>
      </c>
      <c r="B25" s="47" t="inlineStr">
        <is>
          <t>2693.HK</t>
        </is>
      </c>
      <c r="C25" s="44" t="inlineStr">
        <is>
          <t>ANHUI JINYAN KAOLIN NEW MATERIALS CO., LTD. 
- H shares</t>
        </is>
      </c>
      <c r="D25" s="130" t="n">
        <v>45986</v>
      </c>
      <c r="E25" s="48" t="n">
        <v>45994</v>
      </c>
      <c r="F25" s="43" t="inlineStr">
        <is>
          <t>Guoyuan Capital (Hong Kong) Limited /
CMBC International Capital Limited</t>
        </is>
      </c>
      <c r="G25" s="43" t="inlineStr">
        <is>
          <t>Ernst &amp; Young</t>
        </is>
      </c>
      <c r="H25" s="43" t="inlineStr">
        <is>
          <t>Asia-Pacific Consulting and Appraisal Limited</t>
        </is>
      </c>
      <c r="I25" s="131" t="n">
        <v>17739000</v>
      </c>
      <c r="J25" s="148" t="n">
        <v>159651000</v>
      </c>
      <c r="K25" s="133" t="n">
        <v>7.3</v>
      </c>
      <c r="L25" t="n">
        <v>97194316</v>
      </c>
      <c r="M25" s="67" t="n">
        <v>24300000</v>
      </c>
      <c r="N25" t="n">
        <v>72894316</v>
      </c>
      <c r="O25" t="n">
        <v>72894316</v>
      </c>
      <c r="P25" t="n">
        <v>0</v>
      </c>
      <c r="Q25" t="n">
        <v>24300000</v>
      </c>
      <c r="R25" s="67" t="n">
        <v>21870000</v>
      </c>
      <c r="S25" s="67" t="n">
        <v>2430000</v>
      </c>
      <c r="T25" s="147" t="n">
        <v>7.3</v>
      </c>
      <c r="U25" s="147" t="n">
        <v>7.3</v>
      </c>
      <c r="V25" s="169" t="n">
        <v>0</v>
      </c>
      <c r="W25" s="169" t="n">
        <v>0</v>
      </c>
      <c r="X25" s="170" t="inlineStr">
        <is>
          <t>Fixed price</t>
        </is>
      </c>
      <c r="Y25" s="26" t="inlineStr">
        <is>
          <t>RMB</t>
        </is>
      </c>
      <c r="Z25" s="137" t="n">
        <v>739003000</v>
      </c>
      <c r="AA25" s="137" t="n">
        <v>926715000</v>
      </c>
      <c r="AB25" s="137" t="n">
        <v>914417000</v>
      </c>
      <c r="AC25" s="137" t="n">
        <v>407690000</v>
      </c>
      <c r="AD25" s="137" t="n">
        <v>460292000</v>
      </c>
      <c r="AE25" s="137" t="n">
        <v>478324000</v>
      </c>
      <c r="AF25" s="137" t="n">
        <v>331313000</v>
      </c>
      <c r="AG25" s="137" t="n">
        <v>466423000</v>
      </c>
      <c r="AH25" s="137" t="n">
        <v>436093000</v>
      </c>
      <c r="AI25" s="137" t="n">
        <v>204687000</v>
      </c>
      <c r="AJ25" s="137" t="n">
        <v>267142000</v>
      </c>
      <c r="AK25" s="137" t="n">
        <v>251757600</v>
      </c>
      <c r="AL25" s="137" t="n">
        <v>50001000</v>
      </c>
      <c r="AM25" s="137" t="n">
        <v>59490000</v>
      </c>
      <c r="AN25" s="137" t="n">
        <v>49269600</v>
      </c>
      <c r="AO25" s="137" t="n">
        <v>43617000</v>
      </c>
      <c r="AP25" s="137" t="n">
        <v>52602000</v>
      </c>
      <c r="AQ25" s="137" t="n">
        <v>43276800</v>
      </c>
      <c r="AR25" s="142" t="n">
        <v>0.026</v>
      </c>
      <c r="AS25" s="142" t="n">
        <v>0.026</v>
      </c>
      <c r="AT25" s="84" t="n">
        <v>0.15</v>
      </c>
      <c r="AU25" s="51" t="inlineStr">
        <is>
          <t>Coal-series kaolin mining, R&amp;D, processing, production and sales; precision casting mullite products, refractory mullite products, raw coke and raw powder and ceramic fiber</t>
        </is>
      </c>
      <c r="AV25" s="51" t="inlineStr">
        <is>
          <t>Main Board - profit test under Rule 8.05(1) of the Listing Rules</t>
        </is>
      </c>
      <c r="AW25" s="136" t="n">
        <v>45808</v>
      </c>
      <c r="AX25" s="137" t="n">
        <v>27519000</v>
      </c>
      <c r="AY25" s="117" t="n">
        <v>62478000</v>
      </c>
      <c r="AZ25" s="117" t="n">
        <v>4131000</v>
      </c>
      <c r="BA25" s="117" t="n">
        <v>0</v>
      </c>
      <c r="BB25" s="138" t="n">
        <v>0.245</v>
      </c>
      <c r="BC25" s="139" t="n">
        <v>0.416667</v>
      </c>
      <c r="BD25" s="80" t="inlineStr">
        <is>
          <t>NaN</t>
        </is>
      </c>
      <c r="BE25" s="161" t="inlineStr">
        <is>
          <t>NaN</t>
        </is>
      </c>
      <c r="BF25" s="161" t="inlineStr">
        <is>
          <t>NaN</t>
        </is>
      </c>
      <c r="BG25" s="161" t="inlineStr">
        <is>
          <t>NaN</t>
        </is>
      </c>
      <c r="BH25" s="161" t="inlineStr">
        <is>
          <t>NaN</t>
        </is>
      </c>
      <c r="BI25" s="161" t="inlineStr">
        <is>
          <t>NaN</t>
        </is>
      </c>
      <c r="BJ25" s="162" t="inlineStr">
        <is>
          <t>NA</t>
        </is>
      </c>
      <c r="BK25" s="163" t="inlineStr">
        <is>
          <t>NaN</t>
        </is>
      </c>
      <c r="BL25" s="161" t="inlineStr">
        <is>
          <t>NaN</t>
        </is>
      </c>
      <c r="BM25" s="164" t="inlineStr">
        <is>
          <t>NA</t>
        </is>
      </c>
      <c r="BN25" s="165" t="inlineStr">
        <is>
          <t>NaN</t>
        </is>
      </c>
      <c r="BO25" s="51" t="inlineStr">
        <is>
          <t>国资委</t>
        </is>
      </c>
      <c r="BP25" s="135" t="n">
        <v>0.75</v>
      </c>
      <c r="BQ25" s="135" t="n">
        <v>0.75</v>
      </c>
      <c r="BR25" s="137" t="n">
        <v>265466000</v>
      </c>
      <c r="BS25" s="51" t="inlineStr">
        <is>
          <t>Mass commercial production (established production and commercial sales of precision casting mullite and refractory mullite products)</t>
        </is>
      </c>
      <c r="BT25" s="142" t="n">
        <v>0.006</v>
      </c>
      <c r="BU25" s="60" t="inlineStr">
        <is>
          <t>Main Board</t>
        </is>
      </c>
      <c r="BV25" s="89" t="inlineStr">
        <is>
          <t>H Shares</t>
        </is>
      </c>
      <c r="BW25" s="61" t="n">
        <v>0</v>
      </c>
      <c r="BX25" s="77" t="n">
        <v>0</v>
      </c>
      <c r="BY25" s="77" t="n">
        <v>0</v>
      </c>
      <c r="BZ25" s="78" t="n">
        <v>0</v>
      </c>
      <c r="CA25" s="60" t="inlineStr">
        <is>
          <t>052040</t>
        </is>
      </c>
      <c r="CB25" s="76" t="inlineStr">
        <is>
          <t>HSICS (Hang Seng Industry Classification System) 2026</t>
        </is>
      </c>
      <c r="CC25" s="140" t="n">
        <v>41207</v>
      </c>
      <c r="CD25" s="171" t="n">
        <v>13.11</v>
      </c>
      <c r="CE25" s="76" t="inlineStr">
        <is>
          <t>PRC</t>
        </is>
      </c>
      <c r="CF25" s="89" t="inlineStr">
        <is>
          <t>Huaibei, Anhui Province, PRC</t>
        </is>
      </c>
      <c r="CG25" s="91" t="n">
        <v>1000</v>
      </c>
      <c r="CH25" s="60" t="inlineStr">
        <is>
          <t>IFRS Accounting Standards</t>
        </is>
      </c>
      <c r="CI25" s="141" t="n">
        <v>44927</v>
      </c>
      <c r="CJ25" s="141" t="n">
        <v>45291</v>
      </c>
      <c r="CK25" s="141" t="n">
        <v>45292</v>
      </c>
      <c r="CL25" s="141" t="n">
        <v>45657</v>
      </c>
      <c r="CM25" s="141" t="n">
        <v>45658</v>
      </c>
      <c r="CN25" s="64" t="n">
        <v>104899000</v>
      </c>
      <c r="CO25" s="64" t="n">
        <v>20529000</v>
      </c>
      <c r="CP25" s="64" t="n">
        <v>18032000</v>
      </c>
      <c r="CQ25" s="141" t="n">
        <v>45986</v>
      </c>
      <c r="CR25" s="141" t="n">
        <v>45989</v>
      </c>
      <c r="CS25" s="63" t="n">
        <v>24300000</v>
      </c>
      <c r="CT25" s="64" t="n">
        <v>37274000</v>
      </c>
      <c r="CU25" s="64" t="n">
        <v>25449000</v>
      </c>
      <c r="CV25" s="59" t="inlineStr">
        <is>
          <t>Unqualified opinion</t>
        </is>
      </c>
      <c r="CW25" s="64" t="n">
        <v>53100000</v>
      </c>
      <c r="CX25" s="51" t="inlineStr">
        <is>
          <t>Pingmei Shenma (Hong Kong) International Investment Limited; Hong Kong Chuangli Yingtai Investment Limited; Hong Kong Jinyuan Industry and Trade Limited; Degao Mining Technology Limited</t>
        </is>
      </c>
      <c r="CY25" s="142" t="n">
        <v>0.4297</v>
      </c>
      <c r="CZ25" s="136" t="n">
        <v>46176</v>
      </c>
      <c r="DA25" s="143" t="n">
        <v>6876.17</v>
      </c>
      <c r="DB25" s="63" t="n">
        <v>167039</v>
      </c>
      <c r="DC25" s="63" t="n">
        <v>16709093000</v>
      </c>
      <c r="DD25" s="59" t="inlineStr">
        <is>
          <t>Subscription level 6,876.17 times</t>
        </is>
      </c>
      <c r="DE25" s="141" t="inlineStr">
        <is>
          <t>NA</t>
        </is>
      </c>
      <c r="DF25" s="141" t="n">
        <v>45993</v>
      </c>
      <c r="DG25" s="63" t="n">
        <v>24300000</v>
      </c>
      <c r="DH25" s="63" t="n">
        <v>2430000</v>
      </c>
      <c r="DI25" s="63" t="n">
        <v>21870000</v>
      </c>
      <c r="DJ25" s="63" t="n">
        <v>0</v>
      </c>
      <c r="DK25" s="169" t="n">
        <v>0</v>
      </c>
      <c r="DL25" s="59" t="inlineStr">
        <is>
          <t>Claw-back triggered: No; the final number of Offer Shares under the Hong Kong Public Offering remained 2,430,000, being 10.00% of the Global Offering.</t>
        </is>
      </c>
      <c r="DM25" s="144" t="n">
        <v>124300000</v>
      </c>
      <c r="DN25" s="142" t="n">
        <v>0.25</v>
      </c>
      <c r="DO25" s="51" t="n">
        <v>97194316</v>
      </c>
      <c r="DP25" s="142" t="n">
        <v>0.1426</v>
      </c>
      <c r="DQ25" s="59" t="inlineStr">
        <is>
          <t>Free float denominator = total issued shares upon listing (col_CZ); numerator = offer shares minus cornerstone allocation</t>
        </is>
      </c>
      <c r="DR25" s="63" t="n">
        <v>97194316</v>
      </c>
      <c r="DS25" s="142" t="n">
        <v>-0.016959</v>
      </c>
      <c r="DT25" s="80" t="n">
        <v>31</v>
      </c>
      <c r="DU25" s="142" t="n">
        <v>0.026256</v>
      </c>
      <c r="DV25" s="144" t="n">
        <v>54212000000</v>
      </c>
      <c r="DW25" s="145" t="n">
        <v>7.46</v>
      </c>
      <c r="DX25" s="169" t="n">
        <v>0.021918</v>
      </c>
      <c r="DY25" s="172" t="n">
        <v>3888000</v>
      </c>
      <c r="DZ25" s="146" t="n">
        <v>9.300000000000001</v>
      </c>
      <c r="EA25" s="146" t="n">
        <v>9.800000000000001</v>
      </c>
      <c r="EB25" s="146" t="n">
        <v>7.25</v>
      </c>
      <c r="EC25" s="63" t="n">
        <v>11290500</v>
      </c>
      <c r="ED25" s="169" t="n">
        <v>0.46463</v>
      </c>
      <c r="EE25" s="64" t="n"/>
      <c r="EF25" s="60" t="inlineStr">
        <is>
          <t>Mechanism B</t>
        </is>
      </c>
      <c r="EG25" s="59" t="inlineStr">
        <is>
          <t>FINI (from 22/11/2023); 2025-08-04 pricing reform (Mechanism A/B; six-month cornerstone lock-up retained); this IPO: Mechanism B</t>
        </is>
      </c>
      <c r="EH25" t="inlineStr">
        <is>
          <t>安徽金岩高岭土新材料股份有限公司</t>
        </is>
      </c>
      <c r="EI25" s="174" t="inlineStr">
        <is>
          <t>Active</t>
        </is>
      </c>
      <c r="EJ25" s="175" t="n">
        <v>4.271</v>
      </c>
      <c r="EK25" s="176" t="n">
        <v>-0.406888</v>
      </c>
      <c r="EL25" s="176" t="n">
        <v>-0.393888</v>
      </c>
      <c r="EM25" s="176" t="n">
        <v>0.022427</v>
      </c>
      <c r="EN25" s="176" t="n">
        <v>0.036409</v>
      </c>
      <c r="EO25" s="179" t="n">
        <v>0.5800999999999999</v>
      </c>
      <c r="EP25" s="179" t="n">
        <v>0.5723</v>
      </c>
      <c r="EQ25" s="178" t="n">
        <v>10640382</v>
      </c>
      <c r="ER25" s="175" t="n">
        <v>3.7</v>
      </c>
      <c r="ES25" s="176" t="n">
        <v>-0.486182</v>
      </c>
      <c r="ET25" s="176" t="n">
        <v>-0.474921</v>
      </c>
      <c r="EU25" s="176" t="n">
        <v>-0.00495</v>
      </c>
      <c r="EV25" s="176" t="n">
        <v>-0.086352</v>
      </c>
      <c r="EW25" s="179" t="n">
        <v>0.5164</v>
      </c>
      <c r="EX25" s="179" t="n">
        <v>0.5624</v>
      </c>
      <c r="EY25" s="178" t="n">
        <v>59220.5</v>
      </c>
      <c r="EZ25" s="176" t="n">
        <v>0.000595</v>
      </c>
      <c r="FA25" s="176" t="n"/>
      <c r="FB25" s="179" t="n"/>
      <c r="FC25" s="176" t="n"/>
      <c r="FD25" s="179" t="n"/>
      <c r="FE25" s="174" t="inlineStr">
        <is>
          <t>Standard</t>
        </is>
      </c>
      <c r="FF25" s="181" t="n"/>
      <c r="FG25" s="185" t="n"/>
      <c r="FH25" s="183" t="n"/>
      <c r="FI25" s="178" t="n"/>
      <c r="FJ25" s="176" t="n"/>
      <c r="FK25" s="185" t="n"/>
      <c r="FL25" s="178" t="n"/>
      <c r="FM25" s="176" t="n"/>
      <c r="FN25" s="176" t="n"/>
      <c r="FO25" s="176" t="n"/>
      <c r="FP25" s="176" t="n"/>
      <c r="FQ25" s="176" t="n">
        <v>-0.077767</v>
      </c>
      <c r="FR25" s="179" t="n">
        <v>0.9341</v>
      </c>
      <c r="FS25" s="176" t="n">
        <v>-0.406888</v>
      </c>
      <c r="FT25" s="179" t="n">
        <v>0.5800999999999999</v>
      </c>
      <c r="FU25" s="176" t="n">
        <v>-0.374948</v>
      </c>
      <c r="FV25" s="179" t="n">
        <v>0.6249</v>
      </c>
      <c r="FW25" s="179" t="n">
        <v>0.7094</v>
      </c>
      <c r="FX25" s="178" t="n">
        <v>4160245.25</v>
      </c>
      <c r="FY25" s="186" t="n">
        <v>0.2146037916666667</v>
      </c>
      <c r="FZ25" s="183" t="n">
        <v>0</v>
      </c>
      <c r="GA25" s="176" t="n">
        <v>0.03597314479850278</v>
      </c>
      <c r="GB25" s="176" t="n">
        <v>0.618384</v>
      </c>
      <c r="GC25" s="185" t="n"/>
      <c r="GD25" s="185" t="n"/>
      <c r="GE25" s="176" t="n"/>
      <c r="GF25" s="176" t="n"/>
      <c r="GG25" s="179" t="n"/>
      <c r="GH25" s="181" t="inlineStr">
        <is>
          <t>Guoyuan Capital (Hong Kong) Limited</t>
        </is>
      </c>
      <c r="GI25" s="183" t="n">
        <v>2</v>
      </c>
      <c r="GJ25" s="183" t="n">
        <v>1</v>
      </c>
      <c r="GK25" s="176" t="n">
        <v>0.026</v>
      </c>
      <c r="GL25" s="176" t="n"/>
      <c r="GM25" s="176" t="n"/>
      <c r="GN25" s="183" t="n">
        <v>4</v>
      </c>
      <c r="GO25" s="183" t="n">
        <v>1</v>
      </c>
      <c r="GP25" s="183" t="n">
        <v>0</v>
      </c>
      <c r="GQ25" s="183" t="n">
        <v>0</v>
      </c>
      <c r="GR25" s="183" t="n">
        <v>0</v>
      </c>
      <c r="GS25" s="181" t="inlineStr">
        <is>
          <t>POST_FINI</t>
        </is>
      </c>
      <c r="GT25" s="181" t="inlineStr">
        <is>
          <t>POST_2025_REFORM</t>
        </is>
      </c>
    </row>
    <row r="26" ht="34" customFormat="1" customHeight="1" s="11">
      <c r="A26" s="43" t="n">
        <v>96</v>
      </c>
      <c r="B26" s="47" t="inlineStr">
        <is>
          <t>2408.HK</t>
        </is>
      </c>
      <c r="C26" s="44" t="inlineStr">
        <is>
          <t>Guangzhou Xiao Noodles Catering Management Co., Ltd.- H shares</t>
        </is>
      </c>
      <c r="D26" s="130" t="n">
        <v>45988</v>
      </c>
      <c r="E26" s="48" t="n">
        <v>45996</v>
      </c>
      <c r="F26" s="43" t="inlineStr">
        <is>
          <t>CMB International Capital Limited</t>
        </is>
      </c>
      <c r="G26" s="43" t="inlineStr">
        <is>
          <t>KPMG</t>
        </is>
      </c>
      <c r="H26" s="43" t="n"/>
      <c r="I26" s="131" t="n">
        <v>68544960</v>
      </c>
      <c r="J26" s="148" t="n">
        <v>616901120</v>
      </c>
      <c r="K26" s="133" t="n">
        <v>7.04</v>
      </c>
      <c r="L26" t="n">
        <v>710689300</v>
      </c>
      <c r="M26" s="67" t="n">
        <v>97364500</v>
      </c>
      <c r="N26" t="n">
        <v>613324800</v>
      </c>
      <c r="O26" t="n">
        <v>613324800</v>
      </c>
      <c r="P26" t="n">
        <v>0</v>
      </c>
      <c r="Q26" t="n">
        <v>97364500</v>
      </c>
      <c r="R26" s="67" t="n">
        <v>87628000</v>
      </c>
      <c r="S26" s="67" t="n">
        <v>9736500</v>
      </c>
      <c r="T26" s="147" t="n">
        <v>7.04</v>
      </c>
      <c r="U26" s="147" t="n">
        <v>5.64</v>
      </c>
      <c r="V26" s="169" t="n">
        <v>0.11041</v>
      </c>
      <c r="W26" s="169" t="n">
        <v>0.22082</v>
      </c>
      <c r="X26" s="170" t="inlineStr">
        <is>
          <t>At high</t>
        </is>
      </c>
      <c r="Y26" s="26" t="inlineStr">
        <is>
          <t>RMB</t>
        </is>
      </c>
      <c r="Z26" s="137" t="n">
        <v>842497000</v>
      </c>
      <c r="AA26" s="137" t="n">
        <v>1161133000</v>
      </c>
      <c r="AB26" s="137" t="n">
        <v>1208906000</v>
      </c>
      <c r="AC26" s="137" t="n">
        <v>53793000</v>
      </c>
      <c r="AD26" s="137" t="n">
        <v>117777000</v>
      </c>
      <c r="AE26" s="137" t="n">
        <v>147090000</v>
      </c>
      <c r="AF26" s="137" t="n">
        <v>788704000</v>
      </c>
      <c r="AG26" s="137" t="n">
        <v>1043356000</v>
      </c>
      <c r="AH26" s="137" t="n">
        <v>1061816000</v>
      </c>
      <c r="AI26" s="137" t="n">
        <v>800514000</v>
      </c>
      <c r="AJ26" s="137" t="n">
        <v>1154434000</v>
      </c>
      <c r="AK26" s="137" t="n">
        <v>1406370000</v>
      </c>
      <c r="AL26" s="137" t="n">
        <v>57138000</v>
      </c>
      <c r="AM26" s="137" t="n">
        <v>74881000</v>
      </c>
      <c r="AN26" s="137" t="n">
        <v>104592000</v>
      </c>
      <c r="AO26" s="137" t="n">
        <v>45914000</v>
      </c>
      <c r="AP26" s="137" t="n">
        <v>60700000</v>
      </c>
      <c r="AQ26" s="137" t="n">
        <v>83668000</v>
      </c>
      <c r="AR26" s="142" t="n">
        <v>0.03</v>
      </c>
      <c r="AS26" s="142" t="n">
        <v>0.03</v>
      </c>
      <c r="AT26" s="84" t="n">
        <v>0.05</v>
      </c>
      <c r="AU26" s="51" t="inlineStr">
        <is>
          <t>Chinese noodle restaurant operator</t>
        </is>
      </c>
      <c r="AV26" s="51" t="inlineStr">
        <is>
          <t>Main Board - Rule 8.05(2) market capitalisation/revenue/cash flow test</t>
        </is>
      </c>
      <c r="AW26" s="136" t="n">
        <v>45838</v>
      </c>
      <c r="AX26" s="137" t="n">
        <v>202051000</v>
      </c>
      <c r="AY26" s="117" t="n">
        <v>50032000</v>
      </c>
      <c r="AZ26" s="117" t="inlineStr">
        <is>
          <t>NaN</t>
        </is>
      </c>
      <c r="BA26" s="117" t="inlineStr">
        <is>
          <t>NaN</t>
        </is>
      </c>
      <c r="BB26" s="138" t="n">
        <v>0.042</v>
      </c>
      <c r="BC26" s="139" t="n">
        <v>0.5</v>
      </c>
      <c r="BD26" s="80" t="n">
        <v>1</v>
      </c>
      <c r="BE26" s="161" t="n">
        <v>1</v>
      </c>
      <c r="BF26" s="161" t="n">
        <v>1</v>
      </c>
      <c r="BG26" s="161" t="n">
        <v>1</v>
      </c>
      <c r="BH26" s="161" t="inlineStr">
        <is>
          <t>NaN</t>
        </is>
      </c>
      <c r="BI26" s="161" t="n">
        <v>1</v>
      </c>
      <c r="BJ26" s="162" t="inlineStr">
        <is>
          <t>Wonderful Dawn Holdings Limited; Pinxin Yuegu; Huibi No. 1; Huibi No. 2; Qingcong Capital; Mr. Gu Dongsheng; Mr. Gao Defu; Mr. Wei Chuanfa; Mr. Du Ming</t>
        </is>
      </c>
      <c r="BK26" s="163" t="n">
        <v>0.3425</v>
      </c>
      <c r="BL26" s="161" t="n">
        <v>1</v>
      </c>
      <c r="BM26" s="164" t="inlineStr">
        <is>
          <t>Angel Investment</t>
        </is>
      </c>
      <c r="BN26" s="165" t="n">
        <v>11.16</v>
      </c>
      <c r="BO26" s="51" t="inlineStr">
        <is>
          <t>自然人</t>
        </is>
      </c>
      <c r="BP26" s="135" t="n">
        <v>0.4598</v>
      </c>
      <c r="BQ26" s="135" t="n">
        <v>0.4598</v>
      </c>
      <c r="BR26" s="137" t="n">
        <v>762224000</v>
      </c>
      <c r="BS26" s="51" t="inlineStr">
        <is>
          <t>NA</t>
        </is>
      </c>
      <c r="BT26" s="142" t="n">
        <v>0</v>
      </c>
      <c r="BU26" s="60" t="inlineStr">
        <is>
          <t>Main Board</t>
        </is>
      </c>
      <c r="BV26" s="89" t="inlineStr">
        <is>
          <t>H Shares</t>
        </is>
      </c>
      <c r="BW26" s="61" t="n">
        <v>0</v>
      </c>
      <c r="BX26" s="77" t="n">
        <v>0</v>
      </c>
      <c r="BY26" s="77" t="n">
        <v>0</v>
      </c>
      <c r="BZ26" s="78" t="n">
        <v>0</v>
      </c>
      <c r="CA26" s="60" t="inlineStr">
        <is>
          <t>234060</t>
        </is>
      </c>
      <c r="CB26" s="76" t="inlineStr">
        <is>
          <t>HSICS (Hang Seng Industry Classification System) 2026</t>
        </is>
      </c>
      <c r="CC26" s="140" t="n">
        <v>41684</v>
      </c>
      <c r="CD26" s="171" t="n">
        <v>11.81</v>
      </c>
      <c r="CE26" s="76" t="inlineStr">
        <is>
          <t>PRC</t>
        </is>
      </c>
      <c r="CF26" s="89" t="inlineStr">
        <is>
          <t>Guangzhou, Guangdong province, China</t>
        </is>
      </c>
      <c r="CG26" s="91" t="n"/>
      <c r="CH26" s="60" t="inlineStr">
        <is>
          <t>IFRS Accounting Standards</t>
        </is>
      </c>
      <c r="CI26" s="141" t="n">
        <v>44927</v>
      </c>
      <c r="CJ26" s="141" t="n">
        <v>45291</v>
      </c>
      <c r="CK26" s="141" t="n">
        <v>45292</v>
      </c>
      <c r="CL26" s="141" t="n">
        <v>45657</v>
      </c>
      <c r="CM26" s="141" t="n">
        <v>45658</v>
      </c>
      <c r="CN26" s="64" t="n">
        <v>703185000</v>
      </c>
      <c r="CO26" s="64" t="n">
        <v>52296000</v>
      </c>
      <c r="CP26" s="64" t="n">
        <v>41834000</v>
      </c>
      <c r="CQ26" s="141" t="n">
        <v>45988</v>
      </c>
      <c r="CR26" s="141" t="n">
        <v>45993</v>
      </c>
      <c r="CS26" s="63" t="n">
        <v>710689300</v>
      </c>
      <c r="CT26" s="64" t="inlineStr">
        <is>
          <t>NaN</t>
        </is>
      </c>
      <c r="CU26" s="64" t="n">
        <v>53662000</v>
      </c>
      <c r="CV26" s="59" t="inlineStr">
        <is>
          <t>Unqualified opinion</t>
        </is>
      </c>
      <c r="CW26" s="64" t="n">
        <v>65700000</v>
      </c>
      <c r="CX26" s="51" t="inlineStr">
        <is>
          <t>HHLR Advisors, Ltd.; Guotai Junan Investments (Hong Kong) Limited; Dream'ee (Hong Kong) Open-ended Fund Company; Hong Kong Shengying Investment Limited; Zeta Wisdom OFC; Hai Di Lao Holdings Pte. Ltd.</t>
        </is>
      </c>
      <c r="CY26" s="142" t="n">
        <v>0.2495</v>
      </c>
      <c r="CZ26" s="136" t="n">
        <v>46178</v>
      </c>
      <c r="DA26" s="143" t="n">
        <v>425.97</v>
      </c>
      <c r="DB26" s="63" t="n">
        <v>61057</v>
      </c>
      <c r="DC26" s="63" t="n">
        <v>4147499500</v>
      </c>
      <c r="DD26" s="59" t="inlineStr">
        <is>
          <t>Subscription level 425.97 times</t>
        </is>
      </c>
      <c r="DE26" s="141" t="n">
        <v>45994</v>
      </c>
      <c r="DF26" s="141" t="n">
        <v>45995</v>
      </c>
      <c r="DG26" s="63" t="n">
        <v>97364500</v>
      </c>
      <c r="DH26" s="63" t="n">
        <v>9736500</v>
      </c>
      <c r="DI26" s="63" t="n">
        <v>87628000</v>
      </c>
      <c r="DJ26" s="63" t="n">
        <v>0</v>
      </c>
      <c r="DK26" s="169" t="n">
        <v>0</v>
      </c>
      <c r="DL26" s="59" t="inlineStr">
        <is>
          <t>Reallocation: No. No. of Offer Shares reallocated from the International Offering: 0</t>
        </is>
      </c>
      <c r="DM26" s="144" t="n">
        <v>617000000</v>
      </c>
      <c r="DN26" s="142" t="n">
        <v>0.4069</v>
      </c>
      <c r="DO26" s="51" t="n">
        <v>710689300</v>
      </c>
      <c r="DP26" s="142" t="n">
        <v>0.1028</v>
      </c>
      <c r="DQ26" s="59" t="inlineStr">
        <is>
          <t>Free float numerator = Offer Shares allotted to investors who are not core connected persons and not subject to disposal restrictions; H Shares held by all existing Shareholders and the Cornerstone Investors are excluded from the free float; denominator = total issued Shares upon Listing.</t>
        </is>
      </c>
      <c r="DR26" s="63" t="n">
        <v>710689300</v>
      </c>
      <c r="DS26" s="142" t="n">
        <v>-0.01586802</v>
      </c>
      <c r="DT26" s="80" t="n">
        <v>30</v>
      </c>
      <c r="DU26" s="142" t="n">
        <v>0.0297768</v>
      </c>
      <c r="DV26" s="144" t="n">
        <v>54229000000</v>
      </c>
      <c r="DW26" s="145" t="n">
        <v>5.08</v>
      </c>
      <c r="DX26" s="169" t="n">
        <v>-0.278409</v>
      </c>
      <c r="DY26" s="172" t="n">
        <v>-190834420</v>
      </c>
      <c r="DZ26" s="146" t="n">
        <v>5</v>
      </c>
      <c r="EA26" s="146" t="n">
        <v>5.5</v>
      </c>
      <c r="EB26" s="146" t="n">
        <v>4.98</v>
      </c>
      <c r="EC26" s="63" t="n">
        <v>36041420</v>
      </c>
      <c r="ED26" s="169" t="n">
        <v>0.37017</v>
      </c>
      <c r="EE26" s="64" t="n"/>
      <c r="EF26" s="60" t="inlineStr">
        <is>
          <t>Mechanism B</t>
        </is>
      </c>
      <c r="EG26" s="59" t="inlineStr">
        <is>
          <t>FINI (from 22/11/2023); 2025-08-04 pricing reform (Mechanism A/B; six-month cornerstone lock-up retained); this IPO: Mechanism B</t>
        </is>
      </c>
      <c r="EH26" t="inlineStr">
        <is>
          <t>广州遇见小面餐饮股份有限公司</t>
        </is>
      </c>
      <c r="EI26" s="174" t="inlineStr">
        <is>
          <t>Active</t>
        </is>
      </c>
      <c r="EJ26" s="175" t="n">
        <v>4.296</v>
      </c>
      <c r="EK26" s="176" t="n">
        <v>-0.148633</v>
      </c>
      <c r="EL26" s="176" t="n">
        <v>-0.385661</v>
      </c>
      <c r="EM26" s="176" t="n">
        <v>0.023974</v>
      </c>
      <c r="EN26" s="176" t="n">
        <v>0.028751</v>
      </c>
      <c r="EO26" s="179" t="n">
        <v>0.8314</v>
      </c>
      <c r="EP26" s="179" t="n">
        <v>0.8276</v>
      </c>
      <c r="EQ26" s="178" t="n">
        <v>15383958</v>
      </c>
      <c r="ER26" s="175" t="n">
        <v>4.316</v>
      </c>
      <c r="ES26" s="176" t="n">
        <v>-0.144669</v>
      </c>
      <c r="ET26" s="176" t="n">
        <v>-0.382801</v>
      </c>
      <c r="EU26" s="176" t="n">
        <v>-0.043056</v>
      </c>
      <c r="EV26" s="176" t="n">
        <v>-0.136702</v>
      </c>
      <c r="EW26" s="179" t="n">
        <v>0.8938</v>
      </c>
      <c r="EX26" s="179" t="n">
        <v>0.9908</v>
      </c>
      <c r="EY26" s="178" t="n">
        <v>4648987.5</v>
      </c>
      <c r="EZ26" s="176" t="n">
        <v>0.024225</v>
      </c>
      <c r="FA26" s="176" t="n"/>
      <c r="FB26" s="179" t="n"/>
      <c r="FC26" s="176" t="n"/>
      <c r="FD26" s="179" t="n"/>
      <c r="FE26" s="174" t="inlineStr">
        <is>
          <t>Standard</t>
        </is>
      </c>
      <c r="FF26" s="181" t="n"/>
      <c r="FG26" s="185" t="n"/>
      <c r="FH26" s="183" t="n"/>
      <c r="FI26" s="178" t="n"/>
      <c r="FJ26" s="176" t="n"/>
      <c r="FK26" s="185" t="n"/>
      <c r="FL26" s="178" t="n"/>
      <c r="FM26" s="176" t="n"/>
      <c r="FN26" s="176" t="n"/>
      <c r="FO26" s="176" t="n"/>
      <c r="FP26" s="176" t="n"/>
      <c r="FQ26" s="176" t="n">
        <v>-0.015854</v>
      </c>
      <c r="FR26" s="179" t="n">
        <v>1.0055</v>
      </c>
      <c r="FS26" s="176" t="n">
        <v>-0.148633</v>
      </c>
      <c r="FT26" s="179" t="n">
        <v>0.8314</v>
      </c>
      <c r="FU26" s="176" t="n">
        <v>-0.057471</v>
      </c>
      <c r="FV26" s="179" t="n">
        <v>0.971</v>
      </c>
      <c r="FW26" s="179" t="n">
        <v>1.1127</v>
      </c>
      <c r="FX26" s="178" t="n">
        <v>7748507.12</v>
      </c>
      <c r="FY26" s="186" t="n">
        <v>0.009204733333333333</v>
      </c>
      <c r="FZ26" s="183" t="n">
        <v>0</v>
      </c>
      <c r="GA26" s="176" t="n">
        <v>0.0366825760044092</v>
      </c>
      <c r="GB26" s="176" t="n">
        <v>0.337972</v>
      </c>
      <c r="GC26" s="185" t="n"/>
      <c r="GD26" s="185" t="n"/>
      <c r="GE26" s="176" t="n"/>
      <c r="GF26" s="176" t="n"/>
      <c r="GG26" s="179" t="n"/>
      <c r="GH26" s="181" t="inlineStr">
        <is>
          <t>CMB International Capital Limited</t>
        </is>
      </c>
      <c r="GI26" s="183" t="n">
        <v>1</v>
      </c>
      <c r="GJ26" s="183" t="n">
        <v>1</v>
      </c>
      <c r="GK26" s="176" t="n">
        <v>0.03</v>
      </c>
      <c r="GL26" s="176" t="n"/>
      <c r="GM26" s="176" t="n"/>
      <c r="GN26" s="183" t="n">
        <v>7</v>
      </c>
      <c r="GO26" s="183" t="n">
        <v>1</v>
      </c>
      <c r="GP26" s="183" t="n">
        <v>0</v>
      </c>
      <c r="GQ26" s="183" t="n">
        <v>9</v>
      </c>
      <c r="GR26" s="183" t="n">
        <v>1</v>
      </c>
      <c r="GS26" s="181" t="inlineStr">
        <is>
          <t>POST_FINI</t>
        </is>
      </c>
      <c r="GT26" s="181" t="inlineStr">
        <is>
          <t>POST_2025_REFORM</t>
        </is>
      </c>
    </row>
    <row r="27" ht="51" customFormat="1" customHeight="1" s="11">
      <c r="A27" s="43" t="n">
        <v>95</v>
      </c>
      <c r="B27" s="47" t="inlineStr">
        <is>
          <t>2658.HK</t>
        </is>
      </c>
      <c r="C27" s="44" t="inlineStr">
        <is>
          <t>Guangdong Tianyu Semiconductor Co., Ltd. 
- H shares</t>
        </is>
      </c>
      <c r="D27" s="130" t="n">
        <v>45988</v>
      </c>
      <c r="E27" s="48" t="n">
        <v>45996</v>
      </c>
      <c r="F27" s="43" t="inlineStr">
        <is>
          <t>CITIC Securities (Hong Kong) Limited</t>
        </is>
      </c>
      <c r="G27" s="43" t="inlineStr">
        <is>
          <t>KPMG</t>
        </is>
      </c>
      <c r="H27" s="43" t="inlineStr">
        <is>
          <t>Jones Lang LaSalle Corporate Appraisal and Advisory Limited</t>
        </is>
      </c>
      <c r="I27" s="131" t="n">
        <v>174408900</v>
      </c>
      <c r="J27" s="148" t="n">
        <v>1569680100</v>
      </c>
      <c r="K27" s="133" t="n">
        <v>58</v>
      </c>
      <c r="L27" t="n">
        <v>393268511</v>
      </c>
      <c r="M27" s="67" t="n">
        <v>30070500</v>
      </c>
      <c r="N27" t="n">
        <v>363198011</v>
      </c>
      <c r="O27" t="n">
        <v>363198011</v>
      </c>
      <c r="P27" t="n">
        <v>0</v>
      </c>
      <c r="Q27" t="n">
        <v>30070500</v>
      </c>
      <c r="R27" s="67" t="n">
        <v>27063450</v>
      </c>
      <c r="S27" s="67" t="n">
        <v>3007050</v>
      </c>
      <c r="T27" s="147" t="n">
        <v>58</v>
      </c>
      <c r="U27" s="147" t="n">
        <v>58</v>
      </c>
      <c r="V27" s="169" t="n">
        <v>0</v>
      </c>
      <c r="W27" s="169" t="n">
        <v>0</v>
      </c>
      <c r="X27" s="170" t="inlineStr">
        <is>
          <t>Fixed price</t>
        </is>
      </c>
      <c r="Y27" s="26" t="inlineStr">
        <is>
          <t>RMB</t>
        </is>
      </c>
      <c r="Z27" s="137" t="n">
        <v>3043023000</v>
      </c>
      <c r="AA27" s="137" t="n">
        <v>3479553000</v>
      </c>
      <c r="AB27" s="137" t="n">
        <v>3556606000</v>
      </c>
      <c r="AC27" s="137" t="n">
        <v>1696695000</v>
      </c>
      <c r="AD27" s="137" t="n">
        <v>1219609000</v>
      </c>
      <c r="AE27" s="137" t="n">
        <v>1239998000</v>
      </c>
      <c r="AF27" s="137" t="n">
        <v>1346328000</v>
      </c>
      <c r="AG27" s="137" t="n">
        <v>2259944000</v>
      </c>
      <c r="AH27" s="137" t="n">
        <v>2316608000</v>
      </c>
      <c r="AI27" s="137" t="n">
        <v>1171214000</v>
      </c>
      <c r="AJ27" s="137" t="n">
        <v>519622000</v>
      </c>
      <c r="AK27" s="137" t="n">
        <v>616406400</v>
      </c>
      <c r="AL27" s="137" t="n">
        <v>111009000</v>
      </c>
      <c r="AM27" s="137" t="n">
        <v>-589188000</v>
      </c>
      <c r="AN27" s="137" t="n">
        <v>27816000</v>
      </c>
      <c r="AO27" s="137" t="n">
        <v>95882000</v>
      </c>
      <c r="AP27" s="137" t="n">
        <v>-500252000</v>
      </c>
      <c r="AQ27" s="137" t="n">
        <v>22836000</v>
      </c>
      <c r="AR27" s="142" t="n">
        <v>0.0198</v>
      </c>
      <c r="AS27" s="142" t="n">
        <v>0.0198</v>
      </c>
      <c r="AT27" s="84" t="n">
        <v>0.15</v>
      </c>
      <c r="AU27" s="51" t="inlineStr">
        <is>
          <t>Manufacturing of silicon carbide (SiC) epitaxial wafers; provision of SiC epitaxial foundry services</t>
        </is>
      </c>
      <c r="AV27" s="51" t="inlineStr">
        <is>
          <t>Main Board, Rule 8.05(3) market capitalization/revenue test (PRC issuer under Chapter 19A)</t>
        </is>
      </c>
      <c r="AW27" s="136" t="n">
        <v>45808</v>
      </c>
      <c r="AX27" s="137" t="n">
        <v>61092000</v>
      </c>
      <c r="AY27" s="117" t="n">
        <v>95349000</v>
      </c>
      <c r="AZ27" s="117" t="n">
        <v>19874000</v>
      </c>
      <c r="BA27" s="117" t="n">
        <v>84000</v>
      </c>
      <c r="BB27" s="138" t="n">
        <v>0.618</v>
      </c>
      <c r="BC27" s="139" t="n">
        <v>0.416667</v>
      </c>
      <c r="BD27" s="80" t="n">
        <v>1</v>
      </c>
      <c r="BE27" s="161" t="n">
        <v>1</v>
      </c>
      <c r="BF27" s="161" t="n">
        <v>1</v>
      </c>
      <c r="BG27" s="161" t="n">
        <v>1</v>
      </c>
      <c r="BH27" s="161" t="n">
        <v>1</v>
      </c>
      <c r="BI27" s="161" t="inlineStr">
        <is>
          <t>NaN</t>
        </is>
      </c>
      <c r="BJ27" s="162" t="inlineStr">
        <is>
          <t>Habo Technology; Shangqi Huizhu; BYD; Jiaxing Qiying; Chuangqi Kaiying; Dazhong Industrial; Jiaxing Haiyu; Yibin Chendao; Chengyi Xinrui; Chaoxing Capital; Fupu Investment; Jinyun Tianyu; China-Belgium Fund; Yueke Xintai; Yongyue Chengzhang; Chunyang Jiutai; Liwan Investment; Qingyi Xinyang; Zhongguangyuan; Liwan Youxuan; Guanshun Investment; Guanling Investment; Zhongshan Lianxin; Huanyu Investment; Liwan Beizeng; Liderang; Huatuo Hefu; Bozhong Innovation; Runfu Investment</t>
        </is>
      </c>
      <c r="BK27" s="163" t="n">
        <v>0.211174</v>
      </c>
      <c r="BL27" s="161" t="n">
        <v>1</v>
      </c>
      <c r="BM27" s="164" t="inlineStr">
        <is>
          <t>July 2021 Capital Increase</t>
        </is>
      </c>
      <c r="BN27" s="165" t="n">
        <v>4.5</v>
      </c>
      <c r="BO27" s="51" t="inlineStr">
        <is>
          <t>Natural person (Mr. Li Xiguang and Mr. Au Yeung Chung, acting in concert)</t>
        </is>
      </c>
      <c r="BP27" s="135" t="n">
        <v>0.538954</v>
      </c>
      <c r="BQ27" s="135" t="n">
        <v>0.538954</v>
      </c>
      <c r="BR27" s="137" t="n">
        <v>1905383000</v>
      </c>
      <c r="BS27" s="51" t="inlineStr">
        <is>
          <t>Mass commercialisation (mass production of 4-inch and 6-inch SiC epitaxial wafers since 2014 and 2018; capability to mass produce 8-inch since 2023)</t>
        </is>
      </c>
      <c r="BT27" s="142" t="n">
        <v>0</v>
      </c>
      <c r="BU27" s="60" t="inlineStr">
        <is>
          <t>Main Board</t>
        </is>
      </c>
      <c r="BV27" s="89" t="inlineStr">
        <is>
          <t>H Shares</t>
        </is>
      </c>
      <c r="BW27" s="61" t="n">
        <v>0</v>
      </c>
      <c r="BX27" s="77" t="n">
        <v>0</v>
      </c>
      <c r="BY27" s="77" t="n">
        <v>0</v>
      </c>
      <c r="BZ27" s="78" t="n">
        <v>0</v>
      </c>
      <c r="CA27" s="60" t="inlineStr">
        <is>
          <t>703020</t>
        </is>
      </c>
      <c r="CB27" s="76" t="inlineStr">
        <is>
          <t>HSICS (Hang Seng Industry Classification System) 2026</t>
        </is>
      </c>
      <c r="CC27" s="140" t="n">
        <v>39820</v>
      </c>
      <c r="CD27" s="171" t="n">
        <v>16.91</v>
      </c>
      <c r="CE27" s="76" t="inlineStr">
        <is>
          <t>PRC</t>
        </is>
      </c>
      <c r="CF27" s="89" t="inlineStr">
        <is>
          <t>Dongguan, Guangdong Province, the PRC</t>
        </is>
      </c>
      <c r="CG27" s="91" t="n"/>
      <c r="CH27" s="60" t="inlineStr">
        <is>
          <t>IFRS Accounting Standards</t>
        </is>
      </c>
      <c r="CI27" s="141" t="n">
        <v>44927</v>
      </c>
      <c r="CJ27" s="141" t="n">
        <v>45291</v>
      </c>
      <c r="CK27" s="141" t="n">
        <v>45292</v>
      </c>
      <c r="CL27" s="141" t="n">
        <v>45657</v>
      </c>
      <c r="CM27" s="141" t="n">
        <v>45658</v>
      </c>
      <c r="CN27" s="64" t="n">
        <v>256836000</v>
      </c>
      <c r="CO27" s="64" t="n">
        <v>11590000</v>
      </c>
      <c r="CP27" s="64" t="n">
        <v>9515000</v>
      </c>
      <c r="CQ27" s="141" t="n">
        <v>45988</v>
      </c>
      <c r="CR27" s="141" t="n">
        <v>45993</v>
      </c>
      <c r="CS27" s="63" t="n">
        <v>58990426</v>
      </c>
      <c r="CT27" s="64" t="n">
        <v>57765000</v>
      </c>
      <c r="CU27" s="64" t="n">
        <v>215499000</v>
      </c>
      <c r="CV27" s="59" t="inlineStr">
        <is>
          <t>Unqualified opinion</t>
        </is>
      </c>
      <c r="CW27" s="64" t="n">
        <v>73000000</v>
      </c>
      <c r="CX27" s="51" t="inlineStr">
        <is>
          <t>Guangdong Primitive Forest Fund Management Co., Ltd and GF Global Capital Limited (in connection with the OTC Swaps); Glory Ocean Innovation Limited</t>
        </is>
      </c>
      <c r="CY27" s="142" t="n">
        <v>0.0926</v>
      </c>
      <c r="CZ27" s="136" t="n">
        <v>46178</v>
      </c>
      <c r="DA27" s="143" t="n">
        <v>60.63</v>
      </c>
      <c r="DB27" s="63" t="n">
        <v>45511</v>
      </c>
      <c r="DC27" s="63" t="n">
        <v>182302700</v>
      </c>
      <c r="DD27" s="59" t="inlineStr">
        <is>
          <t>Subscription level 60.63 times</t>
        </is>
      </c>
      <c r="DE27" s="141" t="inlineStr">
        <is>
          <t>NA</t>
        </is>
      </c>
      <c r="DF27" s="141" t="n">
        <v>45996</v>
      </c>
      <c r="DG27" s="63" t="n">
        <v>30070500</v>
      </c>
      <c r="DH27" s="63" t="n">
        <v>3007050</v>
      </c>
      <c r="DI27" s="63" t="n">
        <v>27063450</v>
      </c>
      <c r="DJ27" s="63" t="n">
        <v>0</v>
      </c>
      <c r="DK27" s="169" t="n">
        <v>0</v>
      </c>
      <c r="DL27" s="59" t="inlineStr">
        <is>
          <t>Claw-back triggered No; final no. of Offer Shares under the Public Offer 3,007,050; % of Offer Shares under the Public Offer to the Global Offering 10%</t>
        </is>
      </c>
      <c r="DM27" s="144" t="n">
        <v>1673100000</v>
      </c>
      <c r="DN27" s="142" t="n">
        <v>0.15</v>
      </c>
      <c r="DO27" s="51" t="n">
        <v>393268511</v>
      </c>
      <c r="DP27" s="142" t="n">
        <v>0.0694</v>
      </c>
      <c r="DQ27" s="59" t="inlineStr">
        <is>
          <t>Free float denominator = total issued shares upon listing (col_CZ); numerator = offer shares minus cornerstone allocation</t>
        </is>
      </c>
      <c r="DR27" s="63" t="n">
        <v>393268511</v>
      </c>
      <c r="DS27" s="142" t="n">
        <v>-0.01586802</v>
      </c>
      <c r="DT27" s="80" t="n">
        <v>30</v>
      </c>
      <c r="DU27" s="142" t="n">
        <v>0.0297768</v>
      </c>
      <c r="DV27" s="144" t="n">
        <v>54229000000</v>
      </c>
      <c r="DW27" s="145" t="n">
        <v>40.5</v>
      </c>
      <c r="DX27" s="169" t="n">
        <v>-0.301724</v>
      </c>
      <c r="DY27" s="172" t="n">
        <v>-526233750</v>
      </c>
      <c r="DZ27" s="146" t="n">
        <v>38</v>
      </c>
      <c r="EA27" s="146" t="n">
        <v>47.84</v>
      </c>
      <c r="EB27" s="146" t="n">
        <v>38</v>
      </c>
      <c r="EC27" s="63" t="n">
        <v>3726088</v>
      </c>
      <c r="ED27" s="169" t="n">
        <v>0.123912</v>
      </c>
      <c r="EE27" s="64" t="n"/>
      <c r="EF27" s="60" t="inlineStr">
        <is>
          <t>Mechanism B</t>
        </is>
      </c>
      <c r="EG27" s="59" t="inlineStr">
        <is>
          <t>FINI (from 22/11/2023); 2025-08-04 pricing reform (Mechanism A/B; six-month cornerstone lock-up retained); this IPO: Mechanism B</t>
        </is>
      </c>
      <c r="EH27" t="inlineStr">
        <is>
          <t>广东天域半导体股份有限公司</t>
        </is>
      </c>
      <c r="EI27" s="174" t="inlineStr">
        <is>
          <t>Active</t>
        </is>
      </c>
      <c r="EJ27" s="175" t="n">
        <v>47</v>
      </c>
      <c r="EK27" s="176" t="n">
        <v>0.160494</v>
      </c>
      <c r="EL27" s="176" t="n">
        <v>-0.189655</v>
      </c>
      <c r="EM27" s="176" t="n">
        <v>0.023974</v>
      </c>
      <c r="EN27" s="176" t="n">
        <v>0.028751</v>
      </c>
      <c r="EO27" s="179" t="n">
        <v>1.1333</v>
      </c>
      <c r="EP27" s="179" t="n">
        <v>1.1281</v>
      </c>
      <c r="EQ27" s="178" t="n">
        <v>28888370</v>
      </c>
      <c r="ER27" s="175" t="n">
        <v>47.18</v>
      </c>
      <c r="ES27" s="176" t="n">
        <v>0.164938</v>
      </c>
      <c r="ET27" s="176" t="n">
        <v>-0.186552</v>
      </c>
      <c r="EU27" s="176" t="n">
        <v>-0.043056</v>
      </c>
      <c r="EV27" s="176" t="n">
        <v>-0.136702</v>
      </c>
      <c r="EW27" s="179" t="n">
        <v>1.2174</v>
      </c>
      <c r="EX27" s="179" t="n">
        <v>1.3494</v>
      </c>
      <c r="EY27" s="178" t="n">
        <v>30454440</v>
      </c>
      <c r="EZ27" s="176" t="n">
        <v>0.182555</v>
      </c>
      <c r="FA27" s="176" t="n"/>
      <c r="FB27" s="179" t="n"/>
      <c r="FC27" s="176" t="n"/>
      <c r="FD27" s="179" t="n"/>
      <c r="FE27" s="174" t="inlineStr">
        <is>
          <t>Standard</t>
        </is>
      </c>
      <c r="FF27" s="181" t="n"/>
      <c r="FG27" s="185" t="n"/>
      <c r="FH27" s="183" t="n"/>
      <c r="FI27" s="178" t="n"/>
      <c r="FJ27" s="176" t="n"/>
      <c r="FK27" s="185" t="n"/>
      <c r="FL27" s="178" t="n"/>
      <c r="FM27" s="176" t="n"/>
      <c r="FN27" s="176" t="n"/>
      <c r="FO27" s="176" t="n"/>
      <c r="FP27" s="176" t="n"/>
      <c r="FQ27" s="176" t="n">
        <v>0.129877</v>
      </c>
      <c r="FR27" s="179" t="n">
        <v>1.1544</v>
      </c>
      <c r="FS27" s="176" t="n">
        <v>0.160494</v>
      </c>
      <c r="FT27" s="179" t="n">
        <v>1.1333</v>
      </c>
      <c r="FU27" s="176" t="n">
        <v>0.165432</v>
      </c>
      <c r="FV27" s="179" t="n">
        <v>1.2006</v>
      </c>
      <c r="FW27" s="179" t="n">
        <v>1.3759</v>
      </c>
      <c r="FX27" s="178" t="n">
        <v>17331628.81</v>
      </c>
      <c r="FY27" s="186" t="n">
        <v>0.004179391666666666</v>
      </c>
      <c r="FZ27" s="183" t="n">
        <v>0</v>
      </c>
      <c r="GA27" s="176" t="n">
        <v>0.06005105745467011</v>
      </c>
      <c r="GB27" s="176" t="n">
        <v>0.297388</v>
      </c>
      <c r="GC27" s="185" t="n"/>
      <c r="GD27" s="185" t="n"/>
      <c r="GE27" s="176" t="n"/>
      <c r="GF27" s="176" t="n"/>
      <c r="GG27" s="179" t="n"/>
      <c r="GH27" s="181" t="inlineStr">
        <is>
          <t>CITIC Securities (Hong Kong) Limited</t>
        </is>
      </c>
      <c r="GI27" s="183" t="n">
        <v>1</v>
      </c>
      <c r="GJ27" s="183" t="n">
        <v>0</v>
      </c>
      <c r="GK27" s="176" t="n">
        <v>0.0198</v>
      </c>
      <c r="GL27" s="176" t="n"/>
      <c r="GM27" s="176" t="n"/>
      <c r="GN27" s="183" t="n">
        <v>3</v>
      </c>
      <c r="GO27" s="183" t="n">
        <v>1</v>
      </c>
      <c r="GP27" s="183" t="n">
        <v>0</v>
      </c>
      <c r="GQ27" s="183" t="n">
        <v>29</v>
      </c>
      <c r="GR27" s="183" t="n">
        <v>1</v>
      </c>
      <c r="GS27" s="181" t="inlineStr">
        <is>
          <t>POST_FINI</t>
        </is>
      </c>
      <c r="GT27" s="181" t="inlineStr">
        <is>
          <t>POST_2025_REFORM</t>
        </is>
      </c>
    </row>
    <row r="28" ht="51" customFormat="1" customHeight="1" s="11">
      <c r="A28" s="43" t="n">
        <v>98</v>
      </c>
      <c r="B28" s="47" t="inlineStr">
        <is>
          <t>2676.HK</t>
        </is>
      </c>
      <c r="C28" s="44" t="inlineStr">
        <is>
          <t>Suzhou Novosense Microelectronics Co., Ltd. 
- H shares</t>
        </is>
      </c>
      <c r="D28" s="130" t="n">
        <v>45989</v>
      </c>
      <c r="E28" s="48" t="n">
        <v>45999</v>
      </c>
      <c r="F28" s="43" t="inlineStr">
        <is>
          <t>China International Capital Corporation
Hong Kong Securities Limited /
CITIC Securities (Hong Kong) Limited /
CCB International Capital Limited</t>
        </is>
      </c>
      <c r="G28" s="43" t="inlineStr">
        <is>
          <t>KPMG</t>
        </is>
      </c>
      <c r="H28" s="43" t="n"/>
      <c r="I28" s="131" t="n">
        <v>221200400</v>
      </c>
      <c r="J28" s="148" t="n">
        <v>2109819600</v>
      </c>
      <c r="K28" s="133" t="n">
        <v>116</v>
      </c>
      <c r="L28" t="n">
        <v>161596833</v>
      </c>
      <c r="M28" s="67" t="n">
        <v>19068400</v>
      </c>
      <c r="N28" t="n">
        <v>142528433</v>
      </c>
      <c r="O28" t="n">
        <v>142528433</v>
      </c>
      <c r="P28" t="n">
        <v>0</v>
      </c>
      <c r="Q28" t="n">
        <v>19068400</v>
      </c>
      <c r="R28" s="67" t="n">
        <v>17161500</v>
      </c>
      <c r="S28" s="67" t="n">
        <v>1906900</v>
      </c>
      <c r="T28" s="147" t="n">
        <v>116</v>
      </c>
      <c r="U28" s="147" t="inlineStr">
        <is>
          <t>NaN</t>
        </is>
      </c>
      <c r="V28" s="169" t="n">
        <v>0</v>
      </c>
      <c r="W28" s="169" t="n">
        <v>0</v>
      </c>
      <c r="X28" s="170" t="inlineStr">
        <is>
          <t>Fixed price</t>
        </is>
      </c>
      <c r="Y28" s="26" t="inlineStr">
        <is>
          <t>RMB</t>
        </is>
      </c>
      <c r="Z28" s="137" t="n">
        <v>7156314000</v>
      </c>
      <c r="AA28" s="137" t="n">
        <v>7673576000</v>
      </c>
      <c r="AB28" s="137" t="n">
        <v>7609850000</v>
      </c>
      <c r="AC28" s="137" t="n">
        <v>6207522000</v>
      </c>
      <c r="AD28" s="137" t="n">
        <v>5947114000</v>
      </c>
      <c r="AE28" s="137" t="n">
        <v>5917816000</v>
      </c>
      <c r="AF28" s="137" t="n">
        <v>948792000</v>
      </c>
      <c r="AG28" s="137" t="n">
        <v>1726462000</v>
      </c>
      <c r="AH28" s="137" t="n">
        <v>1692034000</v>
      </c>
      <c r="AI28" s="137" t="n">
        <v>1310927000</v>
      </c>
      <c r="AJ28" s="137" t="n">
        <v>1960274000</v>
      </c>
      <c r="AK28" s="137" t="n">
        <v>3047330000</v>
      </c>
      <c r="AL28" s="137" t="n">
        <v>-297060000</v>
      </c>
      <c r="AM28" s="137" t="n">
        <v>-404155000</v>
      </c>
      <c r="AN28" s="137" t="n">
        <v>-179204000</v>
      </c>
      <c r="AO28" s="137" t="n">
        <v>-305335000</v>
      </c>
      <c r="AP28" s="137" t="n">
        <v>-402878000</v>
      </c>
      <c r="AQ28" s="137" t="n">
        <v>-156020000</v>
      </c>
      <c r="AR28" s="142" t="n">
        <v>0.025</v>
      </c>
      <c r="AS28" s="142" t="n">
        <v>0.025</v>
      </c>
      <c r="AT28" s="84" t="n">
        <v>0.15</v>
      </c>
      <c r="AU28" s="51" t="inlineStr">
        <is>
          <t>Fabless analog IC design company: R&amp;D and design of sensor products, signal chain chips and power management chips for automotive electronics, energy and industrial automation and consumer electronics</t>
        </is>
      </c>
      <c r="AV28" s="51" t="inlineStr">
        <is>
          <t>Main Board listing of H Shares by a PRC joint stock company (A+H issuer)</t>
        </is>
      </c>
      <c r="AW28" s="136" t="n">
        <v>45838</v>
      </c>
      <c r="AX28" s="137" t="n">
        <v>-307665000</v>
      </c>
      <c r="AY28" s="117" t="n">
        <v>713114000</v>
      </c>
      <c r="AZ28" s="117" t="n">
        <v>361282000</v>
      </c>
      <c r="BA28" s="117" t="inlineStr">
        <is>
          <t>NaN</t>
        </is>
      </c>
      <c r="BB28" s="138" t="n">
        <v>0.288</v>
      </c>
      <c r="BC28" s="139" t="n">
        <v>0.5</v>
      </c>
      <c r="BD28" s="80" t="n">
        <v>1</v>
      </c>
      <c r="BE28" s="161" t="n">
        <v>1</v>
      </c>
      <c r="BF28" s="161" t="inlineStr">
        <is>
          <t>NaN</t>
        </is>
      </c>
      <c r="BG28" s="161" t="inlineStr">
        <is>
          <t>NaN</t>
        </is>
      </c>
      <c r="BH28" s="161" t="inlineStr">
        <is>
          <t>NaN</t>
        </is>
      </c>
      <c r="BI28" s="161" t="inlineStr">
        <is>
          <t>NaN</t>
        </is>
      </c>
      <c r="BJ28" s="162" t="inlineStr">
        <is>
          <t>Suzhou Guorun Ruiqi Venture Capital Enterprise (Limited Partnership); Shanghai Wulianwang Venture Capital Fund Partnership (Limited Partnership); Shenzhen Shangyun Sensing Investment Partnership Enterprise (Limited Partnership)</t>
        </is>
      </c>
      <c r="BK28" s="163" t="inlineStr">
        <is>
          <t>NaN</t>
        </is>
      </c>
      <c r="BL28" s="161" t="inlineStr">
        <is>
          <t>NaN</t>
        </is>
      </c>
      <c r="BM28" s="164" t="inlineStr">
        <is>
          <t>NA</t>
        </is>
      </c>
      <c r="BN28" s="165" t="inlineStr">
        <is>
          <t>NaN</t>
        </is>
      </c>
      <c r="BO28" s="51" t="inlineStr">
        <is>
          <t>No controlling shareholder; Single Largest Shareholder Group of Mr. Wang Shengyang, Mr. Sheng Yun, Mr. Wang Yifeng and their vehicles (natural persons acting in concert)</t>
        </is>
      </c>
      <c r="BP28" s="135" t="n">
        <v>0.2744</v>
      </c>
      <c r="BQ28" s="135" t="n">
        <v>0.2746</v>
      </c>
      <c r="BR28" s="137" t="n">
        <v>892378000</v>
      </c>
      <c r="BS28" s="51" t="inlineStr">
        <is>
          <t>Mass production / commercialised (fabless analog IC design house; automotive-qualified products in volume production)</t>
        </is>
      </c>
      <c r="BT28" s="142" t="n">
        <v>0</v>
      </c>
      <c r="BU28" s="60" t="inlineStr">
        <is>
          <t>Main Board</t>
        </is>
      </c>
      <c r="BV28" s="89" t="inlineStr">
        <is>
          <t>H Shares</t>
        </is>
      </c>
      <c r="BW28" s="61" t="n">
        <v>1</v>
      </c>
      <c r="BX28" s="77" t="n">
        <v>0</v>
      </c>
      <c r="BY28" s="77" t="n">
        <v>0</v>
      </c>
      <c r="BZ28" s="78" t="n">
        <v>0</v>
      </c>
      <c r="CA28" s="60" t="inlineStr">
        <is>
          <t>703010</t>
        </is>
      </c>
      <c r="CB28" s="76" t="inlineStr">
        <is>
          <t>HSICS (Hang Seng Industry Classification System) 2026</t>
        </is>
      </c>
      <c r="CC28" s="140" t="n">
        <v>41411</v>
      </c>
      <c r="CD28" s="171" t="n">
        <v>12.56</v>
      </c>
      <c r="CE28" s="76" t="inlineStr">
        <is>
          <t>PRC</t>
        </is>
      </c>
      <c r="CF28" s="89" t="inlineStr">
        <is>
          <t>Suzhou Industrial Park, Jiangsu Province, PRC</t>
        </is>
      </c>
      <c r="CG28" s="91" t="n"/>
      <c r="CH28" s="60" t="inlineStr">
        <is>
          <t>IFRS Accounting Standards</t>
        </is>
      </c>
      <c r="CI28" s="141" t="n">
        <v>44927</v>
      </c>
      <c r="CJ28" s="141" t="n">
        <v>45291</v>
      </c>
      <c r="CK28" s="141" t="n">
        <v>45292</v>
      </c>
      <c r="CL28" s="141" t="n">
        <v>45657</v>
      </c>
      <c r="CM28" s="141" t="n">
        <v>45658</v>
      </c>
      <c r="CN28" s="64" t="n">
        <v>1523665000</v>
      </c>
      <c r="CO28" s="64" t="n">
        <v>-89602000</v>
      </c>
      <c r="CP28" s="64" t="n">
        <v>-78010000</v>
      </c>
      <c r="CQ28" s="141" t="n">
        <v>45989</v>
      </c>
      <c r="CR28" s="141" t="n">
        <v>45994</v>
      </c>
      <c r="CS28" s="63" t="n">
        <v>19068400</v>
      </c>
      <c r="CT28" s="64" t="n">
        <v>500672000</v>
      </c>
      <c r="CU28" s="64" t="n">
        <v>144376000</v>
      </c>
      <c r="CV28" s="59" t="inlineStr">
        <is>
          <t>Unqualified opinion (true and fair view)</t>
        </is>
      </c>
      <c r="CW28" s="64" t="n">
        <v>115600000</v>
      </c>
      <c r="CX28" s="51" t="inlineStr">
        <is>
          <t>Oriza Naxin; Golden Link; Hield International; Perseverance Asset Management; 3W Fund; Green Better; Dream’ee HK Fund</t>
        </is>
      </c>
      <c r="CY28" s="142" t="n">
        <v>0.4923</v>
      </c>
      <c r="CZ28" s="136" t="n">
        <v>46181</v>
      </c>
      <c r="DA28" s="143" t="n">
        <v>25.33</v>
      </c>
      <c r="DB28" s="63" t="n">
        <v>21942</v>
      </c>
      <c r="DC28" s="63" t="n">
        <v>48301200</v>
      </c>
      <c r="DD28" s="59" t="inlineStr">
        <is>
          <t>Subscription level 25.33 times</t>
        </is>
      </c>
      <c r="DE28" s="141" t="n">
        <v>45995</v>
      </c>
      <c r="DF28" s="141" t="n">
        <v>45996</v>
      </c>
      <c r="DG28" s="63" t="n">
        <v>19068400</v>
      </c>
      <c r="DH28" s="63" t="n">
        <v>1906900</v>
      </c>
      <c r="DI28" s="63" t="n">
        <v>17161500</v>
      </c>
      <c r="DJ28" s="63" t="n">
        <v>1026600</v>
      </c>
      <c r="DK28" s="169" t="n">
        <v>0.358918</v>
      </c>
      <c r="DL28" s="59" t="inlineStr">
        <is>
          <t>Claw-back triggered: No</t>
        </is>
      </c>
      <c r="DM28" s="144" t="n">
        <v>2096400000</v>
      </c>
      <c r="DN28" s="142" t="n">
        <v>0.1181</v>
      </c>
      <c r="DO28" s="51" t="n">
        <v>161596833</v>
      </c>
      <c r="DP28" s="142" t="n">
        <v>0.0599</v>
      </c>
      <c r="DQ28" s="59" t="inlineStr">
        <is>
          <t>Free float denominator = total issued shares upon listing (col_CZ); numerator = offer shares minus cornerstone allocation</t>
        </is>
      </c>
      <c r="DR28" s="63" t="n">
        <v>161596833</v>
      </c>
      <c r="DS28" s="142" t="n">
        <v>-0.012813</v>
      </c>
      <c r="DT28" s="80" t="n">
        <v>31</v>
      </c>
      <c r="DU28" s="142" t="n">
        <v>0.032428</v>
      </c>
      <c r="DV28" s="144" t="n">
        <v>53995000000</v>
      </c>
      <c r="DW28" s="145" t="n">
        <v>111</v>
      </c>
      <c r="DX28" s="169" t="n">
        <v>-0.043103</v>
      </c>
      <c r="DY28" s="172" t="n">
        <v>-95342000</v>
      </c>
      <c r="DZ28" s="146" t="n">
        <v>116</v>
      </c>
      <c r="EA28" s="146" t="n">
        <v>116</v>
      </c>
      <c r="EB28" s="146" t="n">
        <v>105.2</v>
      </c>
      <c r="EC28" s="63" t="n">
        <v>2014583</v>
      </c>
      <c r="ED28" s="169" t="n">
        <v>0.10565</v>
      </c>
      <c r="EE28" s="64" t="n"/>
      <c r="EF28" s="60" t="inlineStr">
        <is>
          <t>Mechanism B</t>
        </is>
      </c>
      <c r="EG28" s="59" t="inlineStr">
        <is>
          <t>FINI (from 22/11/2023); 2025-08-04 pricing reform (Mechanism A/B; six-month cornerstone lock-up retained); this IPO: Mechanism B</t>
        </is>
      </c>
      <c r="EH28" t="inlineStr">
        <is>
          <t>苏州纳芯微电子股份有限公司</t>
        </is>
      </c>
      <c r="EI28" s="174" t="inlineStr">
        <is>
          <t>Active</t>
        </is>
      </c>
      <c r="EJ28" s="175" t="n">
        <v>142.9</v>
      </c>
      <c r="EK28" s="176" t="n">
        <v>0.287387</v>
      </c>
      <c r="EL28" s="176" t="n">
        <v>0.231897</v>
      </c>
      <c r="EM28" s="176" t="n">
        <v>0.026919</v>
      </c>
      <c r="EN28" s="176" t="n">
        <v>0.013416</v>
      </c>
      <c r="EO28" s="179" t="n">
        <v>1.2536</v>
      </c>
      <c r="EP28" s="179" t="n">
        <v>1.2703</v>
      </c>
      <c r="EQ28" s="178" t="n">
        <v>47957715</v>
      </c>
      <c r="ER28" s="175" t="n">
        <v>172.6</v>
      </c>
      <c r="ES28" s="176" t="n">
        <v>0.554955</v>
      </c>
      <c r="ET28" s="176" t="n">
        <v>0.487931</v>
      </c>
      <c r="EU28" s="176" t="n">
        <v>-0.043015</v>
      </c>
      <c r="EV28" s="176" t="n">
        <v>-0.160112</v>
      </c>
      <c r="EW28" s="179" t="n">
        <v>1.6248</v>
      </c>
      <c r="EX28" s="179" t="n">
        <v>1.8514</v>
      </c>
      <c r="EY28" s="178" t="n">
        <v>162186535</v>
      </c>
      <c r="EZ28" s="176" t="n">
        <v>0.732117</v>
      </c>
      <c r="FA28" s="176" t="n"/>
      <c r="FB28" s="179" t="n"/>
      <c r="FC28" s="176" t="n"/>
      <c r="FD28" s="179" t="n"/>
      <c r="FE28" s="174" t="inlineStr">
        <is>
          <t>Standard</t>
        </is>
      </c>
      <c r="FF28" s="181" t="n"/>
      <c r="FG28" s="185" t="n"/>
      <c r="FH28" s="183" t="n"/>
      <c r="FI28" s="178" t="n"/>
      <c r="FJ28" s="176" t="n"/>
      <c r="FK28" s="185" t="n"/>
      <c r="FL28" s="178" t="n"/>
      <c r="FM28" s="176" t="n"/>
      <c r="FN28" s="176" t="n"/>
      <c r="FO28" s="176" t="n"/>
      <c r="FP28" s="176" t="n"/>
      <c r="FQ28" s="176" t="n">
        <v>0</v>
      </c>
      <c r="FR28" s="179" t="n">
        <v>0.9919</v>
      </c>
      <c r="FS28" s="176" t="n">
        <v>0.287387</v>
      </c>
      <c r="FT28" s="179" t="n">
        <v>1.2536</v>
      </c>
      <c r="FU28" s="176" t="n">
        <v>0.16036</v>
      </c>
      <c r="FV28" s="179" t="n">
        <v>1.1767</v>
      </c>
      <c r="FW28" s="179" t="n">
        <v>1.3296</v>
      </c>
      <c r="FX28" s="178" t="n">
        <v>50762835</v>
      </c>
      <c r="FY28" s="186" t="n">
        <v>0.0007667310924369748</v>
      </c>
      <c r="FZ28" s="183" t="n">
        <v>1</v>
      </c>
      <c r="GA28" s="176" t="n">
        <v>0.04539604895994749</v>
      </c>
      <c r="GB28" s="176" t="n">
        <v>0.315079</v>
      </c>
      <c r="GC28" s="185" t="n"/>
      <c r="GD28" s="185" t="n"/>
      <c r="GE28" s="176" t="n"/>
      <c r="GF28" s="176" t="n"/>
      <c r="GG28" s="179" t="n"/>
      <c r="GH28" s="181" t="inlineStr">
        <is>
          <t>China International Capital Corporation Hong Kong Securities Limited</t>
        </is>
      </c>
      <c r="GI28" s="183" t="n">
        <v>3</v>
      </c>
      <c r="GJ28" s="183" t="n">
        <v>1</v>
      </c>
      <c r="GK28" s="176" t="n">
        <v>0.025</v>
      </c>
      <c r="GL28" s="176" t="n"/>
      <c r="GM28" s="176" t="n"/>
      <c r="GN28" s="183" t="n">
        <v>7</v>
      </c>
      <c r="GO28" s="183" t="n">
        <v>1</v>
      </c>
      <c r="GP28" s="183" t="n">
        <v>0</v>
      </c>
      <c r="GQ28" s="183" t="n">
        <v>3</v>
      </c>
      <c r="GR28" s="183" t="n">
        <v>1</v>
      </c>
      <c r="GS28" s="181" t="inlineStr">
        <is>
          <t>POST_FINI</t>
        </is>
      </c>
      <c r="GT28" s="181" t="inlineStr">
        <is>
          <t>POST_2025_REFORM</t>
        </is>
      </c>
    </row>
    <row r="29" ht="51" customFormat="1" customHeight="1" s="11">
      <c r="A29" s="43" t="n">
        <v>97</v>
      </c>
      <c r="B29" s="47" t="inlineStr">
        <is>
          <t>2687.HK</t>
        </is>
      </c>
      <c r="C29" s="44" t="inlineStr">
        <is>
          <t>SHANGHAI ABLE DIGITAL SCIENCE&amp;TECH CO., LTD. - H shares</t>
        </is>
      </c>
      <c r="D29" s="130" t="n">
        <v>45989</v>
      </c>
      <c r="E29" s="48" t="n">
        <v>45999</v>
      </c>
      <c r="F29" s="43" t="inlineStr">
        <is>
          <t>ABCI Capital Limited</t>
        </is>
      </c>
      <c r="G29" s="43" t="inlineStr">
        <is>
          <t>PricewaterhouseCoopers</t>
        </is>
      </c>
      <c r="H29" s="43" t="n"/>
      <c r="I29" s="131" t="n">
        <v>45002250</v>
      </c>
      <c r="J29" s="148" t="n">
        <v>405000000</v>
      </c>
      <c r="K29" s="133" t="n">
        <v>67.5</v>
      </c>
      <c r="L29" t="n">
        <v>66666700</v>
      </c>
      <c r="M29" s="67" t="n">
        <v>6666700</v>
      </c>
      <c r="N29" t="n">
        <v>60000000</v>
      </c>
      <c r="O29" t="n">
        <v>60000000</v>
      </c>
      <c r="P29" t="n">
        <v>0</v>
      </c>
      <c r="Q29" t="n">
        <v>6666700</v>
      </c>
      <c r="R29" s="67" t="n">
        <v>6000000</v>
      </c>
      <c r="S29" s="67" t="n">
        <v>666700</v>
      </c>
      <c r="T29" s="147" t="n">
        <v>76.09999999999999</v>
      </c>
      <c r="U29" s="147" t="n">
        <v>62.26</v>
      </c>
      <c r="V29" s="169" t="n">
        <v>-0.024284</v>
      </c>
      <c r="W29" s="169" t="n">
        <v>0.200058</v>
      </c>
      <c r="X29" s="170" t="inlineStr">
        <is>
          <t>Within range</t>
        </is>
      </c>
      <c r="Y29" s="26" t="inlineStr">
        <is>
          <t>RMB</t>
        </is>
      </c>
      <c r="Z29" s="137" t="n">
        <v>628441000</v>
      </c>
      <c r="AA29" s="137" t="n">
        <v>792508000</v>
      </c>
      <c r="AB29" s="137" t="n">
        <v>680167000</v>
      </c>
      <c r="AC29" s="137" t="n">
        <v>390546000</v>
      </c>
      <c r="AD29" s="137" t="n">
        <v>498869000</v>
      </c>
      <c r="AE29" s="137" t="n">
        <v>401005000</v>
      </c>
      <c r="AF29" s="137" t="n">
        <v>237895000</v>
      </c>
      <c r="AG29" s="137" t="n">
        <v>293639000</v>
      </c>
      <c r="AH29" s="137" t="n">
        <v>279162000</v>
      </c>
      <c r="AI29" s="137" t="n">
        <v>652964000</v>
      </c>
      <c r="AJ29" s="137" t="n">
        <v>848198000</v>
      </c>
      <c r="AK29" s="137" t="n">
        <v>550842000</v>
      </c>
      <c r="AL29" s="137" t="n">
        <v>86634000</v>
      </c>
      <c r="AM29" s="137" t="n">
        <v>106598000</v>
      </c>
      <c r="AN29" s="137" t="n">
        <v>-255638000</v>
      </c>
      <c r="AO29" s="137" t="n">
        <v>81421000</v>
      </c>
      <c r="AP29" s="137" t="n">
        <v>105071000</v>
      </c>
      <c r="AQ29" s="137" t="n">
        <v>-197912000</v>
      </c>
      <c r="AR29" s="142" t="n">
        <v>0.025</v>
      </c>
      <c r="AS29" s="142" t="n">
        <v>0.025</v>
      </c>
      <c r="AT29" s="84" t="n">
        <v>0</v>
      </c>
      <c r="AU29" s="51" t="inlineStr">
        <is>
          <t>Digital teaching and learning solutions for higher education institutions in China</t>
        </is>
      </c>
      <c r="AV29" s="51" t="inlineStr">
        <is>
          <t>Main Board, Rule 8.05(3) market capitalisation/revenue test</t>
        </is>
      </c>
      <c r="AW29" s="136" t="n">
        <v>45838</v>
      </c>
      <c r="AX29" s="137" t="n">
        <v>-258014000</v>
      </c>
      <c r="AY29" s="117" t="n">
        <v>53051000</v>
      </c>
      <c r="AZ29" s="117" t="n">
        <v>81300000</v>
      </c>
      <c r="BA29" s="117" t="n">
        <v>0</v>
      </c>
      <c r="BB29" s="138" t="n">
        <v>0.063</v>
      </c>
      <c r="BC29" s="139" t="n">
        <v>0.5</v>
      </c>
      <c r="BD29" s="80" t="n">
        <v>1</v>
      </c>
      <c r="BE29" s="161" t="n">
        <v>1</v>
      </c>
      <c r="BF29" s="161" t="n">
        <v>1</v>
      </c>
      <c r="BG29" s="161" t="n">
        <v>1</v>
      </c>
      <c r="BH29" s="161" t="inlineStr">
        <is>
          <t>NaN</t>
        </is>
      </c>
      <c r="BI29" s="161" t="inlineStr">
        <is>
          <t>NaN</t>
        </is>
      </c>
      <c r="BJ29" s="162" t="inlineStr">
        <is>
          <t>Datai Yueda; Yueda Taihe; Shanghai Yongcang; Xinjiang Lianchuang; Jinzhuo Hengbang; Bairuixiang VC; ZhongYe ZhiYuan; Guangzhou Chengheng; Chengmai Xinri; Shanghai Changshi</t>
        </is>
      </c>
      <c r="BK29" s="163" t="n">
        <v>0.3617</v>
      </c>
      <c r="BL29" s="161" t="n">
        <v>1</v>
      </c>
      <c r="BM29" s="164" t="inlineStr">
        <is>
          <t>Series Pre-A Financing</t>
        </is>
      </c>
      <c r="BN29" s="165" t="n">
        <v>10.54</v>
      </c>
      <c r="BO29" s="51" t="inlineStr">
        <is>
          <t>Natural persons</t>
        </is>
      </c>
      <c r="BP29" s="135" t="n">
        <v>0.346</v>
      </c>
      <c r="BQ29" s="135" t="n">
        <v>0.346</v>
      </c>
      <c r="BR29" s="137" t="n">
        <v>120975000</v>
      </c>
      <c r="BS29" s="51" t="inlineStr">
        <is>
          <t>Commercialized</t>
        </is>
      </c>
      <c r="BT29" s="142" t="n">
        <v>0</v>
      </c>
      <c r="BU29" s="60" t="inlineStr">
        <is>
          <t>Main Board</t>
        </is>
      </c>
      <c r="BV29" s="89" t="inlineStr">
        <is>
          <t>H Shares</t>
        </is>
      </c>
      <c r="BW29" s="61" t="n">
        <v>0</v>
      </c>
      <c r="BX29" s="77" t="n">
        <v>0</v>
      </c>
      <c r="BY29" s="77" t="n">
        <v>0</v>
      </c>
      <c r="BZ29" s="78" t="n">
        <v>0</v>
      </c>
      <c r="CA29" s="60" t="inlineStr">
        <is>
          <t>702015</t>
        </is>
      </c>
      <c r="CB29" s="76" t="inlineStr">
        <is>
          <t>HSICS (Hang Seng Industry Classification System) 2026</t>
        </is>
      </c>
      <c r="CC29" s="140" t="n">
        <v>39545</v>
      </c>
      <c r="CD29" s="171" t="n">
        <v>17.67</v>
      </c>
      <c r="CE29" s="76" t="inlineStr">
        <is>
          <t>PRC</t>
        </is>
      </c>
      <c r="CF29" s="89" t="inlineStr">
        <is>
          <t>Shanghai, PRC</t>
        </is>
      </c>
      <c r="CG29" s="91" t="n"/>
      <c r="CH29" s="60" t="inlineStr">
        <is>
          <t>IFRS Accounting Standards</t>
        </is>
      </c>
      <c r="CI29" s="141" t="n">
        <v>44927</v>
      </c>
      <c r="CJ29" s="141" t="n">
        <v>45291</v>
      </c>
      <c r="CK29" s="141" t="n">
        <v>45292</v>
      </c>
      <c r="CL29" s="141" t="n">
        <v>45657</v>
      </c>
      <c r="CM29" s="141" t="n">
        <v>45658</v>
      </c>
      <c r="CN29" s="64" t="n">
        <v>275421000</v>
      </c>
      <c r="CO29" s="64" t="n">
        <v>-127819000</v>
      </c>
      <c r="CP29" s="64" t="n">
        <v>-98956000</v>
      </c>
      <c r="CQ29" s="141" t="n">
        <v>45989</v>
      </c>
      <c r="CR29" s="141" t="n">
        <v>45994</v>
      </c>
      <c r="CS29" s="63" t="n">
        <v>61952800</v>
      </c>
      <c r="CT29" s="64" t="n">
        <v>129198000</v>
      </c>
      <c r="CU29" s="64" t="n">
        <v>1655000</v>
      </c>
      <c r="CV29" s="59" t="inlineStr">
        <is>
          <t>Unqualified opinion</t>
        </is>
      </c>
      <c r="CW29" s="64" t="n">
        <v>56700000</v>
      </c>
      <c r="CX29" s="51" t="inlineStr">
        <is>
          <t>NA</t>
        </is>
      </c>
      <c r="CY29" s="142" t="n">
        <v>0</v>
      </c>
      <c r="CZ29" s="136" t="inlineStr">
        <is>
          <t>NA</t>
        </is>
      </c>
      <c r="DA29" s="143" t="n">
        <v>4813.4</v>
      </c>
      <c r="DB29" s="63" t="n">
        <v>135193</v>
      </c>
      <c r="DC29" s="63" t="n">
        <v>3209092400</v>
      </c>
      <c r="DD29" s="59" t="inlineStr">
        <is>
          <t>Subscription level 4,813.40 times</t>
        </is>
      </c>
      <c r="DE29" s="141" t="n">
        <v>45995</v>
      </c>
      <c r="DF29" s="141" t="n">
        <v>45996</v>
      </c>
      <c r="DG29" s="63" t="n">
        <v>6666700</v>
      </c>
      <c r="DH29" s="63" t="n">
        <v>666700</v>
      </c>
      <c r="DI29" s="63" t="n">
        <v>6000000</v>
      </c>
      <c r="DJ29" s="63" t="n">
        <v>0</v>
      </c>
      <c r="DK29" s="169" t="n">
        <v>0</v>
      </c>
      <c r="DL29" s="59" t="inlineStr">
        <is>
          <t>Claw-back triggered N/A</t>
        </is>
      </c>
      <c r="DM29" s="144" t="n">
        <v>393650000</v>
      </c>
      <c r="DN29" s="142" t="n">
        <v>0.3271</v>
      </c>
      <c r="DO29" s="51" t="n">
        <v>66666700</v>
      </c>
      <c r="DP29" s="142" t="n">
        <v>0.1</v>
      </c>
      <c r="DQ29" s="59" t="inlineStr">
        <is>
          <t>Free float denominator = Number of issued Shares upon Listing (66,666,700 = total issued Shares upon completion of the Global Offering); numerator = Offer Shares allotted to investors who are not core connected persons and are not subject to any disposal restrictions</t>
        </is>
      </c>
      <c r="DR29" s="63" t="n">
        <v>66666700</v>
      </c>
      <c r="DS29" s="142" t="n">
        <v>-0.012813</v>
      </c>
      <c r="DT29" s="80" t="n">
        <v>31</v>
      </c>
      <c r="DU29" s="142" t="n">
        <v>0.032428</v>
      </c>
      <c r="DV29" s="144" t="n">
        <v>53995000000</v>
      </c>
      <c r="DW29" s="145" t="n">
        <v>126.4</v>
      </c>
      <c r="DX29" s="169" t="n">
        <v>0.872593</v>
      </c>
      <c r="DY29" s="172" t="n">
        <v>392668630</v>
      </c>
      <c r="DZ29" s="146" t="n">
        <v>83.59999999999999</v>
      </c>
      <c r="EA29" s="146" t="n">
        <v>142.5</v>
      </c>
      <c r="EB29" s="146" t="n">
        <v>82</v>
      </c>
      <c r="EC29" s="63" t="n">
        <v>1510300</v>
      </c>
      <c r="ED29" s="169" t="n">
        <v>0.226544</v>
      </c>
      <c r="EE29" s="64" t="n"/>
      <c r="EF29" s="60" t="inlineStr">
        <is>
          <t>Mechanism B</t>
        </is>
      </c>
      <c r="EG29" s="59" t="inlineStr">
        <is>
          <t>FINI (from 22/11/2023); 2025-08-04 pricing reform (Mechanism A/B; six-month cornerstone lock-up retained); this IPO: Mechanism B</t>
        </is>
      </c>
      <c r="EH29" t="inlineStr">
        <is>
          <t>上海卓越睿新数码科技股份有限公司</t>
        </is>
      </c>
      <c r="EI29" s="174" t="inlineStr">
        <is>
          <t>Active</t>
        </is>
      </c>
      <c r="EJ29" s="175" t="n">
        <v>154</v>
      </c>
      <c r="EK29" s="176" t="n">
        <v>0.218354</v>
      </c>
      <c r="EL29" s="176" t="n">
        <v>1.281481</v>
      </c>
      <c r="EM29" s="176" t="n">
        <v>0.026919</v>
      </c>
      <c r="EN29" s="176" t="n">
        <v>0.013416</v>
      </c>
      <c r="EO29" s="179" t="n">
        <v>1.1864</v>
      </c>
      <c r="EP29" s="179" t="n">
        <v>1.2022</v>
      </c>
      <c r="EQ29" s="178" t="n">
        <v>26829690</v>
      </c>
      <c r="ER29" s="175" t="n">
        <v>130.4</v>
      </c>
      <c r="ES29" s="176" t="n">
        <v>0.031646</v>
      </c>
      <c r="ET29" s="176" t="n">
        <v>0.931852</v>
      </c>
      <c r="EU29" s="176" t="n">
        <v>-0.043015</v>
      </c>
      <c r="EV29" s="176" t="n">
        <v>-0.160112</v>
      </c>
      <c r="EW29" s="179" t="n">
        <v>1.078</v>
      </c>
      <c r="EX29" s="179" t="n">
        <v>1.2283</v>
      </c>
      <c r="EY29" s="178" t="n">
        <v>35988080</v>
      </c>
      <c r="EZ29" s="176" t="n">
        <v>0.250623</v>
      </c>
      <c r="FA29" s="176" t="n"/>
      <c r="FB29" s="179" t="n"/>
      <c r="FC29" s="176" t="n"/>
      <c r="FD29" s="179" t="n"/>
      <c r="FE29" s="174" t="inlineStr">
        <is>
          <t>Standard</t>
        </is>
      </c>
      <c r="FF29" s="181" t="n"/>
      <c r="FG29" s="185" t="n"/>
      <c r="FH29" s="183" t="n"/>
      <c r="FI29" s="178" t="n"/>
      <c r="FJ29" s="176" t="n"/>
      <c r="FK29" s="185" t="n"/>
      <c r="FL29" s="178" t="n"/>
      <c r="FM29" s="176" t="n"/>
      <c r="FN29" s="176" t="n"/>
      <c r="FO29" s="176" t="n"/>
      <c r="FP29" s="176" t="n"/>
      <c r="FQ29" s="176" t="n">
        <v>0.243671</v>
      </c>
      <c r="FR29" s="179" t="n">
        <v>1.2335</v>
      </c>
      <c r="FS29" s="176" t="n">
        <v>0.218354</v>
      </c>
      <c r="FT29" s="179" t="n">
        <v>1.1864</v>
      </c>
      <c r="FU29" s="176" t="n">
        <v>0.09572799999999999</v>
      </c>
      <c r="FV29" s="179" t="n">
        <v>1.1111</v>
      </c>
      <c r="FW29" s="179" t="n">
        <v>1.2556</v>
      </c>
      <c r="FX29" s="178" t="n">
        <v>15672305</v>
      </c>
      <c r="FY29" s="186" t="n">
        <v>0.001401025</v>
      </c>
      <c r="FZ29" s="183" t="n">
        <v>0</v>
      </c>
      <c r="GA29" s="176" t="n">
        <v>0.08519885970495197</v>
      </c>
      <c r="GB29" s="176" t="n">
        <v>0.317647</v>
      </c>
      <c r="GC29" s="185" t="n"/>
      <c r="GD29" s="185" t="n"/>
      <c r="GE29" s="176" t="n"/>
      <c r="GF29" s="176" t="n"/>
      <c r="GG29" s="179" t="n"/>
      <c r="GH29" s="181" t="inlineStr">
        <is>
          <t>ABCI Capital Limited</t>
        </is>
      </c>
      <c r="GI29" s="183" t="n">
        <v>1</v>
      </c>
      <c r="GJ29" s="183" t="n">
        <v>1</v>
      </c>
      <c r="GK29" s="176" t="n">
        <v>0.025</v>
      </c>
      <c r="GL29" s="176" t="n"/>
      <c r="GM29" s="176" t="n"/>
      <c r="GN29" s="183" t="n">
        <v>0</v>
      </c>
      <c r="GO29" s="183" t="n">
        <v>0</v>
      </c>
      <c r="GP29" s="183" t="n">
        <v>0</v>
      </c>
      <c r="GQ29" s="183" t="n">
        <v>10</v>
      </c>
      <c r="GR29" s="183" t="n">
        <v>0</v>
      </c>
      <c r="GS29" s="181" t="inlineStr">
        <is>
          <t>POST_FINI</t>
        </is>
      </c>
      <c r="GT29" s="181" t="inlineStr">
        <is>
          <t>POST_2025_REFORM</t>
        </is>
      </c>
    </row>
    <row r="30" ht="68" customFormat="1" customHeight="1" s="11">
      <c r="A30" s="43" t="n">
        <v>99</v>
      </c>
      <c r="B30" s="47" t="inlineStr">
        <is>
          <t>2659.HK</t>
        </is>
      </c>
      <c r="C30" s="44" t="inlineStr">
        <is>
          <t>Shanghai Bao Pharmaceuticals Co., Ltd. 
- B - H shares</t>
        </is>
      </c>
      <c r="D30" s="130" t="n">
        <v>45993</v>
      </c>
      <c r="E30" s="48" t="n">
        <v>46001</v>
      </c>
      <c r="F30" s="43" t="inlineStr">
        <is>
          <t>CITIC Securities (Hong Kong) Limited /
Haitong International Capital Limited</t>
        </is>
      </c>
      <c r="G30" s="43" t="inlineStr">
        <is>
          <t>Ernst &amp; Young</t>
        </is>
      </c>
      <c r="H30" s="43" t="inlineStr">
        <is>
          <t>AVISTA Valuation Advisory Limited</t>
        </is>
      </c>
      <c r="I30" s="131" t="n">
        <v>100011856</v>
      </c>
      <c r="J30" s="148" t="n">
        <v>900098790</v>
      </c>
      <c r="K30" s="133" t="n">
        <v>26.38</v>
      </c>
      <c r="L30" t="n">
        <v>325981465</v>
      </c>
      <c r="M30" s="67" t="n">
        <v>37911700</v>
      </c>
      <c r="N30" t="n">
        <v>288069765</v>
      </c>
      <c r="O30" t="n">
        <v>288069765</v>
      </c>
      <c r="P30" t="n">
        <v>0</v>
      </c>
      <c r="Q30" t="n">
        <v>37911700</v>
      </c>
      <c r="R30" s="67" t="n">
        <v>34120500</v>
      </c>
      <c r="S30" s="67" t="n">
        <v>3791200</v>
      </c>
      <c r="T30" s="147" t="n">
        <v>26.38</v>
      </c>
      <c r="U30" s="147" t="n">
        <v>26.38</v>
      </c>
      <c r="V30" s="169" t="n">
        <v>0</v>
      </c>
      <c r="W30" s="169" t="n">
        <v>0</v>
      </c>
      <c r="X30" s="170" t="inlineStr">
        <is>
          <t>Fixed price</t>
        </is>
      </c>
      <c r="Y30" s="26" t="inlineStr">
        <is>
          <t>RMB</t>
        </is>
      </c>
      <c r="Z30" s="137" t="n">
        <v>973880000</v>
      </c>
      <c r="AA30" s="137" t="n">
        <v>1363267000</v>
      </c>
      <c r="AB30" s="137" t="n">
        <v>1388687000</v>
      </c>
      <c r="AC30" s="137" t="n">
        <v>749126000</v>
      </c>
      <c r="AD30" s="137" t="n">
        <v>995876000</v>
      </c>
      <c r="AE30" s="137" t="n">
        <v>889585000</v>
      </c>
      <c r="AF30" s="137" t="n">
        <v>224754000</v>
      </c>
      <c r="AG30" s="137" t="n">
        <v>367391000</v>
      </c>
      <c r="AH30" s="137" t="n">
        <v>499102000</v>
      </c>
      <c r="AI30" s="137" t="n">
        <v>6930000</v>
      </c>
      <c r="AJ30" s="137" t="n">
        <v>6160000</v>
      </c>
      <c r="AK30" s="137" t="n">
        <v>83980000</v>
      </c>
      <c r="AL30" s="137" t="n">
        <v>-160396000</v>
      </c>
      <c r="AM30" s="137" t="n">
        <v>-364456000</v>
      </c>
      <c r="AN30" s="137" t="n">
        <v>-366192000</v>
      </c>
      <c r="AO30" s="137" t="n">
        <v>-160395000</v>
      </c>
      <c r="AP30" s="137" t="n">
        <v>-364433000</v>
      </c>
      <c r="AQ30" s="137" t="n">
        <v>-366192000</v>
      </c>
      <c r="AR30" s="142" t="n">
        <v>0.025</v>
      </c>
      <c r="AS30" s="142" t="n">
        <v>0.025</v>
      </c>
      <c r="AT30" s="84" t="n">
        <v>0</v>
      </c>
      <c r="AU30" s="51" t="inlineStr">
        <is>
          <t>Biotechnology – research and development of recombinant biologic drugs (clinical-stage biopharmaceutical company)</t>
        </is>
      </c>
      <c r="AV30" s="51" t="inlineStr">
        <is>
          <t>Chapter 18A of the Listing Rules (biotech company unable to meet Rule 8.05(1), (2) or (3))</t>
        </is>
      </c>
      <c r="AW30" s="136" t="n">
        <v>45838</v>
      </c>
      <c r="AX30" s="137" t="n">
        <v>-105190000</v>
      </c>
      <c r="AY30" s="117" t="n">
        <v>453392000</v>
      </c>
      <c r="AZ30" s="117" t="n">
        <v>111045000</v>
      </c>
      <c r="BA30" s="117" t="inlineStr">
        <is>
          <t>NaN</t>
        </is>
      </c>
      <c r="BB30" s="138" t="n">
        <v>0.994</v>
      </c>
      <c r="BC30" s="139" t="n">
        <v>0.5</v>
      </c>
      <c r="BD30" s="80" t="n">
        <v>1</v>
      </c>
      <c r="BE30" s="161" t="n">
        <v>1</v>
      </c>
      <c r="BF30" s="161" t="n">
        <v>1</v>
      </c>
      <c r="BG30" s="161" t="n">
        <v>1</v>
      </c>
      <c r="BH30" s="161" t="n">
        <v>1</v>
      </c>
      <c r="BI30" s="161" t="inlineStr">
        <is>
          <t>NaN</t>
        </is>
      </c>
      <c r="BJ30" s="162" t="inlineStr">
        <is>
          <t>Center Lab; Fangyuan Capital (PCJ Bao; Venus Capital); Shanghai Luohui; Shanghai Dongxi (Shanghai Cixi; Jiaxing Xiqi); Xiamen Youlang; ROSY ELEGANT; Shanghai Luoqun; Shanghai Guqing; Shanghai Luoyuan; Findowin Capital (Jinan Chanfa; Shandong Caixin; Qingdao Yuanchuang; Yantai Duoying); Oriental Fortune Capital (Fuhai Junyong No. 6; Fuhai Junyong No. 2; Fuhai Jingxuan No. 2; Fuhai Youxuan No. 2); Haitong Innovation Securities; Yangtze River Delta Industrial; Ningbo Longhuahui; Jiaxing No. 2; North Shanghai Biomedical; Shanghai Jifu; Nanjing United Future; SHC; Tianjin Bo'ao; Shanghai STVC Group; Baoshan Capital; Yuanxiong Real Estate</t>
        </is>
      </c>
      <c r="BK30" s="163" t="n">
        <v>0.4849</v>
      </c>
      <c r="BL30" s="161" t="n">
        <v>1</v>
      </c>
      <c r="BM30" s="164" t="inlineStr">
        <is>
          <t>November 2020 Capital Increase</t>
        </is>
      </c>
      <c r="BN30" s="165" t="n">
        <v>5.19</v>
      </c>
      <c r="BO30" s="51" t="inlineStr">
        <is>
          <t>Natural persons acting in concert (Concert Parties, Shanghai Luoxu, Ningbo Hongsheng and Shanghai Luojun)</t>
        </is>
      </c>
      <c r="BP30" s="135" t="n">
        <v>0.4057</v>
      </c>
      <c r="BQ30" s="135" t="n">
        <v>0.4057</v>
      </c>
      <c r="BR30" s="137" t="n">
        <v>246226000</v>
      </c>
      <c r="BS30" s="51" t="inlineStr">
        <is>
          <t>Clinical-stage approaching commercialization; NDA approved for SJ02 in August 2025, no commercial manufacturing commenced</t>
        </is>
      </c>
      <c r="BT30" s="142" t="n">
        <v>0</v>
      </c>
      <c r="BU30" s="60" t="inlineStr">
        <is>
          <t>Main Board</t>
        </is>
      </c>
      <c r="BV30" s="89" t="inlineStr">
        <is>
          <t>H Shares</t>
        </is>
      </c>
      <c r="BW30" s="61" t="n">
        <v>0</v>
      </c>
      <c r="BX30" s="77" t="n">
        <v>0</v>
      </c>
      <c r="BY30" s="77" t="n">
        <v>1</v>
      </c>
      <c r="BZ30" s="78" t="n">
        <v>0</v>
      </c>
      <c r="CA30" s="60" t="inlineStr">
        <is>
          <t>281010</t>
        </is>
      </c>
      <c r="CB30" s="76" t="inlineStr">
        <is>
          <t>HSICS (Hang Seng Industry Classification System) 2026</t>
        </is>
      </c>
      <c r="CC30" s="140" t="n">
        <v>43815</v>
      </c>
      <c r="CD30" s="171" t="n">
        <v>5.98</v>
      </c>
      <c r="CE30" s="76" t="inlineStr">
        <is>
          <t>PRC</t>
        </is>
      </c>
      <c r="CF30" s="89" t="inlineStr">
        <is>
          <t>Shanghai, PRC</t>
        </is>
      </c>
      <c r="CG30" s="91" t="n">
        <v>1000</v>
      </c>
      <c r="CH30" s="60" t="inlineStr">
        <is>
          <t>IFRS Accounting Standards</t>
        </is>
      </c>
      <c r="CI30" s="141" t="n">
        <v>44927</v>
      </c>
      <c r="CJ30" s="141" t="n">
        <v>45291</v>
      </c>
      <c r="CK30" s="141" t="n">
        <v>45292</v>
      </c>
      <c r="CL30" s="141" t="n">
        <v>45657</v>
      </c>
      <c r="CM30" s="141" t="n">
        <v>45658</v>
      </c>
      <c r="CN30" s="64" t="n">
        <v>41990000</v>
      </c>
      <c r="CO30" s="64" t="n">
        <v>-183096000</v>
      </c>
      <c r="CP30" s="64" t="n">
        <v>-183096000</v>
      </c>
      <c r="CQ30" s="141" t="n">
        <v>45993</v>
      </c>
      <c r="CR30" s="141" t="n">
        <v>45996</v>
      </c>
      <c r="CS30" s="63" t="n">
        <v>154327250</v>
      </c>
      <c r="CT30" s="64" t="n">
        <v>41725000</v>
      </c>
      <c r="CU30" s="64" t="n">
        <v>37891000</v>
      </c>
      <c r="CV30" s="59" t="inlineStr">
        <is>
          <t>Unqualified opinion</t>
        </is>
      </c>
      <c r="CW30" s="64" t="n">
        <v>78600000</v>
      </c>
      <c r="CX30" s="51" t="inlineStr">
        <is>
          <t>AnkeBio (Hong Kong) Co., Limited; Derivatives China Alpha Fund SPC (acting for and on behalf of Derivatives China Fundamental Fund SP); Guotai Junan Investments (Hong Kong) Limited (in connection with the Zhonghe OTC Swaps)</t>
        </is>
      </c>
      <c r="CY30" s="142" t="n">
        <v>0.2006</v>
      </c>
      <c r="CZ30" s="136" t="n">
        <v>46183</v>
      </c>
      <c r="DA30" s="143" t="n">
        <v>3526.34</v>
      </c>
      <c r="DB30" s="63" t="n">
        <v>282687</v>
      </c>
      <c r="DC30" s="63" t="n">
        <v>13369053600</v>
      </c>
      <c r="DD30" s="59" t="inlineStr">
        <is>
          <t>Subscription level 3,526.34 times (Hong Kong Public Offering); Claw-back triggered N/A</t>
        </is>
      </c>
      <c r="DE30" s="141" t="inlineStr">
        <is>
          <t>NA</t>
        </is>
      </c>
      <c r="DF30" s="141" t="n">
        <v>46000</v>
      </c>
      <c r="DG30" s="63" t="n">
        <v>37911700</v>
      </c>
      <c r="DH30" s="63" t="n">
        <v>3791200</v>
      </c>
      <c r="DI30" s="63" t="n">
        <v>34120500</v>
      </c>
      <c r="DJ30" s="63" t="n">
        <v>0</v>
      </c>
      <c r="DK30" s="169" t="n">
        <v>0</v>
      </c>
      <c r="DL30" s="59" t="inlineStr">
        <is>
          <t>No. of Offer Shares reallocated from the International Offering (claw-back) N/A; Final no. of Offer Shares under the Hong Kong Public Offering 3,791,200 H Shares</t>
        </is>
      </c>
      <c r="DM30" s="144" t="n">
        <v>921500000</v>
      </c>
      <c r="DN30" s="142" t="n">
        <v>0.3693</v>
      </c>
      <c r="DO30" s="51" t="n">
        <v>325981465</v>
      </c>
      <c r="DP30" s="142" t="n">
        <v>0.09297</v>
      </c>
      <c r="DQ30" s="59" t="inlineStr">
        <is>
          <t>Free float denominator = total issued shares upon listing (325,981,465 Shares); excludes Offer Shares allocated to cornerstone investors subject to a six-month lock-up</t>
        </is>
      </c>
      <c r="DR30" s="63" t="n">
        <v>325981465</v>
      </c>
      <c r="DS30" s="142" t="n">
        <v>-0.00478237</v>
      </c>
      <c r="DT30" s="80" t="n">
        <v>31</v>
      </c>
      <c r="DU30" s="142" t="n">
        <v>0.0293488</v>
      </c>
      <c r="DV30" s="144" t="n">
        <v>54077000000</v>
      </c>
      <c r="DW30" s="145" t="n">
        <v>63</v>
      </c>
      <c r="DX30" s="169" t="n">
        <v>1.388173</v>
      </c>
      <c r="DY30" s="172" t="n">
        <v>1388326454</v>
      </c>
      <c r="DZ30" s="146" t="n">
        <v>60.5</v>
      </c>
      <c r="EA30" s="146" t="n">
        <v>63.15</v>
      </c>
      <c r="EB30" s="146" t="n">
        <v>56</v>
      </c>
      <c r="EC30" s="63" t="n">
        <v>7930300</v>
      </c>
      <c r="ED30" s="169" t="n">
        <v>0.209178</v>
      </c>
      <c r="EE30" s="64" t="n"/>
      <c r="EF30" s="60" t="inlineStr">
        <is>
          <t>NA</t>
        </is>
      </c>
      <c r="EG30" s="59" t="inlineStr">
        <is>
          <t>FINI (from 22/11/2023); 2025-08-04 pricing reform (Mechanism A/B; six-month cornerstone lock-up retained)</t>
        </is>
      </c>
      <c r="EH30" t="inlineStr">
        <is>
          <t>上海宝济药业股份有限公司</t>
        </is>
      </c>
      <c r="EI30" s="174" t="inlineStr">
        <is>
          <t>Active</t>
        </is>
      </c>
      <c r="EJ30" s="175" t="n">
        <v>78.95</v>
      </c>
      <c r="EK30" s="176" t="n">
        <v>0.253175</v>
      </c>
      <c r="EL30" s="176" t="n">
        <v>1.992798</v>
      </c>
      <c r="EM30" s="176" t="n">
        <v>0.027055</v>
      </c>
      <c r="EN30" s="176" t="n">
        <v>0.019</v>
      </c>
      <c r="EO30" s="179" t="n">
        <v>1.2202</v>
      </c>
      <c r="EP30" s="179" t="n">
        <v>1.2298</v>
      </c>
      <c r="EQ30" s="178" t="n">
        <v>58450090</v>
      </c>
      <c r="ER30" s="175" t="n">
        <v>19.1</v>
      </c>
      <c r="ES30" s="176" t="n">
        <v>-0.696825</v>
      </c>
      <c r="ET30" s="176" t="n">
        <v>-0.275967</v>
      </c>
      <c r="EU30" s="176" t="n">
        <v>-0.044353</v>
      </c>
      <c r="EV30" s="176" t="n">
        <v>-0.15343</v>
      </c>
      <c r="EW30" s="179" t="n">
        <v>0.3172</v>
      </c>
      <c r="EX30" s="179" t="n">
        <v>0.3581</v>
      </c>
      <c r="EY30" s="178" t="n">
        <v>115697295</v>
      </c>
      <c r="EZ30" s="176" t="n">
        <v>0.257821</v>
      </c>
      <c r="FA30" s="176" t="n"/>
      <c r="FB30" s="179" t="n"/>
      <c r="FC30" s="176" t="n"/>
      <c r="FD30" s="179" t="n"/>
      <c r="FE30" s="174" t="inlineStr">
        <is>
          <t>18A (Biotech / B-tag)</t>
        </is>
      </c>
      <c r="FF30" s="181" t="n"/>
      <c r="FG30" s="185" t="n"/>
      <c r="FH30" s="183" t="n"/>
      <c r="FI30" s="178" t="n"/>
      <c r="FJ30" s="176" t="n"/>
      <c r="FK30" s="185" t="n"/>
      <c r="FL30" s="178" t="n"/>
      <c r="FM30" s="176" t="n"/>
      <c r="FN30" s="176" t="n"/>
      <c r="FO30" s="176" t="n"/>
      <c r="FP30" s="176" t="n"/>
      <c r="FQ30" s="176" t="n">
        <v>0.06349200000000001</v>
      </c>
      <c r="FR30" s="179" t="n">
        <v>1.0764</v>
      </c>
      <c r="FS30" s="176" t="n">
        <v>0.253175</v>
      </c>
      <c r="FT30" s="179" t="n">
        <v>1.2202</v>
      </c>
      <c r="FU30" s="176" t="n">
        <v>0.650794</v>
      </c>
      <c r="FV30" s="179" t="n">
        <v>1.6241</v>
      </c>
      <c r="FW30" s="179" t="n">
        <v>1.8206</v>
      </c>
      <c r="FX30" s="178" t="n">
        <v>82893442.37</v>
      </c>
      <c r="FY30" s="186" t="n">
        <v>0.0009170166666666666</v>
      </c>
      <c r="FZ30" s="183" t="n">
        <v>0</v>
      </c>
      <c r="GA30" s="176" t="n">
        <v>0.1546210389108011</v>
      </c>
      <c r="GB30" s="176" t="n">
        <v>0.907961</v>
      </c>
      <c r="GC30" s="185" t="n"/>
      <c r="GD30" s="185" t="n"/>
      <c r="GE30" s="176" t="n"/>
      <c r="GF30" s="176" t="n"/>
      <c r="GG30" s="179" t="n"/>
      <c r="GH30" s="181" t="inlineStr">
        <is>
          <t>CITIC Securities (Hong Kong) Limited</t>
        </is>
      </c>
      <c r="GI30" s="183" t="n">
        <v>2</v>
      </c>
      <c r="GJ30" s="183" t="n">
        <v>0</v>
      </c>
      <c r="GK30" s="176" t="n">
        <v>0.025</v>
      </c>
      <c r="GL30" s="176" t="n"/>
      <c r="GM30" s="176" t="n"/>
      <c r="GN30" s="183" t="n">
        <v>4</v>
      </c>
      <c r="GO30" s="183" t="n">
        <v>1</v>
      </c>
      <c r="GP30" s="183" t="n">
        <v>0</v>
      </c>
      <c r="GQ30" s="183" t="n">
        <v>31</v>
      </c>
      <c r="GR30" s="183" t="n">
        <v>1</v>
      </c>
      <c r="GS30" s="181" t="inlineStr">
        <is>
          <t>POST_FINI</t>
        </is>
      </c>
      <c r="GT30" s="181" t="inlineStr">
        <is>
          <t>POST_2025_REFORM</t>
        </is>
      </c>
    </row>
    <row r="31" ht="119" customFormat="1" customHeight="1" s="11">
      <c r="A31" s="43" t="n">
        <v>101</v>
      </c>
      <c r="B31" s="47" t="inlineStr">
        <is>
          <t>7618.HK</t>
        </is>
      </c>
      <c r="C31" s="44" t="inlineStr">
        <is>
          <t>JINGDONG Industrials, Inc.</t>
        </is>
      </c>
      <c r="D31" s="130" t="n">
        <v>45994</v>
      </c>
      <c r="E31" s="48" t="n">
        <v>46002</v>
      </c>
      <c r="F31" s="43" t="inlineStr">
        <is>
          <t>Merrill Lynch (Asia Pacific) Limited /
UBS Securities Hong Kong Limited /
Haitong International Capital Limited /
Goldman Sachs (Asia) L.L.C.</t>
        </is>
      </c>
      <c r="G31" s="43" t="inlineStr">
        <is>
          <t>Deloitte Touche Tohmatsu</t>
        </is>
      </c>
      <c r="H31" s="43" t="n"/>
      <c r="I31" s="131" t="n">
        <v>297806100</v>
      </c>
      <c r="J31" s="148" t="n">
        <v>2736037320</v>
      </c>
      <c r="K31" s="133" t="n">
        <v>14.1</v>
      </c>
      <c r="L31" t="n">
        <v>2677150661</v>
      </c>
      <c r="M31" s="67" t="n">
        <v>211208800</v>
      </c>
      <c r="N31" t="n">
        <v>2465941861</v>
      </c>
      <c r="O31" t="n">
        <v>2465941861</v>
      </c>
      <c r="P31" t="n">
        <v>0</v>
      </c>
      <c r="Q31" t="n">
        <v>211208800</v>
      </c>
      <c r="R31" s="67" t="n">
        <v>190087800</v>
      </c>
      <c r="S31" s="67" t="n">
        <v>21121000</v>
      </c>
      <c r="T31" s="147" t="n">
        <v>15.5</v>
      </c>
      <c r="U31" s="147" t="n">
        <v>12.7</v>
      </c>
      <c r="V31" s="169" t="n">
        <v>0</v>
      </c>
      <c r="W31" s="169" t="n">
        <v>0.198582</v>
      </c>
      <c r="X31" s="170" t="inlineStr">
        <is>
          <t>Midpoint</t>
        </is>
      </c>
      <c r="Y31" s="26" t="inlineStr">
        <is>
          <t>RMB</t>
        </is>
      </c>
      <c r="Z31" s="137" t="n">
        <v>12081783000</v>
      </c>
      <c r="AA31" s="137" t="n">
        <v>14657036000</v>
      </c>
      <c r="AB31" s="137" t="n">
        <v>14272868000</v>
      </c>
      <c r="AC31" s="137" t="n">
        <v>-342490000</v>
      </c>
      <c r="AD31" s="137" t="n">
        <v>486991000</v>
      </c>
      <c r="AE31" s="137" t="n">
        <v>1001661000</v>
      </c>
      <c r="AF31" s="137" t="n">
        <v>12424273000</v>
      </c>
      <c r="AG31" s="137" t="n">
        <v>14170045000</v>
      </c>
      <c r="AH31" s="137" t="n">
        <v>13271207000</v>
      </c>
      <c r="AI31" s="137" t="n">
        <v>17335883000</v>
      </c>
      <c r="AJ31" s="137" t="n">
        <v>20397741000</v>
      </c>
      <c r="AK31" s="137" t="n">
        <v>20500776000</v>
      </c>
      <c r="AL31" s="137" t="n">
        <v>160358000</v>
      </c>
      <c r="AM31" s="137" t="n">
        <v>882603000</v>
      </c>
      <c r="AN31" s="137" t="n">
        <v>1024124000</v>
      </c>
      <c r="AO31" s="137" t="n">
        <v>4799000</v>
      </c>
      <c r="AP31" s="137" t="n">
        <v>761608000</v>
      </c>
      <c r="AQ31" s="137" t="n">
        <v>902628000</v>
      </c>
      <c r="AR31" s="142" t="n">
        <v>0.011</v>
      </c>
      <c r="AS31" s="142" t="n">
        <v>0.011</v>
      </c>
      <c r="AT31" s="84" t="n">
        <v>0.15</v>
      </c>
      <c r="AU31" s="51" t="inlineStr">
        <is>
          <t>Industrial supply chain technology and service (MRO procurement and digital industrial supply chain solutions)</t>
        </is>
      </c>
      <c r="AV31" s="51" t="inlineStr">
        <is>
          <t>Main Board — Rule 8.05(3) market capitalization/revenue test</t>
        </is>
      </c>
      <c r="AW31" s="136" t="n">
        <v>45838</v>
      </c>
      <c r="AX31" s="137" t="n">
        <v>292483000</v>
      </c>
      <c r="AY31" s="117" t="n">
        <v>4559678000</v>
      </c>
      <c r="AZ31" s="117" t="n">
        <v>142574000</v>
      </c>
      <c r="BA31" s="117" t="n">
        <v>0</v>
      </c>
      <c r="BB31" s="138" t="n">
        <v>0.133</v>
      </c>
      <c r="BC31" s="139" t="n">
        <v>0.5</v>
      </c>
      <c r="BD31" s="80" t="n">
        <v>1</v>
      </c>
      <c r="BE31" s="161" t="n">
        <v>1</v>
      </c>
      <c r="BF31" s="161" t="n">
        <v>1</v>
      </c>
      <c r="BG31" s="161" t="inlineStr">
        <is>
          <t>NaN</t>
        </is>
      </c>
      <c r="BH31" s="161" t="n">
        <v>1</v>
      </c>
      <c r="BI31" s="161" t="n">
        <v>1</v>
      </c>
      <c r="BJ31" s="162" t="inlineStr">
        <is>
          <t>GGV VII Investments, L.L.C.; GGV VII Plus Investments, L.L.C.; Shanghai Yuanyan Enterprise Management Consulting Partnership (Limited Partnership); Shanghai Yuan Yue Enterprise Management Consulting Partnership (Limited Partnership); Shanghai Yuan Ye Enterprise Management Consulting Partnership (Limited Partnership); Shanghai Yuan An Enterprise Management Consulting Partnership (Limited Partnership); HSG; Pink Crystal China Fund, L.P.; C-Open Education Investment Limited; Ningbo Xinli New Dynamic Equity Investment Partnership (Limited Partnership); Beijing New Power Equity Investment Fund (Limited Partnership); Welight Capital L.P.; Domking Investment II, L.P.; GGV VII Investments Pte. Ltd.; GGV VII Plus Investments Pte. Ltd.; Expansion Project Technologies Holding SPV RSC Ltd; MIC Capital Management 23 RSC Ltd; The Prudential Assurance Company Limited; Alosa Limited</t>
        </is>
      </c>
      <c r="BK31" s="163" t="n">
        <v>0.1669</v>
      </c>
      <c r="BL31" s="161" t="inlineStr">
        <is>
          <t>NaN</t>
        </is>
      </c>
      <c r="BM31" s="164" t="inlineStr">
        <is>
          <t>Series A Preference Shares Investment</t>
        </is>
      </c>
      <c r="BN31" s="165" t="n">
        <v>5.61</v>
      </c>
      <c r="BO31" s="51" t="inlineStr">
        <is>
          <t>Natural person</t>
        </is>
      </c>
      <c r="BP31" s="135" t="n">
        <v>0.7239</v>
      </c>
      <c r="BQ31" s="135" t="n">
        <v>0.7239</v>
      </c>
      <c r="BR31" s="137" t="n">
        <v>7644691000</v>
      </c>
      <c r="BS31" s="51" t="inlineStr">
        <is>
          <t>Commercialized at scale (leading industrial supply chain technology and service provider in China)</t>
        </is>
      </c>
      <c r="BT31" s="142" t="n">
        <v>0</v>
      </c>
      <c r="BU31" s="60" t="inlineStr">
        <is>
          <t>Main Board</t>
        </is>
      </c>
      <c r="BV31" s="89" t="inlineStr">
        <is>
          <t>Ordinary Shares (single class; Cayman Islands incorporated)</t>
        </is>
      </c>
      <c r="BW31" s="61" t="n">
        <v>0</v>
      </c>
      <c r="BX31" s="77" t="n">
        <v>0</v>
      </c>
      <c r="BY31" s="77" t="n">
        <v>0</v>
      </c>
      <c r="BZ31" s="78" t="n">
        <v>0</v>
      </c>
      <c r="CA31" s="60" t="inlineStr">
        <is>
          <t>103010</t>
        </is>
      </c>
      <c r="CB31" s="76" t="inlineStr">
        <is>
          <t>HSICS (Hang Seng Industry Classification System) 2026</t>
        </is>
      </c>
      <c r="CC31" s="140" t="n">
        <v>43774</v>
      </c>
      <c r="CD31" s="171" t="n">
        <v>6.1</v>
      </c>
      <c r="CE31" s="76" t="inlineStr">
        <is>
          <t>Cayman Islands</t>
        </is>
      </c>
      <c r="CF31" s="89" t="inlineStr">
        <is>
          <t>Beijing, PRC</t>
        </is>
      </c>
      <c r="CG31" s="91" t="n">
        <v>1000</v>
      </c>
      <c r="CH31" s="60" t="inlineStr">
        <is>
          <t>IFRS Accounting Standards</t>
        </is>
      </c>
      <c r="CI31" s="141" t="n">
        <v>44927</v>
      </c>
      <c r="CJ31" s="141" t="n">
        <v>45291</v>
      </c>
      <c r="CK31" s="141" t="n">
        <v>45292</v>
      </c>
      <c r="CL31" s="141" t="n">
        <v>45657</v>
      </c>
      <c r="CM31" s="141" t="n">
        <v>45658</v>
      </c>
      <c r="CN31" s="64" t="n">
        <v>10250388000</v>
      </c>
      <c r="CO31" s="64" t="n">
        <v>512062000</v>
      </c>
      <c r="CP31" s="64" t="n">
        <v>451314000</v>
      </c>
      <c r="CQ31" s="141" t="n">
        <v>45994</v>
      </c>
      <c r="CR31" s="141" t="n">
        <v>45999</v>
      </c>
      <c r="CS31" s="63" t="n">
        <v>2677150661</v>
      </c>
      <c r="CT31" s="64" t="n">
        <v>1901590000</v>
      </c>
      <c r="CU31" s="64" t="n">
        <v>4712000</v>
      </c>
      <c r="CV31" s="59" t="inlineStr">
        <is>
          <t>Unqualified opinion</t>
        </is>
      </c>
      <c r="CW31" s="64" t="n">
        <v>150500000</v>
      </c>
      <c r="CX31" s="51" t="inlineStr">
        <is>
          <t>M&amp;G Investors; CPE Investment; AIM; IvyRock; CoreView; Schonfeld; Burkehill</t>
        </is>
      </c>
      <c r="CY31" s="142" t="n">
        <v>0.4445</v>
      </c>
      <c r="CZ31" s="136" t="n">
        <v>46184</v>
      </c>
      <c r="DA31" s="143" t="n">
        <v>60.52</v>
      </c>
      <c r="DB31" s="63" t="n">
        <v>72234</v>
      </c>
      <c r="DC31" s="63" t="n">
        <v>1278227400</v>
      </c>
      <c r="DD31" s="59" t="inlineStr">
        <is>
          <t>Subscription level 60.52 times (Hong Kong Public Offering); International Offering Subscription Level 7.88 times</t>
        </is>
      </c>
      <c r="DE31" s="141" t="n">
        <v>46000</v>
      </c>
      <c r="DF31" s="141" t="n">
        <v>46001</v>
      </c>
      <c r="DG31" s="63" t="n">
        <v>211208800</v>
      </c>
      <c r="DH31" s="63" t="n">
        <v>21121000</v>
      </c>
      <c r="DI31" s="63" t="n">
        <v>190087800</v>
      </c>
      <c r="DJ31" s="63" t="n">
        <v>3957400</v>
      </c>
      <c r="DK31" s="169" t="n">
        <v>0.124913</v>
      </c>
      <c r="DL31" s="59" t="inlineStr">
        <is>
          <t>Claw-back triggered: N/A — no reallocation from the International Offering; final Hong Kong Public Offering stayed at 21,121,000 Offer Shares (10.00% of the Global Offering)</t>
        </is>
      </c>
      <c r="DM31" s="144" t="n">
        <v>2827000000</v>
      </c>
      <c r="DN31" s="142" t="n">
        <v>0.2429</v>
      </c>
      <c r="DO31" s="51" t="n">
        <v>2687570231</v>
      </c>
      <c r="DP31" s="142" t="n">
        <v>0.0437</v>
      </c>
      <c r="DQ31" s="59" t="inlineStr">
        <is>
          <t>Free float denominator = total issued Shares immediately upon completion of the Global Offering and the Conversion Adjustment (excluding Shares to be issued under the Share Incentive Plans); numerator = Offer Shares (col_CS) less the Cornerstone Investors' allocation (col_CK x col_CS). Shares held by Controlling Shareholders and other locked-up pre-IPO holders are excluded.</t>
        </is>
      </c>
      <c r="DR31" s="63" t="n">
        <v>2687570231</v>
      </c>
      <c r="DS31" s="142" t="n">
        <v>0.00549664</v>
      </c>
      <c r="DT31" s="80" t="n">
        <v>31</v>
      </c>
      <c r="DU31" s="142" t="n">
        <v>0.0280232</v>
      </c>
      <c r="DV31" s="144" t="n">
        <v>53995000000</v>
      </c>
      <c r="DW31" s="145" t="n">
        <v>14.1</v>
      </c>
      <c r="DX31" s="169" t="n">
        <v>0</v>
      </c>
      <c r="DY31" s="172" t="n">
        <v>0</v>
      </c>
      <c r="DZ31" s="146" t="n">
        <v>13</v>
      </c>
      <c r="EA31" s="146" t="n">
        <v>14.15</v>
      </c>
      <c r="EB31" s="146" t="n">
        <v>12.66</v>
      </c>
      <c r="EC31" s="63" t="n">
        <v>39585468</v>
      </c>
      <c r="ED31" s="169" t="n">
        <v>0.187423</v>
      </c>
      <c r="EE31" s="64" t="n"/>
      <c r="EF31" s="60" t="inlineStr">
        <is>
          <t>Mechanism B</t>
        </is>
      </c>
      <c r="EG31" s="59" t="inlineStr">
        <is>
          <t>FINI (from 22/11/2023); 2025-08-04 pricing reform (Mechanism A/B; six-month cornerstone lock-up retained); this IPO: Mechanism B</t>
        </is>
      </c>
      <c r="EH31" t="inlineStr">
        <is>
          <t>京东工业股份有限公司</t>
        </is>
      </c>
      <c r="EI31" s="174" t="inlineStr">
        <is>
          <t>Active</t>
        </is>
      </c>
      <c r="EJ31" s="175" t="n">
        <v>14.22</v>
      </c>
      <c r="EK31" s="176" t="n">
        <v>0.008510999999999999</v>
      </c>
      <c r="EL31" s="176" t="n">
        <v>0.008510999999999999</v>
      </c>
      <c r="EM31" s="176" t="n">
        <v>0.042223</v>
      </c>
      <c r="EN31" s="176" t="n">
        <v>0.059374</v>
      </c>
      <c r="EO31" s="179" t="n">
        <v>0.9677</v>
      </c>
      <c r="EP31" s="179" t="n">
        <v>0.952</v>
      </c>
      <c r="EQ31" s="178" t="n">
        <v>50936925</v>
      </c>
      <c r="ER31" s="175" t="n">
        <v>12.92</v>
      </c>
      <c r="ES31" s="176" t="n">
        <v>-0.083688</v>
      </c>
      <c r="ET31" s="176" t="n">
        <v>-0.083688</v>
      </c>
      <c r="EU31" s="176" t="n">
        <v>-0.050184</v>
      </c>
      <c r="EV31" s="176" t="n">
        <v>-0.158792</v>
      </c>
      <c r="EW31" s="179" t="n">
        <v>0.9647</v>
      </c>
      <c r="EX31" s="179" t="n">
        <v>1.0893</v>
      </c>
      <c r="EY31" s="178" t="n">
        <v>18740840</v>
      </c>
      <c r="EZ31" s="176" t="n">
        <v>0.034485</v>
      </c>
      <c r="FA31" s="176" t="n"/>
      <c r="FB31" s="179" t="n"/>
      <c r="FC31" s="176" t="n"/>
      <c r="FD31" s="179" t="n"/>
      <c r="FE31" s="174" t="inlineStr">
        <is>
          <t>Standard</t>
        </is>
      </c>
      <c r="FF31" s="181" t="n"/>
      <c r="FG31" s="185" t="n"/>
      <c r="FH31" s="183" t="n"/>
      <c r="FI31" s="178" t="n"/>
      <c r="FJ31" s="176" t="n"/>
      <c r="FK31" s="185" t="n"/>
      <c r="FL31" s="178" t="n"/>
      <c r="FM31" s="176" t="n"/>
      <c r="FN31" s="176" t="n"/>
      <c r="FO31" s="176" t="n"/>
      <c r="FP31" s="176" t="n"/>
      <c r="FQ31" s="176" t="n">
        <v>-0.013475</v>
      </c>
      <c r="FR31" s="179" t="n">
        <v>0.9889</v>
      </c>
      <c r="FS31" s="176" t="n">
        <v>0.008510999999999999</v>
      </c>
      <c r="FT31" s="179" t="n">
        <v>0.9677</v>
      </c>
      <c r="FU31" s="176" t="n">
        <v>-0.028369</v>
      </c>
      <c r="FV31" s="179" t="n">
        <v>0.9578</v>
      </c>
      <c r="FW31" s="179" t="n">
        <v>1.0638</v>
      </c>
      <c r="FX31" s="178" t="n">
        <v>28959286.44</v>
      </c>
      <c r="FY31" s="186" t="n">
        <v>0.001615083333333333</v>
      </c>
      <c r="FZ31" s="183" t="n">
        <v>0</v>
      </c>
      <c r="GA31" s="176" t="n">
        <v>0.03375970540831218</v>
      </c>
      <c r="GB31" s="176" t="n">
        <v>0.277703</v>
      </c>
      <c r="GC31" s="185" t="n"/>
      <c r="GD31" s="185" t="n"/>
      <c r="GE31" s="176" t="n"/>
      <c r="GF31" s="176" t="n"/>
      <c r="GG31" s="179" t="n"/>
      <c r="GH31" s="181" t="inlineStr">
        <is>
          <t>Merrill Lynch (Asia Pacific) Limited</t>
        </is>
      </c>
      <c r="GI31" s="183" t="n">
        <v>4</v>
      </c>
      <c r="GJ31" s="183" t="n">
        <v>0</v>
      </c>
      <c r="GK31" s="176" t="n">
        <v>0.011</v>
      </c>
      <c r="GL31" s="176" t="n"/>
      <c r="GM31" s="176" t="n"/>
      <c r="GN31" s="183" t="n">
        <v>7</v>
      </c>
      <c r="GO31" s="183" t="n">
        <v>1</v>
      </c>
      <c r="GP31" s="183" t="n">
        <v>0</v>
      </c>
      <c r="GQ31" s="183" t="n">
        <v>23</v>
      </c>
      <c r="GR31" s="183" t="n">
        <v>1</v>
      </c>
      <c r="GS31" s="181" t="inlineStr">
        <is>
          <t>POST_FINI</t>
        </is>
      </c>
      <c r="GT31" s="181" t="inlineStr">
        <is>
          <t>POST_2025_REFORM</t>
        </is>
      </c>
    </row>
    <row r="32" ht="51" customFormat="1" customHeight="1" s="11">
      <c r="A32" s="43" t="n">
        <v>102</v>
      </c>
      <c r="B32" s="47" t="inlineStr">
        <is>
          <t>2655.HK</t>
        </is>
      </c>
      <c r="C32" s="44" t="inlineStr">
        <is>
          <t>Guoxia Technology Co., Ltd. - H shares</t>
        </is>
      </c>
      <c r="D32" s="130" t="n">
        <v>45999</v>
      </c>
      <c r="E32" s="48" t="n">
        <v>46007</v>
      </c>
      <c r="F32" s="43" t="inlineStr">
        <is>
          <t>China Everbright Capital Limited</t>
        </is>
      </c>
      <c r="G32" s="43" t="inlineStr">
        <is>
          <t>Ernst &amp; Young</t>
        </is>
      </c>
      <c r="H32" s="43" t="n"/>
      <c r="I32" s="131" t="n">
        <v>68044530</v>
      </c>
      <c r="J32" s="148" t="n">
        <v>831840510</v>
      </c>
      <c r="K32" s="133" t="n">
        <v>20.1</v>
      </c>
      <c r="L32" t="n">
        <v>506794075</v>
      </c>
      <c r="M32" s="67" t="n">
        <v>33852900</v>
      </c>
      <c r="N32" t="n">
        <v>472941175</v>
      </c>
      <c r="O32" t="n">
        <v>472941175</v>
      </c>
      <c r="P32" t="n">
        <v>0</v>
      </c>
      <c r="Q32" t="n">
        <v>33852900</v>
      </c>
      <c r="R32" s="67" t="n">
        <v>30467600</v>
      </c>
      <c r="S32" s="67" t="n">
        <v>3385300</v>
      </c>
      <c r="T32" s="147" t="n">
        <v>20.1</v>
      </c>
      <c r="U32" s="147" t="n">
        <v>20.1</v>
      </c>
      <c r="V32" s="169" t="n">
        <v>0</v>
      </c>
      <c r="W32" s="169" t="n">
        <v>0</v>
      </c>
      <c r="X32" s="170" t="inlineStr">
        <is>
          <t>Fixed price</t>
        </is>
      </c>
      <c r="Y32" s="26" t="inlineStr">
        <is>
          <t>RMB</t>
        </is>
      </c>
      <c r="Z32" s="137" t="n">
        <v>448175000</v>
      </c>
      <c r="AA32" s="137" t="n">
        <v>1148072000</v>
      </c>
      <c r="AB32" s="137" t="n">
        <v>1730796000</v>
      </c>
      <c r="AC32" s="137" t="n">
        <v>94663000</v>
      </c>
      <c r="AD32" s="137" t="n">
        <v>192792000</v>
      </c>
      <c r="AE32" s="137" t="n">
        <v>299970000</v>
      </c>
      <c r="AF32" s="137" t="n">
        <v>353512000</v>
      </c>
      <c r="AG32" s="137" t="n">
        <v>955280000</v>
      </c>
      <c r="AH32" s="137" t="n">
        <v>1430826000</v>
      </c>
      <c r="AI32" s="137" t="n">
        <v>314307000</v>
      </c>
      <c r="AJ32" s="137" t="n">
        <v>1025613000</v>
      </c>
      <c r="AK32" s="137" t="n">
        <v>1382740000</v>
      </c>
      <c r="AL32" s="137" t="n">
        <v>31793000</v>
      </c>
      <c r="AM32" s="137" t="n">
        <v>53820000</v>
      </c>
      <c r="AN32" s="137" t="n">
        <v>17100000</v>
      </c>
      <c r="AO32" s="137" t="n">
        <v>28148000</v>
      </c>
      <c r="AP32" s="137" t="n">
        <v>49119000</v>
      </c>
      <c r="AQ32" s="137" t="n">
        <v>11150000</v>
      </c>
      <c r="AR32" s="142" t="n">
        <v>0.05</v>
      </c>
      <c r="AS32" s="142" t="n">
        <v>0.05</v>
      </c>
      <c r="AT32" s="84" t="n">
        <v>0.15</v>
      </c>
      <c r="AU32" s="51" t="inlineStr">
        <is>
          <t>Renewable energy solutions and products provider in the energy storage industry — energy storage systems (ESS) solutions and products (large-scale, C&amp;I and residential ESS)</t>
        </is>
      </c>
      <c r="AV32" s="51" t="inlineStr">
        <is>
          <t>Main Board of The Stock Exchange of Hong Kong Limited</t>
        </is>
      </c>
      <c r="AW32" s="136" t="n">
        <v>45838</v>
      </c>
      <c r="AX32" s="137" t="n">
        <v>-204911000</v>
      </c>
      <c r="AY32" s="117" t="n">
        <v>46687000</v>
      </c>
      <c r="AZ32" s="117" t="n">
        <v>16657000</v>
      </c>
      <c r="BA32" s="117" t="n">
        <v>0</v>
      </c>
      <c r="BB32" s="138" t="n">
        <v>0.777</v>
      </c>
      <c r="BC32" s="139" t="n">
        <v>0.5</v>
      </c>
      <c r="BD32" s="80" t="n">
        <v>1</v>
      </c>
      <c r="BE32" s="161" t="n">
        <v>1</v>
      </c>
      <c r="BF32" s="161" t="n">
        <v>1</v>
      </c>
      <c r="BG32" s="161" t="n">
        <v>1</v>
      </c>
      <c r="BH32" s="161" t="inlineStr">
        <is>
          <t>NaN</t>
        </is>
      </c>
      <c r="BI32" s="161" t="inlineStr">
        <is>
          <t>NaN</t>
        </is>
      </c>
      <c r="BJ32" s="162" t="inlineStr">
        <is>
          <t>Shanghai Youce; Mr. Zhang; Wuxi Yuebai; Hainan Xuding; Mr. Cai Guoming; Mr. Lin Guodong; Mr. Qiao Xin; Ms. Zhang Panpan; Ms. Zhou Qiong; Ms. Xu Siyue; Mr. Liu Xin; Ms. Cui Yanan; Kaibo Hongcheng; Shenzhen Ningqian</t>
        </is>
      </c>
      <c r="BK32" s="163" t="n">
        <v>0.0672</v>
      </c>
      <c r="BL32" s="161" t="inlineStr">
        <is>
          <t>NaN</t>
        </is>
      </c>
      <c r="BM32" s="164" t="inlineStr">
        <is>
          <t>Equity transfers and capital increase in April 2019 and January 2021</t>
        </is>
      </c>
      <c r="BN32" s="165" t="n">
        <v>6.62</v>
      </c>
      <c r="BO32" s="51" t="inlineStr">
        <is>
          <t>自然人</t>
        </is>
      </c>
      <c r="BP32" s="135" t="n">
        <v>0.5463</v>
      </c>
      <c r="BQ32" s="135" t="n">
        <v>0.5463</v>
      </c>
      <c r="BR32" s="137" t="n">
        <v>386311000</v>
      </c>
      <c r="BS32" s="51" t="inlineStr">
        <is>
          <t>已量产/规模商业化：户用ESS产品自2022年起量产，大型及工商业ESS产品自2023年起自建产线、2024年5月第二条产线投产；2024年总产能达1,561.2 MWh</t>
        </is>
      </c>
      <c r="BT32" s="142" t="n">
        <v>0</v>
      </c>
      <c r="BU32" s="60" t="inlineStr">
        <is>
          <t>Main Board</t>
        </is>
      </c>
      <c r="BV32" s="89" t="inlineStr">
        <is>
          <t>H Shares</t>
        </is>
      </c>
      <c r="BW32" s="61" t="n">
        <v>0</v>
      </c>
      <c r="BX32" s="77" t="n">
        <v>0</v>
      </c>
      <c r="BY32" s="77" t="n">
        <v>0</v>
      </c>
      <c r="BZ32" s="78" t="n">
        <v>0</v>
      </c>
      <c r="CA32" s="60" t="inlineStr">
        <is>
          <t>101070</t>
        </is>
      </c>
      <c r="CB32" s="76" t="inlineStr">
        <is>
          <t>HSICS (Hang Seng Industry Classification System) 2026</t>
        </is>
      </c>
      <c r="CC32" s="140" t="n">
        <v>43469</v>
      </c>
      <c r="CD32" s="171" t="n">
        <v>6.95</v>
      </c>
      <c r="CE32" s="76" t="inlineStr">
        <is>
          <t>PRC</t>
        </is>
      </c>
      <c r="CF32" s="89" t="inlineStr">
        <is>
          <t>Wuxi City, Jiangsu Province, PRC</t>
        </is>
      </c>
      <c r="CG32" s="91" t="n"/>
      <c r="CH32" s="60" t="inlineStr">
        <is>
          <t>HKFRS Accounting Standards</t>
        </is>
      </c>
      <c r="CI32" s="141" t="n">
        <v>44927</v>
      </c>
      <c r="CJ32" s="141" t="n">
        <v>45291</v>
      </c>
      <c r="CK32" s="141" t="n">
        <v>45292</v>
      </c>
      <c r="CL32" s="141" t="n">
        <v>45657</v>
      </c>
      <c r="CM32" s="141" t="n">
        <v>45658</v>
      </c>
      <c r="CN32" s="64" t="n">
        <v>691370000</v>
      </c>
      <c r="CO32" s="64" t="n">
        <v>8550000</v>
      </c>
      <c r="CP32" s="64" t="n">
        <v>5575000</v>
      </c>
      <c r="CQ32" s="141" t="n">
        <v>45999</v>
      </c>
      <c r="CR32" s="141" t="n">
        <v>46002</v>
      </c>
      <c r="CS32" s="63" t="n">
        <v>383771840</v>
      </c>
      <c r="CT32" s="64" t="n">
        <v>86263000</v>
      </c>
      <c r="CU32" s="64" t="n">
        <v>53411000</v>
      </c>
      <c r="CV32" s="59" t="inlineStr">
        <is>
          <t>无保留意见 (Unqualified opinion)</t>
        </is>
      </c>
      <c r="CW32" s="64" t="n">
        <v>74800000</v>
      </c>
      <c r="CX32" s="51" t="inlineStr">
        <is>
          <t>Huikai Hong Kong Economic Development Co., Ltd.; Dream’ee (Hong Kong) Open-ended Fund Company; RIME Capital Limited</t>
        </is>
      </c>
      <c r="CY32" s="142" t="n">
        <v>0.0949</v>
      </c>
      <c r="CZ32" s="136" t="n">
        <v>46189</v>
      </c>
      <c r="DA32" s="143" t="n">
        <v>1890.73</v>
      </c>
      <c r="DB32" s="63" t="n">
        <v>161076</v>
      </c>
      <c r="DC32" s="63" t="n">
        <v>6400681900</v>
      </c>
      <c r="DD32" s="59" t="inlineStr">
        <is>
          <t>Subscription level 1,890.73 times</t>
        </is>
      </c>
      <c r="DE32" s="141" t="inlineStr">
        <is>
          <t>NA</t>
        </is>
      </c>
      <c r="DF32" s="141" t="n">
        <v>46006</v>
      </c>
      <c r="DG32" s="63" t="n">
        <v>38930800</v>
      </c>
      <c r="DH32" s="63" t="n">
        <v>3385300</v>
      </c>
      <c r="DI32" s="63" t="n">
        <v>35545500</v>
      </c>
      <c r="DJ32" s="63" t="n">
        <v>5839600</v>
      </c>
      <c r="DK32" s="169" t="n">
        <v>1</v>
      </c>
      <c r="DL32" s="59" t="inlineStr">
        <is>
          <t>No claw-back was triggered; the Public Offer remained at 3,385,300 Offer Shares while the International Offer rose to 35,545,500 Offer Shares through the full exercise of the Offer Size Adjustment Option.</t>
        </is>
      </c>
      <c r="DM32" s="144" t="n">
        <v>700550000</v>
      </c>
      <c r="DN32" s="142" t="n">
        <v>0.178</v>
      </c>
      <c r="DO32" s="51" t="n">
        <v>511871975</v>
      </c>
      <c r="DP32" s="142" t="n">
        <v>0.0688</v>
      </c>
      <c r="DQ32" s="59" t="inlineStr">
        <is>
          <t>Free float denominator = number of issued Shares upon Listing before exercise of the Over-allotment Option (511,871,975); numerator = final Global Offering Shares (38,930,800) less cornerstone allocation (3,694,000)</t>
        </is>
      </c>
      <c r="DR32" s="63" t="n">
        <v>511871975</v>
      </c>
      <c r="DS32" s="142" t="n">
        <v>-0.00597329</v>
      </c>
      <c r="DT32" s="80" t="n">
        <v>35</v>
      </c>
      <c r="DU32" s="142" t="n">
        <v>0.0307512</v>
      </c>
      <c r="DV32" s="144" t="n">
        <v>53877000000</v>
      </c>
      <c r="DW32" s="145" t="n">
        <v>43.8</v>
      </c>
      <c r="DX32" s="169" t="n">
        <v>1.179104</v>
      </c>
      <c r="DY32" s="172" t="n">
        <v>922659960</v>
      </c>
      <c r="DZ32" s="146" t="n">
        <v>38</v>
      </c>
      <c r="EA32" s="146" t="n">
        <v>49.3</v>
      </c>
      <c r="EB32" s="146" t="n">
        <v>37.84</v>
      </c>
      <c r="EC32" s="63" t="n">
        <v>8732200</v>
      </c>
      <c r="ED32" s="169" t="n">
        <v>0.224301</v>
      </c>
      <c r="EE32" s="64" t="n"/>
      <c r="EF32" s="60" t="inlineStr">
        <is>
          <t>Mechanism B</t>
        </is>
      </c>
      <c r="EG32" s="59" t="inlineStr">
        <is>
          <t>FINI (from 22/11/2023); 2025-08-04 pricing reform (Mechanism A/B; six-month cornerstone lock-up retained); this IPO: Mechanism B</t>
        </is>
      </c>
      <c r="EH32" t="inlineStr">
        <is>
          <t>果下科技股份有限公司</t>
        </is>
      </c>
      <c r="EI32" s="174" t="inlineStr">
        <is>
          <t>Active</t>
        </is>
      </c>
      <c r="EJ32" s="175" t="n">
        <v>52.3</v>
      </c>
      <c r="EK32" s="176" t="n">
        <v>0.194064</v>
      </c>
      <c r="EL32" s="176" t="n">
        <v>1.60199</v>
      </c>
      <c r="EM32" s="176" t="n">
        <v>0.066898</v>
      </c>
      <c r="EN32" s="176" t="n">
        <v>0.078823</v>
      </c>
      <c r="EO32" s="179" t="n">
        <v>1.1192</v>
      </c>
      <c r="EP32" s="179" t="n">
        <v>1.1068</v>
      </c>
      <c r="EQ32" s="178" t="n">
        <v>37294605</v>
      </c>
      <c r="ER32" s="175" t="n">
        <v>17.78</v>
      </c>
      <c r="ES32" s="176" t="n">
        <v>-0.594064</v>
      </c>
      <c r="ET32" s="176" t="n">
        <v>-0.115423</v>
      </c>
      <c r="EU32" s="176" t="n">
        <v>-0.029382</v>
      </c>
      <c r="EV32" s="176" t="n">
        <v>-0.137688</v>
      </c>
      <c r="EW32" s="179" t="n">
        <v>0.4182</v>
      </c>
      <c r="EX32" s="179" t="n">
        <v>0.4708</v>
      </c>
      <c r="EY32" s="178" t="n">
        <v>141869610</v>
      </c>
      <c r="EZ32" s="176" t="n">
        <v>0.400814</v>
      </c>
      <c r="FA32" s="176" t="n"/>
      <c r="FB32" s="179" t="n"/>
      <c r="FC32" s="176" t="n"/>
      <c r="FD32" s="179" t="n"/>
      <c r="FE32" s="174" t="inlineStr">
        <is>
          <t>Standard</t>
        </is>
      </c>
      <c r="FF32" s="181" t="n"/>
      <c r="FG32" s="185" t="n"/>
      <c r="FH32" s="183" t="n"/>
      <c r="FI32" s="178" t="n"/>
      <c r="FJ32" s="176" t="n"/>
      <c r="FK32" s="185" t="n"/>
      <c r="FL32" s="178" t="n"/>
      <c r="FM32" s="176" t="n"/>
      <c r="FN32" s="176" t="n"/>
      <c r="FO32" s="176" t="n"/>
      <c r="FP32" s="176" t="n"/>
      <c r="FQ32" s="176" t="n">
        <v>-0.031963</v>
      </c>
      <c r="FR32" s="179" t="n">
        <v>0.9468</v>
      </c>
      <c r="FS32" s="176" t="n">
        <v>0.194064</v>
      </c>
      <c r="FT32" s="179" t="n">
        <v>1.1192</v>
      </c>
      <c r="FU32" s="176" t="n">
        <v>0.011416</v>
      </c>
      <c r="FV32" s="179" t="n">
        <v>0.988</v>
      </c>
      <c r="FW32" s="179" t="n">
        <v>1.0689</v>
      </c>
      <c r="FX32" s="178" t="n">
        <v>36224093.22</v>
      </c>
      <c r="FY32" s="186" t="n">
        <v>0.0009673166666666667</v>
      </c>
      <c r="FZ32" s="183" t="n">
        <v>0</v>
      </c>
      <c r="GA32" s="176" t="n">
        <v>0.1313139471647962</v>
      </c>
      <c r="GB32" s="176" t="n">
        <v>0.778385</v>
      </c>
      <c r="GC32" s="185" t="n"/>
      <c r="GD32" s="185" t="n"/>
      <c r="GE32" s="176" t="n"/>
      <c r="GF32" s="176" t="n"/>
      <c r="GG32" s="179" t="n"/>
      <c r="GH32" s="181" t="inlineStr">
        <is>
          <t>China Everbright Capital Limited</t>
        </is>
      </c>
      <c r="GI32" s="183" t="n">
        <v>1</v>
      </c>
      <c r="GJ32" s="183" t="n">
        <v>0</v>
      </c>
      <c r="GK32" s="176" t="n">
        <v>0.05</v>
      </c>
      <c r="GL32" s="176" t="n"/>
      <c r="GM32" s="176" t="n"/>
      <c r="GN32" s="183" t="n">
        <v>4</v>
      </c>
      <c r="GO32" s="183" t="n">
        <v>1</v>
      </c>
      <c r="GP32" s="183" t="n">
        <v>0</v>
      </c>
      <c r="GQ32" s="183" t="n">
        <v>14</v>
      </c>
      <c r="GR32" s="183" t="n">
        <v>0</v>
      </c>
      <c r="GS32" s="181" t="inlineStr">
        <is>
          <t>POST_FINI</t>
        </is>
      </c>
      <c r="GT32" s="181" t="inlineStr">
        <is>
          <t>POST_2025_REFORM</t>
        </is>
      </c>
    </row>
    <row r="33" ht="51" customFormat="1" customHeight="1" s="11">
      <c r="A33" s="43" t="n">
        <v>103</v>
      </c>
      <c r="B33" s="47" t="inlineStr">
        <is>
          <t>3887.HK</t>
        </is>
      </c>
      <c r="C33" s="44" t="inlineStr">
        <is>
          <t>HashKey Holdings Limited</t>
        </is>
      </c>
      <c r="D33" s="130" t="n">
        <v>46000</v>
      </c>
      <c r="E33" s="48" t="n">
        <v>46008</v>
      </c>
      <c r="F33" s="43" t="inlineStr">
        <is>
          <t>J.P. Morgan Securities (Far East) Limited /
Guotai Junan Capital Limited</t>
        </is>
      </c>
      <c r="G33" s="43" t="inlineStr">
        <is>
          <t>KPMG</t>
        </is>
      </c>
      <c r="H33" s="43" t="n"/>
      <c r="I33" s="131" t="n">
        <v>160702096</v>
      </c>
      <c r="J33" s="148" t="n">
        <v>1452266736</v>
      </c>
      <c r="K33" s="133" t="n">
        <v>6.68</v>
      </c>
      <c r="L33" t="n">
        <v>2765176002</v>
      </c>
      <c r="M33" s="67" t="n">
        <v>240570000</v>
      </c>
      <c r="N33" t="n">
        <v>2524606002</v>
      </c>
      <c r="O33" t="n">
        <v>2524606002</v>
      </c>
      <c r="P33" t="n">
        <v>0</v>
      </c>
      <c r="Q33" t="n">
        <v>240570000</v>
      </c>
      <c r="R33" s="67" t="n">
        <v>216512800</v>
      </c>
      <c r="S33" s="67" t="n">
        <v>24057200</v>
      </c>
      <c r="T33" s="147" t="n">
        <v>6.95</v>
      </c>
      <c r="U33" s="147" t="n">
        <v>5.95</v>
      </c>
      <c r="V33" s="169" t="n">
        <v>0.035659</v>
      </c>
      <c r="W33" s="169" t="n">
        <v>0.155039</v>
      </c>
      <c r="X33" s="170" t="inlineStr">
        <is>
          <t>Within range</t>
        </is>
      </c>
      <c r="Y33" s="26" t="inlineStr">
        <is>
          <t>HKD</t>
        </is>
      </c>
      <c r="Z33" s="137" t="n">
        <v>1539276000</v>
      </c>
      <c r="AA33" s="137" t="n">
        <v>1613816000</v>
      </c>
      <c r="AB33" s="137" t="n">
        <v>1607359000</v>
      </c>
      <c r="AC33" s="137" t="n">
        <v>-530392000</v>
      </c>
      <c r="AD33" s="137" t="n">
        <v>-1052458000</v>
      </c>
      <c r="AE33" s="137" t="n">
        <v>-1581827000</v>
      </c>
      <c r="AF33" s="137" t="n">
        <v>2069668000</v>
      </c>
      <c r="AG33" s="137" t="n">
        <v>2666274000</v>
      </c>
      <c r="AH33" s="137" t="n">
        <v>3189186000</v>
      </c>
      <c r="AI33" s="137" t="n">
        <v>207792000</v>
      </c>
      <c r="AJ33" s="137" t="n">
        <v>720731000</v>
      </c>
      <c r="AK33" s="137" t="n">
        <v>567934000</v>
      </c>
      <c r="AL33" s="137" t="n">
        <v>-575967000</v>
      </c>
      <c r="AM33" s="137" t="n">
        <v>-1183470000</v>
      </c>
      <c r="AN33" s="137" t="n">
        <v>-1009400000</v>
      </c>
      <c r="AO33" s="137" t="n">
        <v>-579952000</v>
      </c>
      <c r="AP33" s="137" t="n">
        <v>-1189607000</v>
      </c>
      <c r="AQ33" s="137" t="n">
        <v>-1013492000</v>
      </c>
      <c r="AR33" s="142" t="n">
        <v>0.03</v>
      </c>
      <c r="AS33" s="142" t="n">
        <v>0.03</v>
      </c>
      <c r="AT33" s="84" t="n">
        <v>0.15</v>
      </c>
      <c r="AU33" s="51" t="inlineStr">
        <is>
          <t>Licensed digital asset platform: transaction facilitation services, on-chain services and asset management services</t>
        </is>
      </c>
      <c r="AV33" s="51" t="inlineStr">
        <is>
          <t>Main Board (Chapter 8 of the Listing Rules)</t>
        </is>
      </c>
      <c r="AW33" s="136" t="n">
        <v>45838</v>
      </c>
      <c r="AX33" s="137" t="n">
        <v>-266340000</v>
      </c>
      <c r="AY33" s="117" t="n">
        <v>396588000</v>
      </c>
      <c r="AZ33" s="117" t="n">
        <v>225232000</v>
      </c>
      <c r="BA33" s="117" t="n">
        <v>0</v>
      </c>
      <c r="BB33" s="138" t="n">
        <v>0.228</v>
      </c>
      <c r="BC33" s="139" t="n">
        <v>0.5</v>
      </c>
      <c r="BD33" s="80" t="n">
        <v>1</v>
      </c>
      <c r="BE33" s="161" t="n">
        <v>1</v>
      </c>
      <c r="BF33" s="161" t="n">
        <v>1</v>
      </c>
      <c r="BG33" s="161" t="n">
        <v>1</v>
      </c>
      <c r="BH33" s="161" t="n">
        <v>1</v>
      </c>
      <c r="BI33" s="161" t="n">
        <v>1</v>
      </c>
      <c r="BJ33" s="162" t="inlineStr">
        <is>
          <t>Open Horizon Holdings Limited; Fidelity China Special Situations PLC; Fidelity Funds; Prestige Wealth Group Limited; Black Shadows, L.P.; TDR Investment Inc; Tomars Limited; CMBI Private Equity Series SPC on behalf of and for the account of Links Opportunity Fund SP; People’s Capital Digital I L.P.; People’s Capital Digital II L.P.; JF SmartTrade (BVI) Limited; Summer Eternity Holdings Limited; BLACKLAKE INVESTMENT MANAGEMENT LTD; Epoch Vantage Limited; SmartDot Limited; Shining Light Grace Limited; Space Z PTE. LTD.; CMSC Partners OFC — Ignis Fund II; HUIDING TECHNOLOGY PTE. LTD.; New Port International Capital Limited; Ching Hiu Yuen; SNZ Holding Limited; Atlascap Metaverse Limited; EOS Network Ventures Fund I GP Ltd.; OKG Ventures Limited; Gortune AlphaGo Inv. Limited; Meitu Investment Ltd; Haili Metal One Hongkong Co., Limited</t>
        </is>
      </c>
      <c r="BK33" s="163" t="n">
        <v>0.1764</v>
      </c>
      <c r="BL33" s="161" t="n">
        <v>0</v>
      </c>
      <c r="BM33" s="164" t="inlineStr">
        <is>
          <t>Convertible Notes round (initial investment agreement dated September 22, 2022; converted into Series A Preferred Shares on December 29, 2023)</t>
        </is>
      </c>
      <c r="BN33" s="165" t="inlineStr">
        <is>
          <t>NaN</t>
        </is>
      </c>
      <c r="BO33" s="51" t="inlineStr">
        <is>
          <t>自然人（Mr. Lu）</t>
        </is>
      </c>
      <c r="BP33" s="135" t="n">
        <v>0.3943</v>
      </c>
      <c r="BQ33" s="135" t="n">
        <v>0.6036</v>
      </c>
      <c r="BR33" s="137" t="n">
        <v>2242070000</v>
      </c>
      <c r="BS33" s="51" t="inlineStr">
        <is>
          <t>Commercialised / large-scale commercial operations</t>
        </is>
      </c>
      <c r="BT33" s="142" t="n">
        <v>0</v>
      </c>
      <c r="BU33" s="60" t="inlineStr">
        <is>
          <t>Main Board</t>
        </is>
      </c>
      <c r="BV33" s="89" t="inlineStr">
        <is>
          <t>Ordinary Shares</t>
        </is>
      </c>
      <c r="BW33" s="61" t="n">
        <v>0</v>
      </c>
      <c r="BX33" s="77" t="n">
        <v>0</v>
      </c>
      <c r="BY33" s="77" t="n">
        <v>0</v>
      </c>
      <c r="BZ33" s="78" t="n">
        <v>0</v>
      </c>
      <c r="CA33" s="60" t="inlineStr">
        <is>
          <t>503040</t>
        </is>
      </c>
      <c r="CB33" s="76" t="inlineStr">
        <is>
          <t>HSICS (Hang Seng Industry Classification System) 2026</t>
        </is>
      </c>
      <c r="CC33" s="140" t="n">
        <v>43467</v>
      </c>
      <c r="CD33" s="171" t="n">
        <v>6.96</v>
      </c>
      <c r="CE33" s="76" t="inlineStr">
        <is>
          <t>Cayman Islands</t>
        </is>
      </c>
      <c r="CF33" s="89" t="inlineStr">
        <is>
          <t>Hong Kong</t>
        </is>
      </c>
      <c r="CG33" s="91" t="n"/>
      <c r="CH33" s="60" t="inlineStr">
        <is>
          <t>IFRS Accounting Standards</t>
        </is>
      </c>
      <c r="CI33" s="141" t="n">
        <v>44927</v>
      </c>
      <c r="CJ33" s="141" t="n">
        <v>45291</v>
      </c>
      <c r="CK33" s="141" t="n">
        <v>45292</v>
      </c>
      <c r="CL33" s="141" t="n">
        <v>45657</v>
      </c>
      <c r="CM33" s="141" t="n">
        <v>45658</v>
      </c>
      <c r="CN33" s="64" t="n">
        <v>283967000</v>
      </c>
      <c r="CO33" s="64" t="n">
        <v>-504700000</v>
      </c>
      <c r="CP33" s="64" t="n">
        <v>-506746000</v>
      </c>
      <c r="CQ33" s="141" t="n">
        <v>46000</v>
      </c>
      <c r="CR33" s="141" t="n">
        <v>46003</v>
      </c>
      <c r="CS33" s="63" t="n">
        <v>2765176002</v>
      </c>
      <c r="CT33" s="64" t="n">
        <v>184478000</v>
      </c>
      <c r="CU33" s="64" t="n">
        <v>1349000</v>
      </c>
      <c r="CV33" s="59" t="inlineStr">
        <is>
          <t>Unqualified opinion (true and fair view)</t>
        </is>
      </c>
      <c r="CW33" s="64" t="n">
        <v>125300000</v>
      </c>
      <c r="CX33" s="51" t="inlineStr">
        <is>
          <t>UBS AM Singapore; FIL Investment Management (Hong Kong) Limited; CDH Global Frontier Ventures Limited; Cithara Global Multi-Strategy SPC – Bosideng Industry Investment Fund SP; Infini Global Master Fund; Deep Source Holdings Limited; Profit Channel Development Limited; Space Z PTE. LTD.; Shining Light Grace Limited</t>
        </is>
      </c>
      <c r="CY33" s="142" t="n">
        <v>0.3634</v>
      </c>
      <c r="CZ33" s="136" t="n">
        <v>46190</v>
      </c>
      <c r="DA33" s="143" t="n">
        <v>393.71</v>
      </c>
      <c r="DB33" s="63" t="n">
        <v>88592</v>
      </c>
      <c r="DC33" s="63" t="n">
        <v>9471590800</v>
      </c>
      <c r="DD33" s="59" t="inlineStr">
        <is>
          <t>Subscription level 393.71 times (Hong Kong Public Offering)</t>
        </is>
      </c>
      <c r="DE33" s="141" t="n">
        <v>46006</v>
      </c>
      <c r="DF33" s="141" t="n">
        <v>46007</v>
      </c>
      <c r="DG33" s="63" t="n">
        <v>240570000</v>
      </c>
      <c r="DH33" s="63" t="n">
        <v>24057200</v>
      </c>
      <c r="DI33" s="63" t="n">
        <v>216512800</v>
      </c>
      <c r="DJ33" s="63" t="n">
        <v>892400</v>
      </c>
      <c r="DK33" s="169" t="n">
        <v>0.02473</v>
      </c>
      <c r="DL33" s="59" t="inlineStr">
        <is>
          <t>Reallocation: No. No. of Offer Shares reallocated from the International Offering: 0; final Hong Kong Public Offering 24,057,200 Shares (10% of the Global Offering).</t>
        </is>
      </c>
      <c r="DM33" s="144" t="n">
        <v>1479240781</v>
      </c>
      <c r="DN33" s="142" t="n">
        <v>0.248</v>
      </c>
      <c r="DO33" s="51" t="n">
        <v>2765176002</v>
      </c>
      <c r="DP33" s="142" t="n">
        <v>0.0554</v>
      </c>
      <c r="DQ33" s="59" t="inlineStr">
        <is>
          <t>Free float percentage of 5.54% is disclosed by the announcement against the total issued share capital of the Company immediately after the Global Offering (before exercise of the Over-allotment Option)</t>
        </is>
      </c>
      <c r="DR33" s="63" t="n">
        <v>2765176002</v>
      </c>
      <c r="DS33" s="142" t="n">
        <v>-0.03316072</v>
      </c>
      <c r="DT33" s="80" t="n">
        <v>36</v>
      </c>
      <c r="DU33" s="142" t="n">
        <v>0.0309571</v>
      </c>
      <c r="DV33" s="144" t="n">
        <v>53877000000</v>
      </c>
      <c r="DW33" s="145" t="n">
        <v>6.67</v>
      </c>
      <c r="DX33" s="169" t="n">
        <v>-0.001497</v>
      </c>
      <c r="DY33" s="172" t="n">
        <v>-2405700</v>
      </c>
      <c r="DZ33" s="146" t="n">
        <v>6.7</v>
      </c>
      <c r="EA33" s="146" t="n">
        <v>7.12</v>
      </c>
      <c r="EB33" s="146" t="n">
        <v>6.12</v>
      </c>
      <c r="EC33" s="63" t="n">
        <v>98920830</v>
      </c>
      <c r="ED33" s="169" t="n">
        <v>0.411194</v>
      </c>
      <c r="EE33" s="64" t="n"/>
      <c r="EF33" s="60" t="inlineStr">
        <is>
          <t>Mechanism B</t>
        </is>
      </c>
      <c r="EG33" s="59" t="inlineStr">
        <is>
          <t>FINI (from 22/11/2023); 2025-08-04 pricing reform (Mechanism A/B; six-month cornerstone lock-up retained); this IPO: Mechanism B</t>
        </is>
      </c>
      <c r="EH33" t="inlineStr">
        <is>
          <t>NA</t>
        </is>
      </c>
      <c r="EI33" s="174" t="inlineStr">
        <is>
          <t>Active</t>
        </is>
      </c>
      <c r="EJ33" s="175" t="n">
        <v>7.75</v>
      </c>
      <c r="EK33" s="176" t="n">
        <v>0.161919</v>
      </c>
      <c r="EL33" s="176" t="n">
        <v>0.16018</v>
      </c>
      <c r="EM33" s="176" t="n">
        <v>0.054034</v>
      </c>
      <c r="EN33" s="176" t="n">
        <v>0.066734</v>
      </c>
      <c r="EO33" s="179" t="n">
        <v>1.1024</v>
      </c>
      <c r="EP33" s="179" t="n">
        <v>1.0892</v>
      </c>
      <c r="EQ33" s="178" t="n">
        <v>82574255</v>
      </c>
      <c r="ER33" s="175" t="n">
        <v>2.81</v>
      </c>
      <c r="ES33" s="176" t="n">
        <v>-0.578711</v>
      </c>
      <c r="ET33" s="176" t="n">
        <v>-0.579341</v>
      </c>
      <c r="EU33" s="176" t="n">
        <v>-0.045413</v>
      </c>
      <c r="EV33" s="176" t="n">
        <v>-0.144538</v>
      </c>
      <c r="EW33" s="179" t="n">
        <v>0.4413</v>
      </c>
      <c r="EX33" s="179" t="n">
        <v>0.4925</v>
      </c>
      <c r="EY33" s="178" t="n">
        <v>4140075</v>
      </c>
      <c r="EZ33" s="176" t="n">
        <v>0.00622</v>
      </c>
      <c r="FA33" s="176" t="n"/>
      <c r="FB33" s="179" t="n"/>
      <c r="FC33" s="176" t="n"/>
      <c r="FD33" s="179" t="n"/>
      <c r="FE33" s="174" t="inlineStr">
        <is>
          <t>Standard</t>
        </is>
      </c>
      <c r="FF33" s="181" t="n"/>
      <c r="FG33" s="185" t="n"/>
      <c r="FH33" s="183" t="n"/>
      <c r="FI33" s="178" t="n"/>
      <c r="FJ33" s="176" t="n"/>
      <c r="FK33" s="185" t="n"/>
      <c r="FL33" s="178" t="n"/>
      <c r="FM33" s="176" t="n"/>
      <c r="FN33" s="176" t="n"/>
      <c r="FO33" s="176" t="n"/>
      <c r="FP33" s="176" t="n"/>
      <c r="FQ33" s="176" t="n">
        <v>-0.175412</v>
      </c>
      <c r="FR33" s="179" t="n">
        <v>0.8148</v>
      </c>
      <c r="FS33" s="176" t="n">
        <v>0.161919</v>
      </c>
      <c r="FT33" s="179" t="n">
        <v>1.1024</v>
      </c>
      <c r="FU33" s="176" t="n">
        <v>-0.206897</v>
      </c>
      <c r="FV33" s="179" t="n">
        <v>0.7808</v>
      </c>
      <c r="FW33" s="179" t="n">
        <v>0.8475</v>
      </c>
      <c r="FX33" s="178" t="n">
        <v>41713025.42</v>
      </c>
      <c r="FY33" s="186" t="n">
        <v>0.004057083333333334</v>
      </c>
      <c r="FZ33" s="183" t="n">
        <v>0</v>
      </c>
      <c r="GA33" s="176" t="n">
        <v>0.04299907568646896</v>
      </c>
      <c r="GB33" s="176" t="n">
        <v>0.654135</v>
      </c>
      <c r="GC33" s="185" t="n"/>
      <c r="GD33" s="185" t="n"/>
      <c r="GE33" s="176" t="n"/>
      <c r="GF33" s="176" t="n"/>
      <c r="GG33" s="179" t="n"/>
      <c r="GH33" s="181" t="inlineStr">
        <is>
          <t>J.P. Morgan Securities (Far East) Limited</t>
        </is>
      </c>
      <c r="GI33" s="183" t="n">
        <v>2</v>
      </c>
      <c r="GJ33" s="183" t="n">
        <v>0</v>
      </c>
      <c r="GK33" s="176" t="n">
        <v>0.03</v>
      </c>
      <c r="GL33" s="176" t="n"/>
      <c r="GM33" s="176" t="n"/>
      <c r="GN33" s="183" t="n">
        <v>9</v>
      </c>
      <c r="GO33" s="183" t="n">
        <v>1</v>
      </c>
      <c r="GP33" s="183" t="n">
        <v>0</v>
      </c>
      <c r="GQ33" s="183" t="n">
        <v>30</v>
      </c>
      <c r="GR33" s="183" t="n">
        <v>1</v>
      </c>
      <c r="GS33" s="181" t="inlineStr">
        <is>
          <t>POST_FINI</t>
        </is>
      </c>
      <c r="GT33" s="181" t="inlineStr">
        <is>
          <t>POST_2025_REFORM</t>
        </is>
      </c>
    </row>
    <row r="34" ht="68" customFormat="1" customHeight="1" s="11">
      <c r="A34" s="43" t="n">
        <v>105</v>
      </c>
      <c r="B34" s="47" t="inlineStr">
        <is>
          <t>2546.HK</t>
        </is>
      </c>
      <c r="C34" s="44" t="inlineStr">
        <is>
          <t>Xizang Zhihui Mining Co., Ltd. - H shares</t>
        </is>
      </c>
      <c r="D34" s="130" t="n">
        <v>46002</v>
      </c>
      <c r="E34" s="48" t="n">
        <v>46010</v>
      </c>
      <c r="F34" s="43" t="inlineStr">
        <is>
          <t>Sinolink Securities (Hong Kong) Company Limited / Maxa Capital Limited</t>
        </is>
      </c>
      <c r="G34" s="43" t="inlineStr">
        <is>
          <t>Deloitte Touche Tohmatsu</t>
        </is>
      </c>
      <c r="H34" s="43" t="n"/>
      <c r="I34" s="131" t="n">
        <v>55003960</v>
      </c>
      <c r="J34" s="148" t="n">
        <v>494999560</v>
      </c>
      <c r="K34" s="133" t="n">
        <v>4.51</v>
      </c>
      <c r="L34" t="n">
        <v>487805659</v>
      </c>
      <c r="M34" s="67" t="n">
        <v>121952000</v>
      </c>
      <c r="N34" t="n">
        <v>365853659</v>
      </c>
      <c r="O34" t="n">
        <v>365853659</v>
      </c>
      <c r="P34" t="n">
        <v>0</v>
      </c>
      <c r="Q34" t="n">
        <v>121952000</v>
      </c>
      <c r="R34" s="67" t="n">
        <v>109756000</v>
      </c>
      <c r="S34" s="67" t="n">
        <v>12196000</v>
      </c>
      <c r="T34" s="147" t="n">
        <v>4.51</v>
      </c>
      <c r="U34" s="147" t="n">
        <v>4.1</v>
      </c>
      <c r="V34" s="169" t="n">
        <v>0.047619</v>
      </c>
      <c r="W34" s="169" t="n">
        <v>0.095238</v>
      </c>
      <c r="X34" s="170" t="inlineStr">
        <is>
          <t>At high</t>
        </is>
      </c>
      <c r="Y34" s="26" t="inlineStr">
        <is>
          <t>RMB</t>
        </is>
      </c>
      <c r="Z34" s="137" t="n">
        <v>1292966000</v>
      </c>
      <c r="AA34" s="137" t="n">
        <v>1454895000</v>
      </c>
      <c r="AB34" s="137" t="n">
        <v>1508505000</v>
      </c>
      <c r="AC34" s="137" t="n">
        <v>957672000</v>
      </c>
      <c r="AD34" s="137" t="n">
        <v>1034101000</v>
      </c>
      <c r="AE34" s="137" t="n">
        <v>1085838000</v>
      </c>
      <c r="AF34" s="137" t="n">
        <v>335294000</v>
      </c>
      <c r="AG34" s="137" t="n">
        <v>420794000</v>
      </c>
      <c r="AH34" s="137" t="n">
        <v>422667000</v>
      </c>
      <c r="AI34" s="137" t="n">
        <v>546128000</v>
      </c>
      <c r="AJ34" s="137" t="n">
        <v>301434000</v>
      </c>
      <c r="AK34" s="137" t="n">
        <v>439932000</v>
      </c>
      <c r="AL34" s="137" t="n">
        <v>173793000</v>
      </c>
      <c r="AM34" s="137" t="n">
        <v>62860000</v>
      </c>
      <c r="AN34" s="137" t="n">
        <v>98227000</v>
      </c>
      <c r="AO34" s="137" t="n">
        <v>154725000</v>
      </c>
      <c r="AP34" s="137" t="n">
        <v>55854000</v>
      </c>
      <c r="AQ34" s="137" t="n">
        <v>88692000</v>
      </c>
      <c r="AR34" s="142" t="n">
        <v>0.03</v>
      </c>
      <c r="AS34" s="142" t="n">
        <v>0.03</v>
      </c>
      <c r="AT34" s="84" t="inlineStr">
        <is>
          <t>NaN</t>
        </is>
      </c>
      <c r="AU34" s="51" t="inlineStr">
        <is>
          <t>Mining - exploration, mining, production and sales of zinc, lead and copper concentrates</t>
        </is>
      </c>
      <c r="AV34" s="51" t="inlineStr">
        <is>
          <t>Main Board of the Stock Exchange</t>
        </is>
      </c>
      <c r="AW34" s="136" t="n">
        <v>45869</v>
      </c>
      <c r="AX34" s="137" t="n">
        <v>25257000</v>
      </c>
      <c r="AY34" s="117" t="n">
        <v>153432000</v>
      </c>
      <c r="AZ34" s="117" t="inlineStr">
        <is>
          <t>NaN</t>
        </is>
      </c>
      <c r="BA34" s="117" t="inlineStr">
        <is>
          <t>NaN</t>
        </is>
      </c>
      <c r="BB34" s="138" t="n">
        <v>0.8169999999999999</v>
      </c>
      <c r="BC34" s="139" t="n">
        <v>0.583333</v>
      </c>
      <c r="BD34" s="80" t="inlineStr">
        <is>
          <t>NaN</t>
        </is>
      </c>
      <c r="BE34" s="161" t="inlineStr">
        <is>
          <t>NaN</t>
        </is>
      </c>
      <c r="BF34" s="161" t="inlineStr">
        <is>
          <t>NaN</t>
        </is>
      </c>
      <c r="BG34" s="161" t="inlineStr">
        <is>
          <t>NaN</t>
        </is>
      </c>
      <c r="BH34" s="161" t="n">
        <v>1</v>
      </c>
      <c r="BI34" s="161" t="inlineStr">
        <is>
          <t>NaN</t>
        </is>
      </c>
      <c r="BJ34" s="162" t="inlineStr">
        <is>
          <t>Xizang Shengyuan Mineral Group Co., Ltd.</t>
        </is>
      </c>
      <c r="BK34" s="163" t="n">
        <v>0.4428</v>
      </c>
      <c r="BL34" s="161" t="n">
        <v>1</v>
      </c>
      <c r="BM34" s="164" t="inlineStr">
        <is>
          <t>Capital increase in 2020 by Xizang Shengyuan</t>
        </is>
      </c>
      <c r="BN34" s="165" t="n">
        <v>5.41</v>
      </c>
      <c r="BO34" s="51" t="inlineStr">
        <is>
          <t>Natural persons acting in concert (Ms. Fan, Ms. He and Mr. Lv)</t>
        </is>
      </c>
      <c r="BP34" s="135" t="n">
        <v>0.4179</v>
      </c>
      <c r="BQ34" s="135" t="n">
        <v>0.4179</v>
      </c>
      <c r="BR34" s="137" t="n">
        <v>94610000</v>
      </c>
      <c r="BS34" s="51" t="inlineStr">
        <is>
          <t>Commercial operation</t>
        </is>
      </c>
      <c r="BT34" s="142" t="n">
        <v>0.07000000000000001</v>
      </c>
      <c r="BU34" s="60" t="inlineStr">
        <is>
          <t>Main Board</t>
        </is>
      </c>
      <c r="BV34" s="89" t="inlineStr">
        <is>
          <t>H Shares</t>
        </is>
      </c>
      <c r="BW34" s="61" t="n">
        <v>0</v>
      </c>
      <c r="BX34" s="77" t="n">
        <v>0</v>
      </c>
      <c r="BY34" s="77" t="n">
        <v>0</v>
      </c>
      <c r="BZ34" s="78" t="n">
        <v>0</v>
      </c>
      <c r="CA34" s="60" t="inlineStr">
        <is>
          <t>052040</t>
        </is>
      </c>
      <c r="CB34" s="76" t="inlineStr">
        <is>
          <t>HSICS (Hang Seng Industry Classification System) 2026</t>
        </is>
      </c>
      <c r="CC34" s="140" t="n">
        <v>41606</v>
      </c>
      <c r="CD34" s="171" t="n">
        <v>12.06</v>
      </c>
      <c r="CE34" s="76" t="inlineStr">
        <is>
          <t>PRC</t>
        </is>
      </c>
      <c r="CF34" s="89" t="inlineStr">
        <is>
          <t>Nagqu, Xizang, PRC</t>
        </is>
      </c>
      <c r="CG34" s="91" t="n"/>
      <c r="CH34" s="60" t="inlineStr">
        <is>
          <t>IFRS Accounting Standards</t>
        </is>
      </c>
      <c r="CI34" s="141" t="n">
        <v>44927</v>
      </c>
      <c r="CJ34" s="141" t="n">
        <v>45291</v>
      </c>
      <c r="CK34" s="141" t="n">
        <v>45292</v>
      </c>
      <c r="CL34" s="141" t="n">
        <v>45657</v>
      </c>
      <c r="CM34" s="141" t="n">
        <v>45658</v>
      </c>
      <c r="CN34" s="64" t="n">
        <v>256627000</v>
      </c>
      <c r="CO34" s="64" t="n">
        <v>57299083</v>
      </c>
      <c r="CP34" s="64" t="n">
        <v>51737000</v>
      </c>
      <c r="CQ34" s="141" t="n">
        <v>46002</v>
      </c>
      <c r="CR34" s="141" t="n">
        <v>46007</v>
      </c>
      <c r="CS34" s="63" t="n">
        <v>121952000</v>
      </c>
      <c r="CT34" s="64" t="n">
        <v>85738000</v>
      </c>
      <c r="CU34" s="64" t="n">
        <v>56900000</v>
      </c>
      <c r="CV34" s="59" t="inlineStr">
        <is>
          <t>Unqualified opinion</t>
        </is>
      </c>
      <c r="CW34" s="64" t="n">
        <v>53800000</v>
      </c>
      <c r="CX34" s="51" t="inlineStr">
        <is>
          <t>Sparky International Company Limited; GIGA Industries Limited; Poly Platinum Enterprises Limited</t>
        </is>
      </c>
      <c r="CY34" s="142" t="n">
        <v>0.4078</v>
      </c>
      <c r="CZ34" s="136" t="n">
        <v>46192</v>
      </c>
      <c r="DA34" s="143" t="n">
        <v>5248.15</v>
      </c>
      <c r="DB34" s="63" t="n">
        <v>177542</v>
      </c>
      <c r="DC34" s="63" t="n">
        <v>64006413000</v>
      </c>
      <c r="DD34" s="59" t="inlineStr">
        <is>
          <t>Subscription level 5,248.15 times</t>
        </is>
      </c>
      <c r="DE34" s="141" t="n">
        <v>46008</v>
      </c>
      <c r="DF34" s="141" t="n">
        <v>46009</v>
      </c>
      <c r="DG34" s="63" t="n">
        <v>121952000</v>
      </c>
      <c r="DH34" s="63" t="n">
        <v>12196000</v>
      </c>
      <c r="DI34" s="63" t="n">
        <v>109756000</v>
      </c>
      <c r="DJ34" s="63" t="n">
        <v>0</v>
      </c>
      <c r="DK34" s="169" t="n">
        <v>0</v>
      </c>
      <c r="DL34" s="59" t="inlineStr">
        <is>
          <t>Claw-back triggered: Nil</t>
        </is>
      </c>
      <c r="DM34" s="144" t="n">
        <v>495100000</v>
      </c>
      <c r="DN34" s="142" t="n">
        <v>0.25</v>
      </c>
      <c r="DO34" s="51" t="n">
        <v>487805659</v>
      </c>
      <c r="DP34" s="142" t="n">
        <v>0.1481</v>
      </c>
      <c r="DQ34" s="59" t="inlineStr">
        <is>
          <t>total issued share capital of the Company upon completion of the Global Offering</t>
        </is>
      </c>
      <c r="DR34" s="63" t="n">
        <v>487805659</v>
      </c>
      <c r="DS34" s="142" t="n">
        <v>-0.05133031</v>
      </c>
      <c r="DT34" s="80" t="n">
        <v>37</v>
      </c>
      <c r="DU34" s="142" t="n">
        <v>0.0311435</v>
      </c>
      <c r="DV34" s="144" t="n">
        <v>53903000000</v>
      </c>
      <c r="DW34" s="145" t="n">
        <v>8.6</v>
      </c>
      <c r="DX34" s="169" t="n">
        <v>0.906874</v>
      </c>
      <c r="DY34" s="172" t="n">
        <v>498783680</v>
      </c>
      <c r="DZ34" s="146" t="n">
        <v>10.8</v>
      </c>
      <c r="EA34" s="146" t="n">
        <v>10.92</v>
      </c>
      <c r="EB34" s="146" t="n">
        <v>8</v>
      </c>
      <c r="EC34" s="63" t="n">
        <v>30390200</v>
      </c>
      <c r="ED34" s="169" t="n">
        <v>0.249198</v>
      </c>
      <c r="EE34" s="64" t="n"/>
      <c r="EF34" s="60" t="inlineStr">
        <is>
          <t>Mechanism B</t>
        </is>
      </c>
      <c r="EG34" s="59" t="inlineStr">
        <is>
          <t>FINI (from 22/11/2023); 2025-08-04 pricing reform (Mechanism A/B; six-month cornerstone lock-up retained); this IPO: Mechanism B</t>
        </is>
      </c>
      <c r="EH34" t="inlineStr">
        <is>
          <t>西藏智汇矿业股份有限公司</t>
        </is>
      </c>
      <c r="EI34" s="174" t="inlineStr">
        <is>
          <t>Active</t>
        </is>
      </c>
      <c r="EJ34" s="175" t="n">
        <v>9.773</v>
      </c>
      <c r="EK34" s="176" t="n">
        <v>0.152069</v>
      </c>
      <c r="EL34" s="176" t="n">
        <v>1.19685</v>
      </c>
      <c r="EM34" s="176" t="n">
        <v>0.031022</v>
      </c>
      <c r="EN34" s="176" t="n">
        <v>0.037306</v>
      </c>
      <c r="EO34" s="179" t="n">
        <v>1.1174</v>
      </c>
      <c r="EP34" s="179" t="n">
        <v>1.1106</v>
      </c>
      <c r="EQ34" s="178" t="n">
        <v>24810294</v>
      </c>
      <c r="ER34" s="175" t="n">
        <v>14.46</v>
      </c>
      <c r="ES34" s="176" t="n">
        <v>0.704586</v>
      </c>
      <c r="ET34" s="176" t="n">
        <v>2.250429</v>
      </c>
      <c r="EU34" s="176" t="n">
        <v>-0.07481400000000001</v>
      </c>
      <c r="EV34" s="176" t="n">
        <v>-0.16967</v>
      </c>
      <c r="EW34" s="179" t="n">
        <v>1.8424</v>
      </c>
      <c r="EX34" s="179" t="n">
        <v>2.0529</v>
      </c>
      <c r="EY34" s="178" t="n">
        <v>7592798</v>
      </c>
      <c r="EZ34" s="176" t="n">
        <v>0.025691</v>
      </c>
      <c r="FA34" s="176" t="n"/>
      <c r="FB34" s="179" t="n"/>
      <c r="FC34" s="176" t="n"/>
      <c r="FD34" s="179" t="n"/>
      <c r="FE34" s="174" t="inlineStr">
        <is>
          <t>Standard</t>
        </is>
      </c>
      <c r="FF34" s="181" t="n"/>
      <c r="FG34" s="185" t="n"/>
      <c r="FH34" s="183" t="n"/>
      <c r="FI34" s="178" t="n"/>
      <c r="FJ34" s="176" t="n"/>
      <c r="FK34" s="185" t="n"/>
      <c r="FL34" s="178" t="n"/>
      <c r="FM34" s="176" t="n"/>
      <c r="FN34" s="176" t="n"/>
      <c r="FO34" s="176" t="n"/>
      <c r="FP34" s="176" t="n"/>
      <c r="FQ34" s="176" t="n">
        <v>0.109631</v>
      </c>
      <c r="FR34" s="179" t="n">
        <v>1.112</v>
      </c>
      <c r="FS34" s="176" t="n">
        <v>0.152069</v>
      </c>
      <c r="FT34" s="179" t="n">
        <v>1.1174</v>
      </c>
      <c r="FU34" s="176" t="n">
        <v>0.789815</v>
      </c>
      <c r="FV34" s="179" t="n">
        <v>1.8031</v>
      </c>
      <c r="FW34" s="179" t="n">
        <v>1.9628</v>
      </c>
      <c r="FX34" s="178" t="n">
        <v>15901355.25</v>
      </c>
      <c r="FY34" s="186" t="n">
        <v>0.004747016666666667</v>
      </c>
      <c r="FZ34" s="183" t="n">
        <v>0</v>
      </c>
      <c r="GA34" s="176" t="n">
        <v>0.09538034227786703</v>
      </c>
      <c r="GB34" s="176" t="n">
        <v>0.389699</v>
      </c>
      <c r="GC34" s="185" t="n"/>
      <c r="GD34" s="185" t="n"/>
      <c r="GE34" s="176" t="n"/>
      <c r="GF34" s="176" t="n"/>
      <c r="GG34" s="179" t="n"/>
      <c r="GH34" s="181" t="inlineStr">
        <is>
          <t>Sinolink Securities (Hong Kong) Company Limited</t>
        </is>
      </c>
      <c r="GI34" s="183" t="n">
        <v>2</v>
      </c>
      <c r="GJ34" s="183" t="n">
        <v>0</v>
      </c>
      <c r="GK34" s="176" t="n">
        <v>0.03</v>
      </c>
      <c r="GL34" s="176" t="n"/>
      <c r="GM34" s="176" t="n"/>
      <c r="GN34" s="183" t="n">
        <v>3</v>
      </c>
      <c r="GO34" s="183" t="n">
        <v>0</v>
      </c>
      <c r="GP34" s="183" t="n">
        <v>0</v>
      </c>
      <c r="GQ34" s="183" t="n">
        <v>2</v>
      </c>
      <c r="GR34" s="183" t="n">
        <v>1</v>
      </c>
      <c r="GS34" s="181" t="inlineStr">
        <is>
          <t>POST_FINI</t>
        </is>
      </c>
      <c r="GT34" s="181" t="inlineStr">
        <is>
          <t>POST_2025_REFORM</t>
        </is>
      </c>
    </row>
    <row r="35" ht="34" customFormat="1" customHeight="1" s="11">
      <c r="A35" s="43" t="n">
        <v>104</v>
      </c>
      <c r="B35" s="47" t="inlineStr">
        <is>
          <t>3881.HK</t>
        </is>
      </c>
      <c r="C35" s="44" t="inlineStr">
        <is>
          <t>CiDi Inc. - H shares</t>
        </is>
      </c>
      <c r="D35" s="130" t="n">
        <v>46002</v>
      </c>
      <c r="E35" s="48" t="n">
        <v>46010</v>
      </c>
      <c r="F35" s="43" t="inlineStr">
        <is>
          <t>China International Capital Corporation 
Hong Kong Securities Limited/
China Securities (International) 
Corporate Finance Company Limited/
Ping An of China Capital 
(Hong Kong) Company Limited</t>
        </is>
      </c>
      <c r="G35" s="43" t="inlineStr">
        <is>
          <t>BDO Limited</t>
        </is>
      </c>
      <c r="H35" s="43" t="inlineStr">
        <is>
          <t>AVISTA Valuation Advisory Limited</t>
        </is>
      </c>
      <c r="I35" s="131" t="n">
        <v>142230400</v>
      </c>
      <c r="J35" s="148" t="n">
        <v>1280068340</v>
      </c>
      <c r="K35" s="133" t="n">
        <v>263</v>
      </c>
      <c r="L35" t="n">
        <v>43789310</v>
      </c>
      <c r="M35" s="67" t="n">
        <v>5407980</v>
      </c>
      <c r="N35" t="n">
        <v>38381330</v>
      </c>
      <c r="O35" t="n">
        <v>38381330</v>
      </c>
      <c r="P35" t="n">
        <v>0</v>
      </c>
      <c r="Q35" t="n">
        <v>5407980</v>
      </c>
      <c r="R35" s="67" t="n">
        <v>5137580</v>
      </c>
      <c r="S35" s="67" t="n">
        <v>270400</v>
      </c>
      <c r="T35" s="147" t="n">
        <v>263</v>
      </c>
      <c r="U35" s="147" t="n">
        <v>263</v>
      </c>
      <c r="V35" s="169" t="n">
        <v>0</v>
      </c>
      <c r="W35" s="169" t="n">
        <v>0</v>
      </c>
      <c r="X35" s="170" t="inlineStr">
        <is>
          <t>Fixed price</t>
        </is>
      </c>
      <c r="Y35" s="26" t="inlineStr">
        <is>
          <t>RMB</t>
        </is>
      </c>
      <c r="Z35" s="137" t="n">
        <v>1308181000</v>
      </c>
      <c r="AA35" s="137" t="n">
        <v>1243232000</v>
      </c>
      <c r="AB35" s="137" t="n">
        <v>1604456000</v>
      </c>
      <c r="AC35" s="137" t="n">
        <v>-856996000</v>
      </c>
      <c r="AD35" s="137" t="n">
        <v>-1117875000</v>
      </c>
      <c r="AE35" s="137" t="n">
        <v>-1306207000</v>
      </c>
      <c r="AF35" s="137" t="n">
        <v>2165177000</v>
      </c>
      <c r="AG35" s="137" t="n">
        <v>2361107000</v>
      </c>
      <c r="AH35" s="137" t="n">
        <v>2910663000</v>
      </c>
      <c r="AI35" s="137" t="n">
        <v>132604000</v>
      </c>
      <c r="AJ35" s="137" t="n">
        <v>410035000</v>
      </c>
      <c r="AK35" s="137" t="n">
        <v>816072000</v>
      </c>
      <c r="AL35" s="137" t="n">
        <v>-290136000</v>
      </c>
      <c r="AM35" s="137" t="n">
        <v>-609156000</v>
      </c>
      <c r="AN35" s="137" t="n">
        <v>-959690000</v>
      </c>
      <c r="AO35" s="137" t="n">
        <v>-255079000</v>
      </c>
      <c r="AP35" s="137" t="n">
        <v>-580844000</v>
      </c>
      <c r="AQ35" s="137" t="n">
        <v>-910172000</v>
      </c>
      <c r="AR35" s="142" t="n">
        <v>0.03</v>
      </c>
      <c r="AS35" s="142" t="n">
        <v>0.03</v>
      </c>
      <c r="AT35" s="84" t="n">
        <v>0.15</v>
      </c>
      <c r="AU35" s="51" t="inlineStr">
        <is>
          <t>Intelligent driving products and solutions for commercial vehicles</t>
        </is>
      </c>
      <c r="AV35" s="51" t="inlineStr">
        <is>
          <t>Chapter 18C</t>
        </is>
      </c>
      <c r="AW35" s="136" t="n">
        <v>45838</v>
      </c>
      <c r="AX35" s="137" t="n">
        <v>-208210000</v>
      </c>
      <c r="AY35" s="117" t="n">
        <v>186225000</v>
      </c>
      <c r="AZ35" s="117" t="n">
        <v>151317000</v>
      </c>
      <c r="BA35" s="117" t="n">
        <v>0</v>
      </c>
      <c r="BB35" s="138" t="n">
        <v>0.9409999999999999</v>
      </c>
      <c r="BC35" s="139" t="n">
        <v>0.5</v>
      </c>
      <c r="BD35" s="80" t="n">
        <v>1</v>
      </c>
      <c r="BE35" s="161" t="n">
        <v>1</v>
      </c>
      <c r="BF35" s="161" t="n">
        <v>1</v>
      </c>
      <c r="BG35" s="161" t="n">
        <v>1</v>
      </c>
      <c r="BH35" s="161" t="n">
        <v>1</v>
      </c>
      <c r="BI35" s="161" t="n">
        <v>1</v>
      </c>
      <c r="BJ35" s="162" t="inlineStr">
        <is>
          <t>HongShan; Xinding Capital; Founder Hesheng Investment; Legend Holdings; Liangjiang Fund; Xiangjiang State Investment; Ruishi Capital; Baidu; Qinghao Capital; CEL; Guangkong Zhongying; Qingdao Zhenghan; Qiandao Capital; Sanze Capital; Lens Technology; Juncheng Hongxin; Chengdu Technology VC; Chuanghe Huimao; Xingxiang Fangzheng; Xinjun Electronics; Guotou Chuangying; Yunfa Ruichi; Ceyuan Guangyi Digital Fund; Xindiyuan Investors; Baodechang; Jingkai Qitao; Tianjin Shengde; Nanjing Bestway; Hunan Zhibo; Lakeside VC</t>
        </is>
      </c>
      <c r="BK35" s="163" t="n">
        <v>0.5636</v>
      </c>
      <c r="BL35" s="161" t="n">
        <v>1</v>
      </c>
      <c r="BM35" s="164" t="inlineStr">
        <is>
          <t>Series A</t>
        </is>
      </c>
      <c r="BN35" s="165" t="n">
        <v>7.73</v>
      </c>
      <c r="BO35" s="51" t="inlineStr">
        <is>
          <t>自然人</t>
        </is>
      </c>
      <c r="BP35" s="135" t="n">
        <v>0.3825</v>
      </c>
      <c r="BQ35" s="135" t="n">
        <v>0.3825</v>
      </c>
      <c r="BR35" s="137" t="n">
        <v>2344857000</v>
      </c>
      <c r="BS35" s="51" t="inlineStr">
        <is>
          <t>规模商业化</t>
        </is>
      </c>
      <c r="BT35" s="142" t="n">
        <v>0</v>
      </c>
      <c r="BU35" s="60" t="inlineStr">
        <is>
          <t>Main Board</t>
        </is>
      </c>
      <c r="BV35" s="89" t="inlineStr">
        <is>
          <t>H Shares</t>
        </is>
      </c>
      <c r="BW35" s="61" t="n">
        <v>0</v>
      </c>
      <c r="BX35" s="77" t="n">
        <v>0</v>
      </c>
      <c r="BY35" s="77" t="n">
        <v>0</v>
      </c>
      <c r="BZ35" s="78" t="n">
        <v>1</v>
      </c>
      <c r="CA35" s="60" t="inlineStr">
        <is>
          <t>101010</t>
        </is>
      </c>
      <c r="CB35" s="76" t="inlineStr">
        <is>
          <t>HSICS (Hang Seng Industry Classification System) 2026</t>
        </is>
      </c>
      <c r="CC35" s="140" t="n">
        <v>43024</v>
      </c>
      <c r="CD35" s="171" t="n">
        <v>8.18</v>
      </c>
      <c r="CE35" s="76" t="inlineStr">
        <is>
          <t>PRC</t>
        </is>
      </c>
      <c r="CF35" s="89" t="inlineStr">
        <is>
          <t>Changsha, PRC</t>
        </is>
      </c>
      <c r="CG35" s="91" t="n"/>
      <c r="CH35" s="60" t="inlineStr">
        <is>
          <t>IFRS Accounting Standards</t>
        </is>
      </c>
      <c r="CI35" s="141" t="n">
        <v>44927</v>
      </c>
      <c r="CJ35" s="141" t="n">
        <v>45291</v>
      </c>
      <c r="CK35" s="141" t="n">
        <v>45292</v>
      </c>
      <c r="CL35" s="141" t="n">
        <v>45657</v>
      </c>
      <c r="CM35" s="141" t="n">
        <v>45658</v>
      </c>
      <c r="CN35" s="64" t="n">
        <v>408036000</v>
      </c>
      <c r="CO35" s="64" t="n">
        <v>-479845000</v>
      </c>
      <c r="CP35" s="64" t="n">
        <v>-455086000</v>
      </c>
      <c r="CQ35" s="141" t="n">
        <v>46002</v>
      </c>
      <c r="CR35" s="141" t="n">
        <v>46007</v>
      </c>
      <c r="CS35" s="63" t="n">
        <v>42443892</v>
      </c>
      <c r="CT35" s="64" t="n">
        <v>69708000</v>
      </c>
      <c r="CU35" s="64" t="n">
        <v>1770000</v>
      </c>
      <c r="CV35" s="59" t="inlineStr">
        <is>
          <t>Unqualified opinion</t>
        </is>
      </c>
      <c r="CW35" s="64" t="n">
        <v>113300000</v>
      </c>
      <c r="CX35" s="51" t="inlineStr">
        <is>
          <t>Hunan Xiangjiang Zhicheng Industrial Investment Fund Partnership (Limited Partnership); Nanning Zhijia No. 1 Ruiyue Equity Investment Partnership (Limited Partnership); ICBC UBS Asset Management Company Limited; ICBC UBS Asset Management (International) Company Limited; Qianhai Kaiyuan Qunwei QDII Single Asset Management Plan</t>
        </is>
      </c>
      <c r="CY35" s="142" t="n">
        <v>0.3839</v>
      </c>
      <c r="CZ35" s="136" t="n">
        <v>46192</v>
      </c>
      <c r="DA35" s="143" t="n">
        <v>22.55</v>
      </c>
      <c r="DB35" s="63" t="n">
        <v>17353</v>
      </c>
      <c r="DC35" s="63" t="n">
        <v>6096750</v>
      </c>
      <c r="DD35" s="59" t="inlineStr">
        <is>
          <t>Subscription level 22.55 times</t>
        </is>
      </c>
      <c r="DE35" s="141" t="inlineStr">
        <is>
          <t>NA</t>
        </is>
      </c>
      <c r="DF35" s="141" t="n">
        <v>46009</v>
      </c>
      <c r="DG35" s="63" t="n">
        <v>5407980</v>
      </c>
      <c r="DH35" s="63" t="n">
        <v>540800</v>
      </c>
      <c r="DI35" s="63" t="n">
        <v>4867180</v>
      </c>
      <c r="DJ35" s="63" t="n">
        <v>0</v>
      </c>
      <c r="DK35" s="169" t="n">
        <v>0</v>
      </c>
      <c r="DL35" s="59" t="inlineStr">
        <is>
          <t>Clawback triggered: Yes; 270,400 Offer Shares reallocated from the International Offering to the Hong Kong Public Offering</t>
        </is>
      </c>
      <c r="DM35" s="144" t="n">
        <v>1309030000</v>
      </c>
      <c r="DN35" s="142" t="n">
        <v>0.5868</v>
      </c>
      <c r="DO35" s="51" t="n">
        <v>43789310</v>
      </c>
      <c r="DP35" s="142" t="n">
        <v>0.0761</v>
      </c>
      <c r="DQ35" s="59" t="inlineStr">
        <is>
          <t>Free float denominator = total issued shares upon listing (col_CZ); numerator = offer shares minus cornerstone allocation</t>
        </is>
      </c>
      <c r="DR35" s="63" t="n">
        <v>43789310</v>
      </c>
      <c r="DS35" s="142" t="n">
        <v>-0.05133031</v>
      </c>
      <c r="DT35" s="80" t="n">
        <v>37</v>
      </c>
      <c r="DU35" s="142" t="n">
        <v>0.0311435</v>
      </c>
      <c r="DV35" s="144" t="n">
        <v>53903000000</v>
      </c>
      <c r="DW35" s="145" t="n">
        <v>227</v>
      </c>
      <c r="DX35" s="169" t="n">
        <v>-0.136882</v>
      </c>
      <c r="DY35" s="172" t="n">
        <v>-194687280</v>
      </c>
      <c r="DZ35" s="146" t="n">
        <v>263</v>
      </c>
      <c r="EA35" s="146" t="n">
        <v>263</v>
      </c>
      <c r="EB35" s="146" t="n">
        <v>218</v>
      </c>
      <c r="EC35" s="63" t="n">
        <v>811640</v>
      </c>
      <c r="ED35" s="169" t="n">
        <v>0.150082</v>
      </c>
      <c r="EE35" s="64" t="n"/>
      <c r="EF35" s="60" t="inlineStr">
        <is>
          <t>NA</t>
        </is>
      </c>
      <c r="EG35" s="59" t="inlineStr">
        <is>
          <t>FINI (from 22/11/2023); 2025-08-04 pricing reform (Mechanism A/B; six-month cornerstone lock-up retained)</t>
        </is>
      </c>
      <c r="EH35" t="inlineStr">
        <is>
          <t>希迪智驾科技股份有限公司</t>
        </is>
      </c>
      <c r="EI35" s="174" t="inlineStr">
        <is>
          <t>Active</t>
        </is>
      </c>
      <c r="EJ35" s="175" t="n">
        <v>25.52</v>
      </c>
      <c r="EK35" s="176" t="n">
        <v>0.124229</v>
      </c>
      <c r="EL35" s="176" t="n">
        <v>-0.029658</v>
      </c>
      <c r="EM35" s="176" t="n">
        <v>0.031022</v>
      </c>
      <c r="EN35" s="176" t="n">
        <v>0.037306</v>
      </c>
      <c r="EO35" s="179" t="n">
        <v>1.0904</v>
      </c>
      <c r="EP35" s="179" t="n">
        <v>1.0838</v>
      </c>
      <c r="EQ35" s="178" t="n">
        <v>21811471</v>
      </c>
      <c r="ER35" s="175" t="n">
        <v>22.22</v>
      </c>
      <c r="ES35" s="176" t="n">
        <v>-0.021145</v>
      </c>
      <c r="ET35" s="176" t="n">
        <v>-0.155133</v>
      </c>
      <c r="EU35" s="176" t="n">
        <v>-0.07481400000000001</v>
      </c>
      <c r="EV35" s="176" t="n">
        <v>-0.16967</v>
      </c>
      <c r="EW35" s="179" t="n">
        <v>1.058</v>
      </c>
      <c r="EX35" s="179" t="n">
        <v>1.1789</v>
      </c>
      <c r="EY35" s="178" t="n">
        <v>84679577</v>
      </c>
      <c r="EZ35" s="176" t="n">
        <v>0.421667</v>
      </c>
      <c r="FA35" s="176" t="n"/>
      <c r="FB35" s="179" t="n"/>
      <c r="FC35" s="176" t="n"/>
      <c r="FD35" s="179" t="n"/>
      <c r="FE35" s="174" t="inlineStr">
        <is>
          <t>18C (Specialist Tech)</t>
        </is>
      </c>
      <c r="FF35" s="181" t="n"/>
      <c r="FG35" s="185" t="n"/>
      <c r="FH35" s="183" t="n"/>
      <c r="FI35" s="178" t="n"/>
      <c r="FJ35" s="176" t="n"/>
      <c r="FK35" s="185" t="n"/>
      <c r="FL35" s="178" t="n"/>
      <c r="FM35" s="176" t="n"/>
      <c r="FN35" s="176" t="n"/>
      <c r="FO35" s="176" t="n"/>
      <c r="FP35" s="176" t="n"/>
      <c r="FQ35" s="176" t="n">
        <v>0.030837</v>
      </c>
      <c r="FR35" s="179" t="n">
        <v>1.0331</v>
      </c>
      <c r="FS35" s="176" t="n">
        <v>0.124229</v>
      </c>
      <c r="FT35" s="179" t="n">
        <v>1.0904</v>
      </c>
      <c r="FU35" s="176" t="n">
        <v>-0.07489</v>
      </c>
      <c r="FV35" s="179" t="n">
        <v>0.9320000000000001</v>
      </c>
      <c r="FW35" s="179" t="n">
        <v>1.0145</v>
      </c>
      <c r="FX35" s="178" t="n">
        <v>11091043.9</v>
      </c>
      <c r="FY35" s="186" t="n">
        <v>0.004719291666666667</v>
      </c>
      <c r="FZ35" s="183" t="n">
        <v>0</v>
      </c>
      <c r="GA35" s="176" t="n">
        <v>0.1037499802808928</v>
      </c>
      <c r="GB35" s="176" t="n">
        <v>0.579501</v>
      </c>
      <c r="GC35" s="185" t="n"/>
      <c r="GD35" s="185" t="n"/>
      <c r="GE35" s="176" t="n"/>
      <c r="GF35" s="176" t="n"/>
      <c r="GG35" s="179" t="n"/>
      <c r="GH35" s="181" t="inlineStr">
        <is>
          <t>China International Capital Corporation Hong Kong Securities Limited</t>
        </is>
      </c>
      <c r="GI35" s="183" t="n">
        <v>3</v>
      </c>
      <c r="GJ35" s="183" t="n">
        <v>1</v>
      </c>
      <c r="GK35" s="176" t="n">
        <v>0.03</v>
      </c>
      <c r="GL35" s="176" t="n"/>
      <c r="GM35" s="176" t="n"/>
      <c r="GN35" s="183" t="n">
        <v>5</v>
      </c>
      <c r="GO35" s="183" t="n">
        <v>1</v>
      </c>
      <c r="GP35" s="183" t="n">
        <v>0</v>
      </c>
      <c r="GQ35" s="183" t="n">
        <v>30</v>
      </c>
      <c r="GR35" s="183" t="n">
        <v>1</v>
      </c>
      <c r="GS35" s="181" t="inlineStr">
        <is>
          <t>POST_FINI</t>
        </is>
      </c>
      <c r="GT35" s="181" t="inlineStr">
        <is>
          <t>POST_2025_REFORM</t>
        </is>
      </c>
    </row>
    <row r="36" ht="51" customFormat="1" customHeight="1" s="11">
      <c r="A36" s="43" t="n">
        <v>106</v>
      </c>
      <c r="B36" s="47" t="inlineStr">
        <is>
          <t>2396.HK</t>
        </is>
      </c>
      <c r="C36" s="44" t="inlineStr">
        <is>
          <t>B&amp;K CORPORATION LIMITED - B - H shares</t>
        </is>
      </c>
      <c r="D36" s="130" t="n">
        <v>46003</v>
      </c>
      <c r="E36" s="48" t="n">
        <v>46013</v>
      </c>
      <c r="F36" s="43" t="inlineStr">
        <is>
          <t>Huatai Financial Holdings (Hong Kong) Limited / 
CITIC Securities (Hong Kong) Limited</t>
        </is>
      </c>
      <c r="G36" s="43" t="inlineStr">
        <is>
          <t>Ernst &amp; Young</t>
        </is>
      </c>
      <c r="H36" s="43" t="n"/>
      <c r="I36" s="131" t="n">
        <v>67423000</v>
      </c>
      <c r="J36" s="148" t="n">
        <v>606761160</v>
      </c>
      <c r="K36" s="133" t="n">
        <v>38.2</v>
      </c>
      <c r="L36" t="n">
        <v>117657522</v>
      </c>
      <c r="M36" s="67" t="n">
        <v>17648800</v>
      </c>
      <c r="N36" t="n">
        <v>100008722</v>
      </c>
      <c r="O36" t="n">
        <v>100008722</v>
      </c>
      <c r="P36" t="n">
        <v>0</v>
      </c>
      <c r="Q36" t="n">
        <v>17648800</v>
      </c>
      <c r="R36" s="67" t="n">
        <v>15883800</v>
      </c>
      <c r="S36" s="67" t="n">
        <v>1765000</v>
      </c>
      <c r="T36" s="147" t="n">
        <v>51</v>
      </c>
      <c r="U36" s="147" t="n">
        <v>38.2</v>
      </c>
      <c r="V36" s="169" t="n">
        <v>-0.143498</v>
      </c>
      <c r="W36" s="169" t="n">
        <v>0.286996</v>
      </c>
      <c r="X36" s="170" t="inlineStr">
        <is>
          <t>At low</t>
        </is>
      </c>
      <c r="Y36" s="26" t="inlineStr">
        <is>
          <t>RMB</t>
        </is>
      </c>
      <c r="Z36" s="137" t="n">
        <v>263089000</v>
      </c>
      <c r="AA36" s="137" t="n">
        <v>190612000</v>
      </c>
      <c r="AB36" s="137" t="n">
        <v>127956000</v>
      </c>
      <c r="AC36" s="137" t="n">
        <v>-131874000</v>
      </c>
      <c r="AD36" s="137" t="n">
        <v>150535000</v>
      </c>
      <c r="AE36" s="137" t="n">
        <v>84536000</v>
      </c>
      <c r="AF36" s="137" t="n">
        <v>394963000</v>
      </c>
      <c r="AG36" s="137" t="n">
        <v>40077000</v>
      </c>
      <c r="AH36" s="137" t="n">
        <v>43420000</v>
      </c>
      <c r="AI36" s="137" t="n">
        <v>472000</v>
      </c>
      <c r="AJ36" s="137" t="n">
        <v>261000</v>
      </c>
      <c r="AK36" s="137" t="n">
        <v>0</v>
      </c>
      <c r="AL36" s="137" t="n">
        <v>-105188000</v>
      </c>
      <c r="AM36" s="137" t="n">
        <v>-212250000</v>
      </c>
      <c r="AN36" s="137" t="n">
        <v>-179290667</v>
      </c>
      <c r="AO36" s="137" t="n">
        <v>-105188000</v>
      </c>
      <c r="AP36" s="137" t="n">
        <v>-212250000</v>
      </c>
      <c r="AQ36" s="137" t="n">
        <v>-179290667</v>
      </c>
      <c r="AR36" s="142" t="n">
        <v>0.025</v>
      </c>
      <c r="AS36" s="142" t="n">
        <v>0.025</v>
      </c>
      <c r="AT36" s="84" t="n">
        <v>0.15</v>
      </c>
      <c r="AU36" s="51" t="inlineStr">
        <is>
          <t>China-based biopharmaceutical company focused on the discovery, development and commercialization of protein drugs (PDGF) for wound healing</t>
        </is>
      </c>
      <c r="AV36" s="51" t="inlineStr">
        <is>
          <t>Chapter 18A of the Listing Rules (Main Board)</t>
        </is>
      </c>
      <c r="AW36" s="136" t="n">
        <v>45930</v>
      </c>
      <c r="AX36" s="137" t="n">
        <v>-59428000</v>
      </c>
      <c r="AY36" s="117" t="n">
        <v>73794000</v>
      </c>
      <c r="AZ36" s="117" t="n">
        <v>61219000</v>
      </c>
      <c r="BA36" s="117" t="n">
        <v>0</v>
      </c>
      <c r="BB36" s="138" t="inlineStr">
        <is>
          <t>NaN</t>
        </is>
      </c>
      <c r="BC36" s="139" t="n">
        <v>0.75</v>
      </c>
      <c r="BD36" s="80" t="n">
        <v>1</v>
      </c>
      <c r="BE36" s="161" t="inlineStr">
        <is>
          <t>NaN</t>
        </is>
      </c>
      <c r="BF36" s="161" t="n">
        <v>1</v>
      </c>
      <c r="BG36" s="161" t="inlineStr">
        <is>
          <t>NaN</t>
        </is>
      </c>
      <c r="BH36" s="161" t="n">
        <v>1</v>
      </c>
      <c r="BI36" s="161" t="inlineStr">
        <is>
          <t>NaN</t>
        </is>
      </c>
      <c r="BJ36" s="162" t="inlineStr">
        <is>
          <t>Zhang Hong; Qingdao CDH; Jiaxing CDH; Qingdao Hitech</t>
        </is>
      </c>
      <c r="BK36" s="163" t="n">
        <v>0.1392</v>
      </c>
      <c r="BL36" s="161" t="n">
        <v>1</v>
      </c>
      <c r="BM36" s="164" t="inlineStr">
        <is>
          <t>Series Pre-A Financing</t>
        </is>
      </c>
      <c r="BN36" s="165" t="n">
        <v>4.55</v>
      </c>
      <c r="BO36" s="51" t="inlineStr">
        <is>
          <t>Natural persons (four individual Controlling Shareholders acting in concert)</t>
        </is>
      </c>
      <c r="BP36" s="135" t="n">
        <v>0.5694</v>
      </c>
      <c r="BQ36" s="135" t="n">
        <v>0.5694</v>
      </c>
      <c r="BR36" s="137" t="n">
        <v>3257000</v>
      </c>
      <c r="BS36" s="51" t="inlineStr">
        <is>
          <t>Clinical-stage biopharmaceutical company: no product has been commercialized; core products in Phase II/IIb clinical trials</t>
        </is>
      </c>
      <c r="BT36" s="142" t="n">
        <v>0</v>
      </c>
      <c r="BU36" s="60" t="inlineStr">
        <is>
          <t>Main Board</t>
        </is>
      </c>
      <c r="BV36" s="89" t="inlineStr">
        <is>
          <t>H Shares</t>
        </is>
      </c>
      <c r="BW36" s="61" t="n">
        <v>0</v>
      </c>
      <c r="BX36" s="77" t="n">
        <v>0</v>
      </c>
      <c r="BY36" s="77" t="n">
        <v>1</v>
      </c>
      <c r="BZ36" s="78" t="n">
        <v>0</v>
      </c>
      <c r="CA36" s="60" t="inlineStr">
        <is>
          <t>281020</t>
        </is>
      </c>
      <c r="CB36" s="76" t="inlineStr">
        <is>
          <t>HSICS (Hang Seng Industry Classification System) 2026</t>
        </is>
      </c>
      <c r="CC36" s="140" t="n">
        <v>41023</v>
      </c>
      <c r="CD36" s="171" t="n">
        <v>13.66</v>
      </c>
      <c r="CE36" s="76" t="inlineStr">
        <is>
          <t>PRC</t>
        </is>
      </c>
      <c r="CF36" s="89" t="inlineStr">
        <is>
          <t>Qingdao, Shandong Province, PRC</t>
        </is>
      </c>
      <c r="CG36" s="91" t="n"/>
      <c r="CH36" s="60" t="inlineStr">
        <is>
          <t>IFRS Accounting Standards</t>
        </is>
      </c>
      <c r="CI36" s="141" t="n">
        <v>44927</v>
      </c>
      <c r="CJ36" s="141" t="n">
        <v>45291</v>
      </c>
      <c r="CK36" s="141" t="n">
        <v>45292</v>
      </c>
      <c r="CL36" s="141" t="n">
        <v>45657</v>
      </c>
      <c r="CM36" s="141" t="n">
        <v>45658</v>
      </c>
      <c r="CN36" s="64" t="n">
        <v>0</v>
      </c>
      <c r="CO36" s="64" t="n">
        <v>-134468000</v>
      </c>
      <c r="CP36" s="64" t="n">
        <v>-134468000</v>
      </c>
      <c r="CQ36" s="141" t="n">
        <v>46003</v>
      </c>
      <c r="CR36" s="141" t="n">
        <v>46008</v>
      </c>
      <c r="CS36" s="63" t="n">
        <v>83022145</v>
      </c>
      <c r="CT36" s="64" t="n">
        <v>0</v>
      </c>
      <c r="CU36" s="64" t="n">
        <v>2893000</v>
      </c>
      <c r="CV36" s="59" t="inlineStr">
        <is>
          <t>Unqualified opinion</t>
        </is>
      </c>
      <c r="CW36" s="64" t="n">
        <v>78300000</v>
      </c>
      <c r="CX36" s="51" t="inlineStr">
        <is>
          <t>NA</t>
        </is>
      </c>
      <c r="CY36" s="142" t="n">
        <v>0</v>
      </c>
      <c r="CZ36" s="136" t="inlineStr">
        <is>
          <t>NA</t>
        </is>
      </c>
      <c r="DA36" s="143" t="n">
        <v>791.95</v>
      </c>
      <c r="DB36" s="63" t="n">
        <v>146647</v>
      </c>
      <c r="DC36" s="63" t="n">
        <v>1397787200</v>
      </c>
      <c r="DD36" s="59" t="inlineStr">
        <is>
          <t>Subscription level 791.95 times</t>
        </is>
      </c>
      <c r="DE36" s="141" t="n">
        <v>46009</v>
      </c>
      <c r="DF36" s="141" t="n">
        <v>46010</v>
      </c>
      <c r="DG36" s="63" t="n">
        <v>17648800</v>
      </c>
      <c r="DH36" s="63" t="n">
        <v>1765000</v>
      </c>
      <c r="DI36" s="63" t="n">
        <v>15883800</v>
      </c>
      <c r="DJ36" s="63" t="n">
        <v>0</v>
      </c>
      <c r="DK36" s="169" t="n">
        <v>0</v>
      </c>
      <c r="DL36" s="59" t="inlineStr">
        <is>
          <t>Claw-back triggered: N/A; the final Hong Kong Public Offering shares equal the 1,765,000 initially available, i.e. no clawback/reallocation was made</t>
        </is>
      </c>
      <c r="DM36" s="144" t="n">
        <v>599820000</v>
      </c>
      <c r="DN36" s="142" t="n">
        <v>0.256</v>
      </c>
      <c r="DO36" s="51" t="n">
        <v>117657522</v>
      </c>
      <c r="DP36" s="142" t="n">
        <v>0.15</v>
      </c>
      <c r="DQ36" s="59" t="inlineStr">
        <is>
          <t>Free float numerator = the 17,648,800 Offer Shares under the Global Offering; denominator = the 117,657,522 issued Shares upon Listing</t>
        </is>
      </c>
      <c r="DR36" s="63" t="n">
        <v>117657522</v>
      </c>
      <c r="DS36" s="142" t="n">
        <v>-0.05697623</v>
      </c>
      <c r="DT36" s="80" t="n">
        <v>38</v>
      </c>
      <c r="DU36" s="142" t="n">
        <v>0.0313387</v>
      </c>
      <c r="DV36" s="144" t="n">
        <v>53903000000</v>
      </c>
      <c r="DW36" s="145" t="n">
        <v>27</v>
      </c>
      <c r="DX36" s="169" t="n">
        <v>-0.293194</v>
      </c>
      <c r="DY36" s="172" t="n">
        <v>-197666560</v>
      </c>
      <c r="DZ36" s="146" t="n">
        <v>33.8</v>
      </c>
      <c r="EA36" s="146" t="n">
        <v>37.2</v>
      </c>
      <c r="EB36" s="146" t="n">
        <v>27</v>
      </c>
      <c r="EC36" s="63" t="n">
        <v>4989600</v>
      </c>
      <c r="ED36" s="169" t="n">
        <v>0.282716</v>
      </c>
      <c r="EE36" s="64" t="n"/>
      <c r="EF36" s="60" t="inlineStr">
        <is>
          <t>Mechanism B</t>
        </is>
      </c>
      <c r="EG36" s="59" t="inlineStr">
        <is>
          <t>FINI (from 22/11/2023); 2025-08-04 pricing reform (Mechanism A/B; six-month cornerstone lock-up retained); this IPO: Mechanism B</t>
        </is>
      </c>
      <c r="EH36" t="inlineStr">
        <is>
          <t>华芢生物科技（青岛）股份有限公司</t>
        </is>
      </c>
      <c r="EI36" s="174" t="inlineStr">
        <is>
          <t>Active</t>
        </is>
      </c>
      <c r="EJ36" s="175" t="n">
        <v>10.97</v>
      </c>
      <c r="EK36" s="176" t="n">
        <v>-0.593704</v>
      </c>
      <c r="EL36" s="176" t="n">
        <v>-0.712827</v>
      </c>
      <c r="EM36" s="176" t="n">
        <v>0.030358</v>
      </c>
      <c r="EN36" s="176" t="n">
        <v>0.03971</v>
      </c>
      <c r="EO36" s="179" t="n">
        <v>0.3943</v>
      </c>
      <c r="EP36" s="179" t="n">
        <v>0.3908</v>
      </c>
      <c r="EQ36" s="178" t="n">
        <v>17048065</v>
      </c>
      <c r="ER36" s="175" t="n">
        <v>4.6</v>
      </c>
      <c r="ES36" s="176" t="n">
        <v>-0.82963</v>
      </c>
      <c r="ET36" s="176" t="n">
        <v>-0.8795809999999999</v>
      </c>
      <c r="EU36" s="176" t="n">
        <v>-0.078803</v>
      </c>
      <c r="EV36" s="176" t="n">
        <v>-0.17685</v>
      </c>
      <c r="EW36" s="179" t="n">
        <v>0.1849</v>
      </c>
      <c r="EX36" s="179" t="n">
        <v>0.207</v>
      </c>
      <c r="EY36" s="178" t="n">
        <v>155265</v>
      </c>
      <c r="EZ36" s="176" t="n">
        <v>0.000822</v>
      </c>
      <c r="FA36" s="176" t="n"/>
      <c r="FB36" s="179" t="n"/>
      <c r="FC36" s="176" t="n"/>
      <c r="FD36" s="179" t="n"/>
      <c r="FE36" s="174" t="inlineStr">
        <is>
          <t>18A (Biotech / B-tag)</t>
        </is>
      </c>
      <c r="FF36" s="181" t="n"/>
      <c r="FG36" s="185" t="n"/>
      <c r="FH36" s="183" t="n"/>
      <c r="FI36" s="178" t="n"/>
      <c r="FJ36" s="176" t="n"/>
      <c r="FK36" s="185" t="n"/>
      <c r="FL36" s="178" t="n"/>
      <c r="FM36" s="176" t="n"/>
      <c r="FN36" s="176" t="n"/>
      <c r="FO36" s="176" t="n"/>
      <c r="FP36" s="176" t="n"/>
      <c r="FQ36" s="176" t="n">
        <v>-0.336667</v>
      </c>
      <c r="FR36" s="179" t="n">
        <v>0.662</v>
      </c>
      <c r="FS36" s="176" t="n">
        <v>-0.593704</v>
      </c>
      <c r="FT36" s="179" t="n">
        <v>0.3943</v>
      </c>
      <c r="FU36" s="176" t="n">
        <v>-0.734815</v>
      </c>
      <c r="FV36" s="179" t="n">
        <v>0.2806</v>
      </c>
      <c r="FW36" s="179" t="n">
        <v>0.311</v>
      </c>
      <c r="FX36" s="178" t="n">
        <v>6063698.33</v>
      </c>
      <c r="FY36" s="186" t="n">
        <v>0.1419773865546219</v>
      </c>
      <c r="FZ36" s="183" t="n">
        <v>0</v>
      </c>
      <c r="GA36" s="176" t="n">
        <v>0.04943151566222424</v>
      </c>
      <c r="GB36" s="176" t="n">
        <v>0.894086</v>
      </c>
      <c r="GC36" s="185" t="n"/>
      <c r="GD36" s="185" t="n"/>
      <c r="GE36" s="176" t="n"/>
      <c r="GF36" s="176" t="n"/>
      <c r="GG36" s="179" t="n"/>
      <c r="GH36" s="181" t="inlineStr">
        <is>
          <t>Huatai Financial Holdings (Hong Kong) Limited</t>
        </is>
      </c>
      <c r="GI36" s="183" t="n">
        <v>2</v>
      </c>
      <c r="GJ36" s="183" t="n">
        <v>0</v>
      </c>
      <c r="GK36" s="176" t="n">
        <v>0.025</v>
      </c>
      <c r="GL36" s="176" t="n"/>
      <c r="GM36" s="176" t="n"/>
      <c r="GN36" s="183" t="n">
        <v>0</v>
      </c>
      <c r="GO36" s="183" t="n">
        <v>0</v>
      </c>
      <c r="GP36" s="183" t="n">
        <v>0</v>
      </c>
      <c r="GQ36" s="183" t="n">
        <v>4</v>
      </c>
      <c r="GR36" s="183" t="n">
        <v>1</v>
      </c>
      <c r="GS36" s="181" t="inlineStr">
        <is>
          <t>POST_FINI</t>
        </is>
      </c>
      <c r="GT36" s="181" t="inlineStr">
        <is>
          <t>POST_2025_REFORM</t>
        </is>
      </c>
    </row>
    <row r="37" ht="34" customFormat="1" customHeight="1" s="12">
      <c r="A37" s="43" t="n">
        <v>107</v>
      </c>
      <c r="B37" s="47" t="inlineStr">
        <is>
          <t>2581.HK</t>
        </is>
      </c>
      <c r="C37" s="44" t="inlineStr">
        <is>
          <t>BenQ BM Holding Cayman Corp.</t>
        </is>
      </c>
      <c r="D37" s="130" t="n">
        <v>46003</v>
      </c>
      <c r="E37" s="48" t="n">
        <v>46013</v>
      </c>
      <c r="F37" s="43" t="inlineStr">
        <is>
          <t>China International Capital Corporation 
Hong Kong Securities Limited / 
Citigroup Global Markets Asia Limited</t>
        </is>
      </c>
      <c r="G37" s="43" t="inlineStr">
        <is>
          <t>KPMG</t>
        </is>
      </c>
      <c r="H37" s="43" t="inlineStr">
        <is>
          <t>Cushman &amp; Wakefield Limited</t>
        </is>
      </c>
      <c r="I37" s="131" t="n">
        <v>62578000</v>
      </c>
      <c r="J37" s="148" t="n">
        <v>563202000</v>
      </c>
      <c r="K37" s="133" t="n">
        <v>9.34</v>
      </c>
      <c r="L37" t="n">
        <v>311945001</v>
      </c>
      <c r="M37" s="67" t="n">
        <v>67000000</v>
      </c>
      <c r="N37" t="n">
        <v>244945001</v>
      </c>
      <c r="O37" t="n">
        <v>244945001</v>
      </c>
      <c r="P37" t="n">
        <v>0</v>
      </c>
      <c r="Q37" t="n">
        <v>67000000</v>
      </c>
      <c r="R37" s="67" t="n">
        <v>60300000</v>
      </c>
      <c r="S37" s="67" t="n">
        <v>6700000</v>
      </c>
      <c r="T37" s="147" t="n">
        <v>11.68</v>
      </c>
      <c r="U37" s="147" t="n">
        <v>9.34</v>
      </c>
      <c r="V37" s="169" t="n">
        <v>-0.111323</v>
      </c>
      <c r="W37" s="169" t="n">
        <v>0.222645</v>
      </c>
      <c r="X37" s="170" t="inlineStr">
        <is>
          <t>At low</t>
        </is>
      </c>
      <c r="Y37" s="26" t="inlineStr">
        <is>
          <t>RMB</t>
        </is>
      </c>
      <c r="Z37" s="137" t="n">
        <v>2912385000</v>
      </c>
      <c r="AA37" s="137" t="n">
        <v>3101309000</v>
      </c>
      <c r="AB37" s="137" t="n">
        <v>3254841000</v>
      </c>
      <c r="AC37" s="137" t="n">
        <v>1502180000</v>
      </c>
      <c r="AD37" s="137" t="n">
        <v>1615883000</v>
      </c>
      <c r="AE37" s="137" t="n">
        <v>1666031000</v>
      </c>
      <c r="AF37" s="137" t="n">
        <v>1410205000</v>
      </c>
      <c r="AG37" s="137" t="n">
        <v>1485426000</v>
      </c>
      <c r="AH37" s="137" t="n">
        <v>1588810000</v>
      </c>
      <c r="AI37" s="137" t="n">
        <v>2687613000</v>
      </c>
      <c r="AJ37" s="137" t="n">
        <v>2658973000</v>
      </c>
      <c r="AK37" s="137" t="n">
        <v>2624632000</v>
      </c>
      <c r="AL37" s="137" t="n">
        <v>234096000</v>
      </c>
      <c r="AM37" s="137" t="n">
        <v>168034000</v>
      </c>
      <c r="AN37" s="137" t="n">
        <v>140856000</v>
      </c>
      <c r="AO37" s="137" t="n">
        <v>167450000</v>
      </c>
      <c r="AP37" s="137" t="n">
        <v>108922000</v>
      </c>
      <c r="AQ37" s="137" t="n">
        <v>97408000</v>
      </c>
      <c r="AR37" s="142" t="n">
        <v>0.03</v>
      </c>
      <c r="AS37" s="142" t="n">
        <v>0.03</v>
      </c>
      <c r="AT37" s="84" t="inlineStr">
        <is>
          <t>NaN</t>
        </is>
      </c>
      <c r="AU37" s="51" t="inlineStr">
        <is>
          <t>Private for-profit general hospital group in mainland China</t>
        </is>
      </c>
      <c r="AV37" s="51" t="inlineStr">
        <is>
          <t>Main Board listing under the Listing Rules (Chapter 8); no Chapter 18A/18C specialist regime disclosed</t>
        </is>
      </c>
      <c r="AW37" s="136" t="n">
        <v>45838</v>
      </c>
      <c r="AX37" s="137" t="n">
        <v>80129000</v>
      </c>
      <c r="AY37" s="117" t="n">
        <v>117157000</v>
      </c>
      <c r="AZ37" s="117" t="inlineStr">
        <is>
          <t>NaN</t>
        </is>
      </c>
      <c r="BA37" s="117" t="inlineStr">
        <is>
          <t>NaN</t>
        </is>
      </c>
      <c r="BB37" s="138" t="n">
        <v>0.01</v>
      </c>
      <c r="BC37" s="139" t="n">
        <v>0.5</v>
      </c>
      <c r="BD37" s="80" t="n">
        <v>1</v>
      </c>
      <c r="BE37" s="161" t="inlineStr">
        <is>
          <t>NaN</t>
        </is>
      </c>
      <c r="BF37" s="161" t="inlineStr">
        <is>
          <t>NaN</t>
        </is>
      </c>
      <c r="BG37" s="161" t="n">
        <v>1</v>
      </c>
      <c r="BH37" s="161" t="inlineStr">
        <is>
          <t>NaN</t>
        </is>
      </c>
      <c r="BI37" s="161" t="inlineStr">
        <is>
          <t>NaN</t>
        </is>
      </c>
      <c r="BJ37" s="162" t="inlineStr">
        <is>
          <t>Mr. TSAI Chiang-Hai; Leader International Biomedicine Limited; ShareHope Medical Co., Ltd.</t>
        </is>
      </c>
      <c r="BK37" s="163" t="n">
        <v>0.0243</v>
      </c>
      <c r="BL37" s="161" t="inlineStr">
        <is>
          <t>NaN</t>
        </is>
      </c>
      <c r="BM37" s="164" t="inlineStr">
        <is>
          <t>Pre-IPO investment upon establishment in January 2009 (Mr. Tsai and Leader International)</t>
        </is>
      </c>
      <c r="BN37" s="165" t="n">
        <v>16.93</v>
      </c>
      <c r="BO37" s="51" t="inlineStr">
        <is>
          <t>Listed corporation (Qisda Corporation, TWSE: 2352) through a group of controlling shareholder entities</t>
        </is>
      </c>
      <c r="BP37" s="135" t="n">
        <v>0.7461</v>
      </c>
      <c r="BQ37" s="135" t="n">
        <v>0.7461</v>
      </c>
      <c r="BR37" s="137" t="n">
        <v>794347000</v>
      </c>
      <c r="BS37" s="51" t="inlineStr">
        <is>
          <t>Commercialised / matured operation (two general hospitals in operation since 2008 and 2013)</t>
        </is>
      </c>
      <c r="BT37" s="142" t="n">
        <v>0</v>
      </c>
      <c r="BU37" s="60" t="inlineStr">
        <is>
          <t>Main Board</t>
        </is>
      </c>
      <c r="BV37" s="89" t="inlineStr">
        <is>
          <t>Ordinary Shares</t>
        </is>
      </c>
      <c r="BW37" s="61" t="n">
        <v>0</v>
      </c>
      <c r="BX37" s="77" t="n">
        <v>0</v>
      </c>
      <c r="BY37" s="77" t="n">
        <v>0</v>
      </c>
      <c r="BZ37" s="78" t="n">
        <v>0</v>
      </c>
      <c r="CA37" s="60" t="inlineStr">
        <is>
          <t>282020</t>
        </is>
      </c>
      <c r="CB37" s="76" t="inlineStr">
        <is>
          <t>HSICS (Hang Seng Industry Classification System) 2026</t>
        </is>
      </c>
      <c r="CC37" s="140" t="n">
        <v>39818</v>
      </c>
      <c r="CD37" s="171" t="n">
        <v>16.96</v>
      </c>
      <c r="CE37" s="76" t="inlineStr">
        <is>
          <t>Cayman Islands</t>
        </is>
      </c>
      <c r="CF37" s="89" t="inlineStr">
        <is>
          <t>Nanjing, Jiangsu Province, PRC; place of business in Hong Kong at Causeway Bay, Hong Kong</t>
        </is>
      </c>
      <c r="CG37" s="91" t="n">
        <v>1000</v>
      </c>
      <c r="CH37" s="60" t="inlineStr">
        <is>
          <t>IFRS Accounting Standards</t>
        </is>
      </c>
      <c r="CI37" s="141" t="n">
        <v>44927</v>
      </c>
      <c r="CJ37" s="141" t="n">
        <v>45291</v>
      </c>
      <c r="CK37" s="141" t="n">
        <v>45292</v>
      </c>
      <c r="CL37" s="141" t="n">
        <v>45657</v>
      </c>
      <c r="CM37" s="141" t="n">
        <v>45658</v>
      </c>
      <c r="CN37" s="64" t="n">
        <v>1312316000</v>
      </c>
      <c r="CO37" s="64" t="n">
        <v>70428000</v>
      </c>
      <c r="CP37" s="64" t="n">
        <v>48704000</v>
      </c>
      <c r="CQ37" s="141" t="n">
        <v>46003</v>
      </c>
      <c r="CR37" s="141" t="n">
        <v>46008</v>
      </c>
      <c r="CS37" s="63" t="n">
        <v>311945001</v>
      </c>
      <c r="CT37" s="64" t="n">
        <v>208633000</v>
      </c>
      <c r="CU37" s="64" t="n">
        <v>165456000</v>
      </c>
      <c r="CV37" s="59" t="inlineStr">
        <is>
          <t>Unqualified opinion</t>
        </is>
      </c>
      <c r="CW37" s="64" t="n">
        <v>78100000</v>
      </c>
      <c r="CX37" s="51" t="inlineStr">
        <is>
          <t>Heron Neutron Medical Corp.; Cowealth Medical China Co., Ltd.; Suzhou Zhanxingtou Industrial Fund Partnership (Limited Partnership)</t>
        </is>
      </c>
      <c r="CY37" s="142" t="n">
        <v>0.4963</v>
      </c>
      <c r="CZ37" s="136" t="n">
        <v>46195</v>
      </c>
      <c r="DA37" s="143" t="n">
        <v>6.28</v>
      </c>
      <c r="DB37" s="63" t="n">
        <v>9291</v>
      </c>
      <c r="DC37" s="63" t="n">
        <v>42059500</v>
      </c>
      <c r="DD37" s="59" t="inlineStr">
        <is>
          <t>Subscription level 6.28 times</t>
        </is>
      </c>
      <c r="DE37" s="141" t="n">
        <v>46009</v>
      </c>
      <c r="DF37" s="141" t="n">
        <v>46010</v>
      </c>
      <c r="DG37" s="63" t="n">
        <v>67000000</v>
      </c>
      <c r="DH37" s="63" t="n">
        <v>6700000</v>
      </c>
      <c r="DI37" s="63" t="n">
        <v>60300000</v>
      </c>
      <c r="DJ37" s="63" t="n">
        <v>0</v>
      </c>
      <c r="DK37" s="169" t="n">
        <v>0</v>
      </c>
      <c r="DL37" s="59" t="inlineStr">
        <is>
          <t>Claw-back triggered: N/A (no reallocation of Offer Shares between the International Offering and the Hong Kong Public Offering)</t>
        </is>
      </c>
      <c r="DM37" s="144" t="n">
        <v>554500000</v>
      </c>
      <c r="DN37" s="142" t="n">
        <v>0.2514</v>
      </c>
      <c r="DO37" s="51" t="n">
        <v>311945001</v>
      </c>
      <c r="DP37" s="142" t="n">
        <v>0.1082</v>
      </c>
      <c r="DQ37" s="59" t="inlineStr">
        <is>
          <t>Free float denominator = total issued shares upon listing (311,945,001 Shares); numerator = Offer Shares minus cornerstone allocation</t>
        </is>
      </c>
      <c r="DR37" s="63" t="n">
        <v>311945001</v>
      </c>
      <c r="DS37" s="142" t="n">
        <v>-0.05697623</v>
      </c>
      <c r="DT37" s="80" t="n">
        <v>38</v>
      </c>
      <c r="DU37" s="142" t="n">
        <v>0.0313387</v>
      </c>
      <c r="DV37" s="144" t="n">
        <v>53903000000</v>
      </c>
      <c r="DW37" s="145" t="n">
        <v>4.72</v>
      </c>
      <c r="DX37" s="169" t="n">
        <v>-0.494647</v>
      </c>
      <c r="DY37" s="172" t="n">
        <v>-309540000</v>
      </c>
      <c r="DZ37" s="146" t="n">
        <v>6.5</v>
      </c>
      <c r="EA37" s="146" t="n">
        <v>6.5</v>
      </c>
      <c r="EB37" s="146" t="n">
        <v>4.72</v>
      </c>
      <c r="EC37" s="63" t="n">
        <v>7845000</v>
      </c>
      <c r="ED37" s="169" t="n">
        <v>0.11709</v>
      </c>
      <c r="EE37" s="64" t="n"/>
      <c r="EF37" s="60" t="inlineStr">
        <is>
          <t>Mechanism B</t>
        </is>
      </c>
      <c r="EG37" s="59" t="inlineStr">
        <is>
          <t>FINI (from 22/11/2023); 2025-08-04 pricing reform (Mechanism A/B; six-month cornerstone lock-up retained); this IPO: Mechanism B</t>
        </is>
      </c>
      <c r="EH37" t="inlineStr">
        <is>
          <t>明基医院集团股份有限公司</t>
        </is>
      </c>
      <c r="EI37" s="174" t="inlineStr">
        <is>
          <t>Active</t>
        </is>
      </c>
      <c r="EJ37" s="175" t="n">
        <v>4.08</v>
      </c>
      <c r="EK37" s="176" t="n">
        <v>-0.135593</v>
      </c>
      <c r="EL37" s="176" t="n">
        <v>-0.563169</v>
      </c>
      <c r="EM37" s="176" t="n">
        <v>0.030358</v>
      </c>
      <c r="EN37" s="176" t="n">
        <v>0.03971</v>
      </c>
      <c r="EO37" s="179" t="n">
        <v>0.8389</v>
      </c>
      <c r="EP37" s="179" t="n">
        <v>0.8314</v>
      </c>
      <c r="EQ37" s="178" t="n">
        <v>4889720</v>
      </c>
      <c r="ER37" s="175" t="n">
        <v>2.5</v>
      </c>
      <c r="ES37" s="176" t="n">
        <v>-0.470339</v>
      </c>
      <c r="ET37" s="176" t="n">
        <v>-0.732334</v>
      </c>
      <c r="EU37" s="176" t="n">
        <v>-0.078803</v>
      </c>
      <c r="EV37" s="176" t="n">
        <v>-0.17685</v>
      </c>
      <c r="EW37" s="179" t="n">
        <v>0.575</v>
      </c>
      <c r="EX37" s="179" t="n">
        <v>0.6435</v>
      </c>
      <c r="EY37" s="178" t="n">
        <v>1038255</v>
      </c>
      <c r="EZ37" s="176" t="n">
        <v>0.022828</v>
      </c>
      <c r="FA37" s="176" t="n"/>
      <c r="FB37" s="179" t="n"/>
      <c r="FC37" s="176" t="n"/>
      <c r="FD37" s="179" t="n"/>
      <c r="FE37" s="174" t="inlineStr">
        <is>
          <t>Standard</t>
        </is>
      </c>
      <c r="FF37" s="181" t="n"/>
      <c r="FG37" s="185" t="n"/>
      <c r="FH37" s="183" t="n"/>
      <c r="FI37" s="178" t="n"/>
      <c r="FJ37" s="176" t="n"/>
      <c r="FK37" s="185" t="n"/>
      <c r="FL37" s="178" t="n"/>
      <c r="FM37" s="176" t="n"/>
      <c r="FN37" s="176" t="n"/>
      <c r="FO37" s="176" t="n"/>
      <c r="FP37" s="176" t="n"/>
      <c r="FQ37" s="176" t="n">
        <v>-0.112288</v>
      </c>
      <c r="FR37" s="179" t="n">
        <v>0.8859</v>
      </c>
      <c r="FS37" s="176" t="n">
        <v>-0.135593</v>
      </c>
      <c r="FT37" s="179" t="n">
        <v>0.8389</v>
      </c>
      <c r="FU37" s="176" t="n">
        <v>-0.269068</v>
      </c>
      <c r="FV37" s="179" t="n">
        <v>0.7735</v>
      </c>
      <c r="FW37" s="179" t="n">
        <v>0.8572</v>
      </c>
      <c r="FX37" s="178" t="n">
        <v>2019421.67</v>
      </c>
      <c r="FY37" s="186" t="n">
        <v>0.04310059663865546</v>
      </c>
      <c r="FZ37" s="183" t="n">
        <v>0</v>
      </c>
      <c r="GA37" s="176" t="n">
        <v>0.05007934952126769</v>
      </c>
      <c r="GB37" s="176" t="n">
        <v>0.630769</v>
      </c>
      <c r="GC37" s="185" t="n"/>
      <c r="GD37" s="185" t="n"/>
      <c r="GE37" s="176" t="n"/>
      <c r="GF37" s="176" t="n"/>
      <c r="GG37" s="179" t="n"/>
      <c r="GH37" s="181" t="inlineStr">
        <is>
          <t>China International Capital Corporation Hong Kong Securities Limited</t>
        </is>
      </c>
      <c r="GI37" s="183" t="n">
        <v>2</v>
      </c>
      <c r="GJ37" s="183" t="n">
        <v>1</v>
      </c>
      <c r="GK37" s="176" t="n">
        <v>0.03</v>
      </c>
      <c r="GL37" s="176" t="n"/>
      <c r="GM37" s="176" t="n"/>
      <c r="GN37" s="183" t="n">
        <v>4</v>
      </c>
      <c r="GO37" s="183" t="n">
        <v>1</v>
      </c>
      <c r="GP37" s="183" t="n">
        <v>0</v>
      </c>
      <c r="GQ37" s="183" t="n">
        <v>4</v>
      </c>
      <c r="GR37" s="183" t="n">
        <v>0</v>
      </c>
      <c r="GS37" s="181" t="inlineStr">
        <is>
          <t>POST_FINI</t>
        </is>
      </c>
      <c r="GT37" s="181" t="inlineStr">
        <is>
          <t>POST_2025_REFORM</t>
        </is>
      </c>
    </row>
    <row r="38" ht="34" customFormat="1" customHeight="1" s="12">
      <c r="A38" s="43" t="n">
        <v>109</v>
      </c>
      <c r="B38" s="47" t="inlineStr">
        <is>
          <t>2691.HK</t>
        </is>
      </c>
      <c r="C38" s="44" t="inlineStr">
        <is>
          <t>Nanhua Futures Co., Ltd. - H shares</t>
        </is>
      </c>
      <c r="D38" s="130" t="n">
        <v>46003</v>
      </c>
      <c r="E38" s="48" t="n">
        <v>46013</v>
      </c>
      <c r="F38" s="43" t="inlineStr">
        <is>
          <t>CITIC Securities (Hong Kong) Limited</t>
        </is>
      </c>
      <c r="G38" s="43" t="inlineStr">
        <is>
          <t>Confucius International CPA Limited</t>
        </is>
      </c>
      <c r="H38" s="43" t="n"/>
      <c r="I38" s="131" t="n">
        <v>193782000</v>
      </c>
      <c r="J38" s="148" t="n">
        <v>1098126000</v>
      </c>
      <c r="K38" s="133" t="n">
        <v>12</v>
      </c>
      <c r="L38" t="n">
        <v>717724893</v>
      </c>
      <c r="M38" s="67" t="n">
        <v>107659000</v>
      </c>
      <c r="N38" t="n">
        <v>610065893</v>
      </c>
      <c r="O38" t="n">
        <v>610065893</v>
      </c>
      <c r="P38" t="n">
        <v>0</v>
      </c>
      <c r="Q38" t="n">
        <v>107659000</v>
      </c>
      <c r="R38" s="67" t="n">
        <v>96893000</v>
      </c>
      <c r="S38" s="67" t="n">
        <v>10766000</v>
      </c>
      <c r="T38" s="147" t="n">
        <v>16</v>
      </c>
      <c r="U38" s="147" t="n">
        <v>12</v>
      </c>
      <c r="V38" s="169" t="n">
        <v>-0.142857</v>
      </c>
      <c r="W38" s="169" t="n">
        <v>0.285714</v>
      </c>
      <c r="X38" s="170" t="inlineStr">
        <is>
          <t>At low</t>
        </is>
      </c>
      <c r="Y38" s="26" t="inlineStr">
        <is>
          <t>RMB</t>
        </is>
      </c>
      <c r="Z38" s="137" t="n">
        <v>36325522000</v>
      </c>
      <c r="AA38" s="137" t="n">
        <v>48863397000</v>
      </c>
      <c r="AB38" s="137" t="n">
        <v>46878161000</v>
      </c>
      <c r="AC38" s="137" t="n">
        <v>3712919000</v>
      </c>
      <c r="AD38" s="137" t="n">
        <v>4124840000</v>
      </c>
      <c r="AE38" s="137" t="n">
        <v>4291857000</v>
      </c>
      <c r="AF38" s="137" t="n">
        <v>32612603000</v>
      </c>
      <c r="AG38" s="137" t="n">
        <v>44738557000</v>
      </c>
      <c r="AH38" s="137" t="n">
        <v>42586304000</v>
      </c>
      <c r="AI38" s="137" t="n">
        <v>1292872000</v>
      </c>
      <c r="AJ38" s="137" t="n">
        <v>1354843000</v>
      </c>
      <c r="AK38" s="137" t="n">
        <v>1186262000</v>
      </c>
      <c r="AL38" s="137" t="n">
        <v>448437000</v>
      </c>
      <c r="AM38" s="137" t="n">
        <v>521659000</v>
      </c>
      <c r="AN38" s="137" t="n">
        <v>514898000</v>
      </c>
      <c r="AO38" s="137" t="n">
        <v>402822000</v>
      </c>
      <c r="AP38" s="137" t="n">
        <v>458037000</v>
      </c>
      <c r="AQ38" s="137" t="n">
        <v>462654000</v>
      </c>
      <c r="AR38" s="142" t="n">
        <v>0.025</v>
      </c>
      <c r="AS38" s="142" t="n">
        <v>0.025</v>
      </c>
      <c r="AT38" s="84" t="n">
        <v>0.15</v>
      </c>
      <c r="AU38" s="51" t="inlineStr">
        <is>
          <t>Futures and derivatives services (PRC futures brokerage, PRC risk management services, PRC wealth management, overseas financial services)</t>
        </is>
      </c>
      <c r="AV38" s="51" t="inlineStr">
        <is>
          <t>Main Board; Chapter 19A PRC issuer with other listed shares (A+H)</t>
        </is>
      </c>
      <c r="AW38" s="136" t="n">
        <v>45838</v>
      </c>
      <c r="AX38" s="137" t="n">
        <v>-442036000</v>
      </c>
      <c r="AY38" s="117" t="n">
        <v>1238117000</v>
      </c>
      <c r="AZ38" s="117" t="inlineStr">
        <is>
          <t>NaN</t>
        </is>
      </c>
      <c r="BA38" s="117" t="inlineStr">
        <is>
          <t>NaN</t>
        </is>
      </c>
      <c r="BB38" s="138" t="n">
        <v>0.05</v>
      </c>
      <c r="BC38" s="139" t="n">
        <v>0.5</v>
      </c>
      <c r="BD38" s="80" t="n">
        <v>1</v>
      </c>
      <c r="BE38" s="161" t="n">
        <v>1</v>
      </c>
      <c r="BF38" s="161" t="n">
        <v>1</v>
      </c>
      <c r="BG38" s="161" t="n">
        <v>1</v>
      </c>
      <c r="BH38" s="161" t="inlineStr">
        <is>
          <t>NaN</t>
        </is>
      </c>
      <c r="BI38" s="161" t="inlineStr">
        <is>
          <t>NaN</t>
        </is>
      </c>
      <c r="BJ38" s="162" t="inlineStr">
        <is>
          <t>Shenzhen Jianyin Nanshan Investment Co., LTD; Hengdian Import and Export; Hengdian DMEGC Magnetics; Wuxi Lingfeng Copper Co., Ltd.; Dongyang Zhongchao Investment Co., LTD; Zhejiang Lingqing Venture Capital Co., LTD; Shanghai Shanheng Investment Management Co., LTD; Gansu Fuxiang Materials Co., LTD; Shanghai Dawei Freight Co., LTD; Everbright Financial Holding (Tianjin) Venture Capital Co., LTD</t>
        </is>
      </c>
      <c r="BK38" s="163" t="inlineStr">
        <is>
          <t>NaN</t>
        </is>
      </c>
      <c r="BL38" s="161" t="inlineStr">
        <is>
          <t>NaN</t>
        </is>
      </c>
      <c r="BM38" s="164" t="inlineStr">
        <is>
          <t>December 2012 capital increase</t>
        </is>
      </c>
      <c r="BN38" s="165" t="n">
        <v>13.01</v>
      </c>
      <c r="BO38" s="51" t="inlineStr">
        <is>
          <t>Collective economic association-led controlling shareholder group (no single natural person controller)</t>
        </is>
      </c>
      <c r="BP38" s="135" t="n">
        <v>0.6543</v>
      </c>
      <c r="BQ38" s="135" t="n">
        <v>0.6543</v>
      </c>
      <c r="BR38" s="137" t="n">
        <v>1114225000</v>
      </c>
      <c r="BS38" s="51" t="inlineStr">
        <is>
          <t>NA</t>
        </is>
      </c>
      <c r="BT38" s="142" t="n">
        <v>0</v>
      </c>
      <c r="BU38" s="60" t="inlineStr">
        <is>
          <t>Main Board</t>
        </is>
      </c>
      <c r="BV38" s="89" t="inlineStr">
        <is>
          <t>H Shares</t>
        </is>
      </c>
      <c r="BW38" s="61" t="n">
        <v>1</v>
      </c>
      <c r="BX38" s="77" t="n">
        <v>0</v>
      </c>
      <c r="BY38" s="77" t="n">
        <v>0</v>
      </c>
      <c r="BZ38" s="78" t="n">
        <v>0</v>
      </c>
      <c r="CA38" s="60" t="inlineStr">
        <is>
          <t>503010</t>
        </is>
      </c>
      <c r="CB38" s="76" t="inlineStr">
        <is>
          <t>HSICS (Hang Seng Industry Classification System) 2026</t>
        </is>
      </c>
      <c r="CC38" s="140" t="n">
        <v>35213</v>
      </c>
      <c r="CD38" s="171" t="n">
        <v>29.57</v>
      </c>
      <c r="CE38" s="76" t="inlineStr">
        <is>
          <t>PRC</t>
        </is>
      </c>
      <c r="CF38" s="89" t="inlineStr">
        <is>
          <t>Hangzhou, Zhejiang Province, PRC</t>
        </is>
      </c>
      <c r="CG38" s="91" t="n">
        <v>1000</v>
      </c>
      <c r="CH38" s="60" t="inlineStr">
        <is>
          <t>IFRS Accounting Standards</t>
        </is>
      </c>
      <c r="CI38" s="141" t="n">
        <v>44927</v>
      </c>
      <c r="CJ38" s="141" t="n">
        <v>45291</v>
      </c>
      <c r="CK38" s="141" t="n">
        <v>45292</v>
      </c>
      <c r="CL38" s="141" t="n">
        <v>45657</v>
      </c>
      <c r="CM38" s="141" t="n">
        <v>45658</v>
      </c>
      <c r="CN38" s="64" t="n">
        <v>593131000</v>
      </c>
      <c r="CO38" s="64" t="n">
        <v>257449000</v>
      </c>
      <c r="CP38" s="64" t="n">
        <v>231327000</v>
      </c>
      <c r="CQ38" s="141" t="n">
        <v>46003</v>
      </c>
      <c r="CR38" s="141" t="n">
        <v>46008</v>
      </c>
      <c r="CS38" s="63" t="n">
        <v>107659000</v>
      </c>
      <c r="CT38" s="64" t="inlineStr">
        <is>
          <t>NaN</t>
        </is>
      </c>
      <c r="CU38" s="64" t="n">
        <v>15800000</v>
      </c>
      <c r="CV38" s="59" t="inlineStr">
        <is>
          <t>Unqualified opinion</t>
        </is>
      </c>
      <c r="CW38" s="64" t="n">
        <v>97600000</v>
      </c>
      <c r="CX38" s="51" t="inlineStr">
        <is>
          <t>NA</t>
        </is>
      </c>
      <c r="CY38" s="142" t="n">
        <v>0</v>
      </c>
      <c r="CZ38" s="136" t="inlineStr">
        <is>
          <t>NA</t>
        </is>
      </c>
      <c r="DA38" s="143" t="n">
        <v>1.91</v>
      </c>
      <c r="DB38" s="63" t="n">
        <v>7479</v>
      </c>
      <c r="DC38" s="63" t="n">
        <v>20599500</v>
      </c>
      <c r="DD38" s="59" t="inlineStr">
        <is>
          <t>Subscription level 1.91 times (Hong Kong Public Offering); Subscription Level 0.99 times (International Offering)</t>
        </is>
      </c>
      <c r="DE38" s="141" t="n">
        <v>46009</v>
      </c>
      <c r="DF38" s="141" t="n">
        <v>46010</v>
      </c>
      <c r="DG38" s="63" t="n">
        <v>107659000</v>
      </c>
      <c r="DH38" s="63" t="n">
        <v>16148500</v>
      </c>
      <c r="DI38" s="63" t="n">
        <v>91510500</v>
      </c>
      <c r="DJ38" s="63" t="n">
        <v>0</v>
      </c>
      <c r="DK38" s="169" t="n">
        <v>0</v>
      </c>
      <c r="DL38" s="59" t="inlineStr">
        <is>
          <t>No. of Offer Shares reallocated from the International Offering: 5,382,500; Final no. of Offer Shares under the Hong Kong Public Offering: 16,148,500 (15% of the Global Offering)</t>
        </is>
      </c>
      <c r="DM38" s="144" t="n">
        <v>1202950000</v>
      </c>
      <c r="DN38" s="142" t="n">
        <v>0.15</v>
      </c>
      <c r="DO38" s="51" t="n">
        <v>717724893</v>
      </c>
      <c r="DP38" s="142" t="inlineStr">
        <is>
          <t>NaN</t>
        </is>
      </c>
      <c r="DQ38" s="59" t="inlineStr">
        <is>
          <t>Free float denominator = total number of issued Shares upon Listing (col_CZ 717,724,893), the base used for the 15.00% public-float statement; the announcement's Rule 19A.13C(2)(b) free float is struck on the ex-treasury base 717,724,893 - 5,681,234 = 712,043,659. Numerator = H Shares held by the public and not subject to lock-up = at least 53,829,500 Shares (&gt;=50% of the 107,659,000 Offer Shares; HK$645,954,000 / HK$12.00), i.e. at least 7.56% on the ex-treasury base (0.0750 on col_CZ); the remaining Offer Shares are subject to lock-up.</t>
        </is>
      </c>
      <c r="DR38" s="63" t="n">
        <v>717724893</v>
      </c>
      <c r="DS38" s="142" t="n">
        <v>-0.05697623</v>
      </c>
      <c r="DT38" s="80" t="n">
        <v>38</v>
      </c>
      <c r="DU38" s="142" t="n">
        <v>0.0313387</v>
      </c>
      <c r="DV38" s="144" t="n">
        <v>53903000000</v>
      </c>
      <c r="DW38" s="145" t="n">
        <v>9.1</v>
      </c>
      <c r="DX38" s="169" t="n">
        <v>-0.241667</v>
      </c>
      <c r="DY38" s="172" t="n">
        <v>-312211100</v>
      </c>
      <c r="DZ38" s="146" t="n">
        <v>9.130000000000001</v>
      </c>
      <c r="EA38" s="146" t="n">
        <v>10.4</v>
      </c>
      <c r="EB38" s="146" t="n">
        <v>8.699999999999999</v>
      </c>
      <c r="EC38" s="63" t="n">
        <v>7945500</v>
      </c>
      <c r="ED38" s="169" t="n">
        <v>0.07380200000000001</v>
      </c>
      <c r="EE38" s="64" t="n"/>
      <c r="EF38" s="60" t="inlineStr">
        <is>
          <t>Mechanism B</t>
        </is>
      </c>
      <c r="EG38" s="59" t="inlineStr">
        <is>
          <t>FINI (from 22/11/2023); 2025-08-04 pricing reform (Mechanism A/B; six-month cornerstone lock-up retained); this IPO: Mechanism B</t>
        </is>
      </c>
      <c r="EH38" t="inlineStr">
        <is>
          <t>南华期货股份有限公司</t>
        </is>
      </c>
      <c r="EI38" s="174" t="inlineStr">
        <is>
          <t>Active</t>
        </is>
      </c>
      <c r="EJ38" s="175" t="n">
        <v>7.256</v>
      </c>
      <c r="EK38" s="176" t="n">
        <v>0.166372</v>
      </c>
      <c r="EL38" s="176" t="n">
        <v>-0.115501</v>
      </c>
      <c r="EM38" s="176" t="n">
        <v>0.030358</v>
      </c>
      <c r="EN38" s="176" t="n">
        <v>0.03971</v>
      </c>
      <c r="EO38" s="179" t="n">
        <v>1.132</v>
      </c>
      <c r="EP38" s="179" t="n">
        <v>1.1218</v>
      </c>
      <c r="EQ38" s="178" t="n">
        <v>23416837</v>
      </c>
      <c r="ER38" s="175" t="n">
        <v>6.4</v>
      </c>
      <c r="ES38" s="176" t="n">
        <v>0.028774</v>
      </c>
      <c r="ET38" s="176" t="n">
        <v>-0.219847</v>
      </c>
      <c r="EU38" s="176" t="n">
        <v>-0.078803</v>
      </c>
      <c r="EV38" s="176" t="n">
        <v>-0.17685</v>
      </c>
      <c r="EW38" s="179" t="n">
        <v>1.1168</v>
      </c>
      <c r="EX38" s="179" t="n">
        <v>1.2498</v>
      </c>
      <c r="EY38" s="178" t="n">
        <v>18235528</v>
      </c>
      <c r="EZ38" s="176" t="n">
        <v>0.231575</v>
      </c>
      <c r="FA38" s="176" t="n"/>
      <c r="FB38" s="179" t="n"/>
      <c r="FC38" s="176" t="n"/>
      <c r="FD38" s="179" t="n"/>
      <c r="FE38" s="174" t="inlineStr">
        <is>
          <t>Standard</t>
        </is>
      </c>
      <c r="FF38" s="181" t="n"/>
      <c r="FG38" s="185" t="n"/>
      <c r="FH38" s="183" t="n"/>
      <c r="FI38" s="178" t="n"/>
      <c r="FJ38" s="176" t="n"/>
      <c r="FK38" s="185" t="n"/>
      <c r="FL38" s="178" t="n"/>
      <c r="FM38" s="176" t="n"/>
      <c r="FN38" s="176" t="n"/>
      <c r="FO38" s="176" t="n"/>
      <c r="FP38" s="176" t="n"/>
      <c r="FQ38" s="176" t="n">
        <v>0.083106</v>
      </c>
      <c r="FR38" s="179" t="n">
        <v>1.0809</v>
      </c>
      <c r="FS38" s="176" t="n">
        <v>0.166372</v>
      </c>
      <c r="FT38" s="179" t="n">
        <v>1.132</v>
      </c>
      <c r="FU38" s="176" t="n">
        <v>0.266034</v>
      </c>
      <c r="FV38" s="179" t="n">
        <v>1.3397</v>
      </c>
      <c r="FW38" s="179" t="n">
        <v>1.4848</v>
      </c>
      <c r="FX38" s="178" t="n">
        <v>29289739.33</v>
      </c>
      <c r="FY38" s="186" t="n">
        <v>0.002772495798319328</v>
      </c>
      <c r="FZ38" s="183" t="n">
        <v>0</v>
      </c>
      <c r="GA38" s="176" t="n">
        <v>0.05760208941971531</v>
      </c>
      <c r="GB38" s="176" t="n">
        <v>0.326533</v>
      </c>
      <c r="GC38" s="185" t="n"/>
      <c r="GD38" s="185" t="n"/>
      <c r="GE38" s="176" t="n"/>
      <c r="GF38" s="176" t="n"/>
      <c r="GG38" s="179" t="n"/>
      <c r="GH38" s="181" t="inlineStr">
        <is>
          <t>CITIC Securities (Hong Kong) Limited</t>
        </is>
      </c>
      <c r="GI38" s="183" t="n">
        <v>1</v>
      </c>
      <c r="GJ38" s="183" t="n">
        <v>0</v>
      </c>
      <c r="GK38" s="176" t="n">
        <v>0.025</v>
      </c>
      <c r="GL38" s="176" t="n"/>
      <c r="GM38" s="176" t="n"/>
      <c r="GN38" s="183" t="n">
        <v>0</v>
      </c>
      <c r="GO38" s="183" t="n">
        <v>0</v>
      </c>
      <c r="GP38" s="183" t="n">
        <v>0</v>
      </c>
      <c r="GQ38" s="183" t="n">
        <v>18</v>
      </c>
      <c r="GR38" s="183" t="n">
        <v>1</v>
      </c>
      <c r="GS38" s="181" t="inlineStr">
        <is>
          <t>POST_FINI</t>
        </is>
      </c>
      <c r="GT38" s="181" t="inlineStr">
        <is>
          <t>POST_2025_REFORM</t>
        </is>
      </c>
    </row>
    <row r="39" ht="51" customFormat="1" customHeight="1" s="12">
      <c r="A39" s="43" t="n">
        <v>108</v>
      </c>
      <c r="B39" s="47" t="inlineStr">
        <is>
          <t>2695.HK</t>
        </is>
      </c>
      <c r="C39" s="44" t="inlineStr">
        <is>
          <t>Impression Dahongpao Co., Ltd. - H shares</t>
        </is>
      </c>
      <c r="D39" s="130" t="n">
        <v>46003</v>
      </c>
      <c r="E39" s="48" t="n">
        <v>46013</v>
      </c>
      <c r="F39" s="43" t="inlineStr">
        <is>
          <t>China Industrial Securities International 
Capital Limited /
 Halcyon Capital Limited</t>
        </is>
      </c>
      <c r="G39" s="43" t="inlineStr">
        <is>
          <t>Grant Thornton Hong Kong Limited</t>
        </is>
      </c>
      <c r="H39" s="43" t="n"/>
      <c r="I39" s="131" t="n">
        <v>12996000</v>
      </c>
      <c r="J39" s="148" t="n">
        <v>116964000</v>
      </c>
      <c r="K39" s="133" t="n">
        <v>3.6</v>
      </c>
      <c r="L39" t="n">
        <v>144170000</v>
      </c>
      <c r="M39" s="67" t="n">
        <v>36100000</v>
      </c>
      <c r="N39" t="n">
        <v>108070000</v>
      </c>
      <c r="O39" t="n">
        <v>108070000</v>
      </c>
      <c r="P39" t="n">
        <v>0</v>
      </c>
      <c r="Q39" t="n">
        <v>36100000</v>
      </c>
      <c r="R39" s="67" t="n">
        <v>32490000</v>
      </c>
      <c r="S39" s="67" t="n">
        <v>3610000</v>
      </c>
      <c r="T39" s="147" t="n">
        <v>4.1</v>
      </c>
      <c r="U39" s="147" t="n">
        <v>3.47</v>
      </c>
      <c r="V39" s="169" t="n">
        <v>-0.048877</v>
      </c>
      <c r="W39" s="169" t="n">
        <v>0.166446</v>
      </c>
      <c r="X39" s="170" t="inlineStr">
        <is>
          <t>Within range</t>
        </is>
      </c>
      <c r="Y39" s="26" t="inlineStr">
        <is>
          <t>RMB</t>
        </is>
      </c>
      <c r="Z39" s="137" t="n">
        <v>294275000</v>
      </c>
      <c r="AA39" s="137" t="n">
        <v>316965000</v>
      </c>
      <c r="AB39" s="137" t="n">
        <v>428667000</v>
      </c>
      <c r="AC39" s="137" t="n">
        <v>233531000</v>
      </c>
      <c r="AD39" s="137" t="n">
        <v>255919000</v>
      </c>
      <c r="AE39" s="137" t="n">
        <v>257627000</v>
      </c>
      <c r="AF39" s="137" t="n">
        <v>60744000</v>
      </c>
      <c r="AG39" s="137" t="n">
        <v>61046000</v>
      </c>
      <c r="AH39" s="137" t="n">
        <v>171040000</v>
      </c>
      <c r="AI39" s="137" t="n">
        <v>143887000</v>
      </c>
      <c r="AJ39" s="137" t="n">
        <v>137200000</v>
      </c>
      <c r="AK39" s="137" t="n">
        <v>111768000</v>
      </c>
      <c r="AL39" s="137" t="n">
        <v>62687000</v>
      </c>
      <c r="AM39" s="137" t="n">
        <v>58916000</v>
      </c>
      <c r="AN39" s="137" t="n">
        <v>20200000</v>
      </c>
      <c r="AO39" s="137" t="n">
        <v>47504000</v>
      </c>
      <c r="AP39" s="137" t="n">
        <v>42809000</v>
      </c>
      <c r="AQ39" s="137" t="n">
        <v>13550000</v>
      </c>
      <c r="AR39" s="142" t="n">
        <v>0.02</v>
      </c>
      <c r="AS39" s="142" t="n">
        <v>0.02</v>
      </c>
      <c r="AT39" s="84" t="n">
        <v>0.15</v>
      </c>
      <c r="AU39" s="51" t="inlineStr">
        <is>
          <t>Cultural tourism performance and services (state-owned cultural tourism service provider under Mount Wuyi / Nanping SASAC)</t>
        </is>
      </c>
      <c r="AV39" s="51" t="inlineStr">
        <is>
          <t>Main Board</t>
        </is>
      </c>
      <c r="AW39" s="136" t="n">
        <v>45838</v>
      </c>
      <c r="AX39" s="137" t="n">
        <v>16438000</v>
      </c>
      <c r="AY39" s="117" t="n">
        <v>64133000</v>
      </c>
      <c r="AZ39" s="117" t="inlineStr">
        <is>
          <t>NaN</t>
        </is>
      </c>
      <c r="BA39" s="117" t="inlineStr">
        <is>
          <t>NaN</t>
        </is>
      </c>
      <c r="BB39" s="138" t="n">
        <v>0.177</v>
      </c>
      <c r="BC39" s="139" t="n">
        <v>0.5</v>
      </c>
      <c r="BD39" s="80" t="inlineStr">
        <is>
          <t>NaN</t>
        </is>
      </c>
      <c r="BE39" s="161" t="inlineStr">
        <is>
          <t>NaN</t>
        </is>
      </c>
      <c r="BF39" s="161" t="inlineStr">
        <is>
          <t>NaN</t>
        </is>
      </c>
      <c r="BG39" s="161" t="inlineStr">
        <is>
          <t>NaN</t>
        </is>
      </c>
      <c r="BH39" s="161" t="inlineStr">
        <is>
          <t>NaN</t>
        </is>
      </c>
      <c r="BI39" s="161" t="inlineStr">
        <is>
          <t>NaN</t>
        </is>
      </c>
      <c r="BJ39" s="162" t="inlineStr">
        <is>
          <t>NA</t>
        </is>
      </c>
      <c r="BK39" s="163" t="inlineStr">
        <is>
          <t>NaN</t>
        </is>
      </c>
      <c r="BL39" s="161" t="inlineStr">
        <is>
          <t>NaN</t>
        </is>
      </c>
      <c r="BM39" s="164" t="inlineStr">
        <is>
          <t>NA</t>
        </is>
      </c>
      <c r="BN39" s="165" t="inlineStr">
        <is>
          <t>NaN</t>
        </is>
      </c>
      <c r="BO39" s="51" t="inlineStr">
        <is>
          <t>国资委 (local-government SASAC)</t>
        </is>
      </c>
      <c r="BP39" s="135" t="n">
        <v>0.586</v>
      </c>
      <c r="BQ39" s="135" t="n">
        <v>0.586</v>
      </c>
      <c r="BR39" s="137" t="n">
        <v>106360000</v>
      </c>
      <c r="BS39" s="51" t="inlineStr">
        <is>
          <t>NA</t>
        </is>
      </c>
      <c r="BT39" s="142" t="n">
        <v>0</v>
      </c>
      <c r="BU39" s="60" t="inlineStr">
        <is>
          <t>Main Board</t>
        </is>
      </c>
      <c r="BV39" s="89" t="inlineStr">
        <is>
          <t>H Shares</t>
        </is>
      </c>
      <c r="BW39" s="61" t="n">
        <v>0</v>
      </c>
      <c r="BX39" s="77" t="n">
        <v>0</v>
      </c>
      <c r="BY39" s="77" t="n">
        <v>0</v>
      </c>
      <c r="BZ39" s="78" t="n">
        <v>0</v>
      </c>
      <c r="CA39" s="60" t="inlineStr">
        <is>
          <t>234070</t>
        </is>
      </c>
      <c r="CB39" s="76" t="inlineStr">
        <is>
          <t>HSICS (Hang Seng Industry Classification System) 2026</t>
        </is>
      </c>
      <c r="CC39" s="140" t="n">
        <v>39834</v>
      </c>
      <c r="CD39" s="171" t="n">
        <v>16.92</v>
      </c>
      <c r="CE39" s="76" t="inlineStr">
        <is>
          <t>PRC</t>
        </is>
      </c>
      <c r="CF39" s="89" t="inlineStr">
        <is>
          <t>Mount Wuyi City, Fujian Province, PRC</t>
        </is>
      </c>
      <c r="CG39" s="91" t="n"/>
      <c r="CH39" s="60" t="inlineStr">
        <is>
          <t>HKFRS (Hong Kong Financial Reporting Standards)</t>
        </is>
      </c>
      <c r="CI39" s="141" t="n">
        <v>44927</v>
      </c>
      <c r="CJ39" s="141" t="n">
        <v>45291</v>
      </c>
      <c r="CK39" s="141" t="n">
        <v>45292</v>
      </c>
      <c r="CL39" s="141" t="n">
        <v>45657</v>
      </c>
      <c r="CM39" s="141" t="n">
        <v>45658</v>
      </c>
      <c r="CN39" s="64" t="n">
        <v>55884000</v>
      </c>
      <c r="CO39" s="64" t="n">
        <v>10100000</v>
      </c>
      <c r="CP39" s="64" t="n">
        <v>6775000</v>
      </c>
      <c r="CQ39" s="141" t="n">
        <v>46003</v>
      </c>
      <c r="CR39" s="141" t="n">
        <v>46008</v>
      </c>
      <c r="CS39" s="63" t="n">
        <v>36100000</v>
      </c>
      <c r="CT39" s="64" t="n">
        <v>23753000</v>
      </c>
      <c r="CU39" s="64" t="n">
        <v>17586000</v>
      </c>
      <c r="CV39" s="59" t="inlineStr">
        <is>
          <t>Unqualified opinion (true and fair view)</t>
        </is>
      </c>
      <c r="CW39" s="64" t="n">
        <v>26400000</v>
      </c>
      <c r="CX39" s="51" t="inlineStr">
        <is>
          <t>NA</t>
        </is>
      </c>
      <c r="CY39" s="142" t="n">
        <v>0</v>
      </c>
      <c r="CZ39" s="136" t="inlineStr">
        <is>
          <t>NA</t>
        </is>
      </c>
      <c r="DA39" s="143" t="n">
        <v>3397.48</v>
      </c>
      <c r="DB39" s="63" t="n">
        <v>114610</v>
      </c>
      <c r="DC39" s="63" t="n">
        <v>12264907000</v>
      </c>
      <c r="DD39" s="59" t="inlineStr">
        <is>
          <t>Subscription level 3,397.48 times</t>
        </is>
      </c>
      <c r="DE39" s="141" t="n">
        <v>46009</v>
      </c>
      <c r="DF39" s="141" t="n">
        <v>46010</v>
      </c>
      <c r="DG39" s="63" t="n">
        <v>36100000</v>
      </c>
      <c r="DH39" s="63" t="n">
        <v>3610000</v>
      </c>
      <c r="DI39" s="63" t="n">
        <v>32490000</v>
      </c>
      <c r="DJ39" s="63" t="n">
        <v>0</v>
      </c>
      <c r="DK39" s="169" t="n">
        <v>0</v>
      </c>
      <c r="DL39" s="59" t="inlineStr">
        <is>
          <t>Claw-back triggered: No; Reallocation: No</t>
        </is>
      </c>
      <c r="DM39" s="144" t="n">
        <v>103640000</v>
      </c>
      <c r="DN39" s="142" t="n">
        <v>0.2504</v>
      </c>
      <c r="DO39" s="51" t="n">
        <v>144170000</v>
      </c>
      <c r="DP39" s="142" t="n">
        <v>0.2504</v>
      </c>
      <c r="DQ39" s="59" t="inlineStr">
        <is>
          <t>Total issued shares of the Company upon Listing (144,170,000 Shares)</t>
        </is>
      </c>
      <c r="DR39" s="63" t="n">
        <v>144170000</v>
      </c>
      <c r="DS39" s="142" t="n">
        <v>-0.05697623</v>
      </c>
      <c r="DT39" s="80" t="n">
        <v>38</v>
      </c>
      <c r="DU39" s="142" t="n">
        <v>0.0313387</v>
      </c>
      <c r="DV39" s="144" t="n">
        <v>53903000000</v>
      </c>
      <c r="DW39" s="145" t="n">
        <v>2.33</v>
      </c>
      <c r="DX39" s="169" t="n">
        <v>-0.352778</v>
      </c>
      <c r="DY39" s="172" t="n">
        <v>-45847000</v>
      </c>
      <c r="DZ39" s="146" t="n">
        <v>3.26</v>
      </c>
      <c r="EA39" s="146" t="n">
        <v>3.4</v>
      </c>
      <c r="EB39" s="146" t="n">
        <v>2.33</v>
      </c>
      <c r="EC39" s="63" t="n">
        <v>42683000</v>
      </c>
      <c r="ED39" s="169" t="n">
        <v>1.182355</v>
      </c>
      <c r="EE39" s="64" t="n"/>
      <c r="EF39" s="60" t="inlineStr">
        <is>
          <t>Mechanism B</t>
        </is>
      </c>
      <c r="EG39" s="59" t="inlineStr">
        <is>
          <t>FINI (from 22/11/2023); 2025-08-04 pricing reform (Mechanism A/B; six-month cornerstone lock-up retained); this IPO: Mechanism B</t>
        </is>
      </c>
      <c r="EH39" t="inlineStr">
        <is>
          <t>印象大红袍股份有限公司</t>
        </is>
      </c>
      <c r="EI39" s="174" t="inlineStr">
        <is>
          <t>Active</t>
        </is>
      </c>
      <c r="EJ39" s="175" t="n">
        <v>2.1</v>
      </c>
      <c r="EK39" s="176" t="n">
        <v>0.004785</v>
      </c>
      <c r="EL39" s="176" t="n">
        <v>-0.349681</v>
      </c>
      <c r="EM39" s="176" t="n">
        <v>0.030358</v>
      </c>
      <c r="EN39" s="176" t="n">
        <v>0.03971</v>
      </c>
      <c r="EO39" s="179" t="n">
        <v>0.9752</v>
      </c>
      <c r="EP39" s="179" t="n">
        <v>0.9664</v>
      </c>
      <c r="EQ39" s="178" t="n">
        <v>12244217.5</v>
      </c>
      <c r="ER39" s="175" t="n">
        <v>1.7</v>
      </c>
      <c r="ES39" s="176" t="n">
        <v>-0.186603</v>
      </c>
      <c r="ET39" s="176" t="n">
        <v>-0.473551</v>
      </c>
      <c r="EU39" s="176" t="n">
        <v>-0.078803</v>
      </c>
      <c r="EV39" s="176" t="n">
        <v>-0.17685</v>
      </c>
      <c r="EW39" s="179" t="n">
        <v>0.883</v>
      </c>
      <c r="EX39" s="179" t="n">
        <v>0.9882</v>
      </c>
      <c r="EY39" s="178" t="n">
        <v>512532.5</v>
      </c>
      <c r="EZ39" s="176" t="n">
        <v>0.003487</v>
      </c>
      <c r="FA39" s="176" t="n"/>
      <c r="FB39" s="179" t="n"/>
      <c r="FC39" s="176" t="n"/>
      <c r="FD39" s="179" t="n"/>
      <c r="FE39" s="174" t="inlineStr">
        <is>
          <t>Standard</t>
        </is>
      </c>
      <c r="FF39" s="181" t="n"/>
      <c r="FG39" s="185" t="n"/>
      <c r="FH39" s="183" t="n"/>
      <c r="FI39" s="178" t="n"/>
      <c r="FJ39" s="176" t="n"/>
      <c r="FK39" s="185" t="n"/>
      <c r="FL39" s="178" t="n"/>
      <c r="FM39" s="176" t="n"/>
      <c r="FN39" s="176" t="n"/>
      <c r="FO39" s="176" t="n"/>
      <c r="FP39" s="176" t="n"/>
      <c r="FQ39" s="176" t="n">
        <v>-0.157895</v>
      </c>
      <c r="FR39" s="179" t="n">
        <v>0.8404</v>
      </c>
      <c r="FS39" s="176" t="n">
        <v>0.004785</v>
      </c>
      <c r="FT39" s="179" t="n">
        <v>0.9752</v>
      </c>
      <c r="FU39" s="176" t="n">
        <v>-0.23445</v>
      </c>
      <c r="FV39" s="179" t="n">
        <v>0.8101</v>
      </c>
      <c r="FW39" s="179" t="n">
        <v>0.8978</v>
      </c>
      <c r="FX39" s="178" t="n">
        <v>5056777.67</v>
      </c>
      <c r="FY39" s="186" t="n">
        <v>0.0325418487394958</v>
      </c>
      <c r="FZ39" s="183" t="n">
        <v>0</v>
      </c>
      <c r="GA39" s="176" t="n">
        <v>0.05223854229013347</v>
      </c>
      <c r="GB39" s="176" t="n">
        <v>0.585443</v>
      </c>
      <c r="GC39" s="185" t="n"/>
      <c r="GD39" s="185" t="n"/>
      <c r="GE39" s="176" t="n"/>
      <c r="GF39" s="176" t="n"/>
      <c r="GG39" s="179" t="n"/>
      <c r="GH39" s="181" t="inlineStr">
        <is>
          <t>China Industrial Securities International Capital Limited</t>
        </is>
      </c>
      <c r="GI39" s="183" t="n">
        <v>2</v>
      </c>
      <c r="GJ39" s="183" t="n">
        <v>0</v>
      </c>
      <c r="GK39" s="176" t="n">
        <v>0.02</v>
      </c>
      <c r="GL39" s="176" t="n"/>
      <c r="GM39" s="176" t="n"/>
      <c r="GN39" s="183" t="n">
        <v>0</v>
      </c>
      <c r="GO39" s="183" t="n"/>
      <c r="GP39" s="183" t="n"/>
      <c r="GQ39" s="183" t="n"/>
      <c r="GR39" s="183" t="n"/>
      <c r="GS39" s="181" t="inlineStr">
        <is>
          <t>POST_FINI</t>
        </is>
      </c>
      <c r="GT39" s="181" t="inlineStr">
        <is>
          <t>POST_2025_REFORM</t>
        </is>
      </c>
    </row>
    <row r="40" ht="17.25" customFormat="1" customHeight="1" s="12">
      <c r="A40" s="60" t="n">
        <v>111</v>
      </c>
      <c r="B40" s="93" t="inlineStr">
        <is>
          <t>2635.HK</t>
        </is>
      </c>
      <c r="C40" s="59" t="inlineStr">
        <is>
          <t>Nuobikan Artificial Intelligence Technology (Chengdu) Co., Ltd. - H shares</t>
        </is>
      </c>
      <c r="D40" s="149" t="n">
        <v>46006</v>
      </c>
      <c r="E40" s="95" t="n">
        <v>46014</v>
      </c>
      <c r="F40" s="60" t="inlineStr">
        <is>
          <t>China International Capital Corporation
Hong Kong Securities Limited</t>
        </is>
      </c>
      <c r="G40" s="60" t="inlineStr">
        <is>
          <t>Ernst &amp; Young</t>
        </is>
      </c>
      <c r="H40" s="60" t="n"/>
      <c r="I40" s="150" t="n">
        <v>30296000</v>
      </c>
      <c r="J40" s="148" t="n">
        <v>272632000</v>
      </c>
      <c r="K40" s="151" t="n">
        <v>80</v>
      </c>
      <c r="L40" t="n">
        <v>37866600</v>
      </c>
      <c r="M40" s="98" t="n">
        <v>3786600</v>
      </c>
      <c r="N40" t="n">
        <v>34080000</v>
      </c>
      <c r="O40" t="n">
        <v>34080000</v>
      </c>
      <c r="P40" t="n">
        <v>0</v>
      </c>
      <c r="Q40" t="n">
        <v>3786600</v>
      </c>
      <c r="R40" s="98" t="n">
        <v>3407900</v>
      </c>
      <c r="S40" s="98" t="n">
        <v>378700</v>
      </c>
      <c r="T40" s="152" t="n">
        <v>106</v>
      </c>
      <c r="U40" s="152" t="n">
        <v>80</v>
      </c>
      <c r="V40" s="169" t="n">
        <v>-0.139785</v>
      </c>
      <c r="W40" s="169" t="n">
        <v>0.27957</v>
      </c>
      <c r="X40" s="170" t="inlineStr">
        <is>
          <t>At low</t>
        </is>
      </c>
      <c r="Y40" s="26" t="inlineStr">
        <is>
          <t>RMB</t>
        </is>
      </c>
      <c r="Z40" s="137" t="n">
        <v>538105000</v>
      </c>
      <c r="AA40" s="137" t="n">
        <v>836195000</v>
      </c>
      <c r="AB40" s="137" t="n">
        <v>1007681000</v>
      </c>
      <c r="AC40" s="137" t="n">
        <v>398267000</v>
      </c>
      <c r="AD40" s="137" t="n">
        <v>639721000</v>
      </c>
      <c r="AE40" s="137" t="n">
        <v>679802000</v>
      </c>
      <c r="AF40" s="137" t="n">
        <v>139838000</v>
      </c>
      <c r="AG40" s="137" t="n">
        <v>196474000</v>
      </c>
      <c r="AH40" s="137" t="n">
        <v>327879000</v>
      </c>
      <c r="AI40" s="137" t="n">
        <v>363699000</v>
      </c>
      <c r="AJ40" s="137" t="n">
        <v>402640000</v>
      </c>
      <c r="AK40" s="137" t="n">
        <v>463142000</v>
      </c>
      <c r="AL40" s="137" t="n">
        <v>96860000</v>
      </c>
      <c r="AM40" s="137" t="n">
        <v>126104000</v>
      </c>
      <c r="AN40" s="137" t="n">
        <v>88664000</v>
      </c>
      <c r="AO40" s="137" t="n">
        <v>88566000</v>
      </c>
      <c r="AP40" s="137" t="n">
        <v>115368000</v>
      </c>
      <c r="AQ40" s="137" t="n">
        <v>80162000</v>
      </c>
      <c r="AR40" s="153" t="n">
        <v>0.035</v>
      </c>
      <c r="AS40" s="153" t="n">
        <v>0.035</v>
      </c>
      <c r="AT40" s="101" t="n">
        <v>0.15</v>
      </c>
      <c r="AU40" s="102" t="inlineStr">
        <is>
          <t>AI-enabled monitoring and inspection products and solutions for railway operation, power grid and other urban management verticals</t>
        </is>
      </c>
      <c r="AV40" s="102" t="inlineStr">
        <is>
          <t>Main Board listing (general admission route of the Listing Rules, Chapter 8); PRC H-share issuer; Over-allotment Option of 15% granted to the International Underwriters</t>
        </is>
      </c>
      <c r="AW40" s="154" t="n">
        <v>45838</v>
      </c>
      <c r="AX40" s="137" t="n">
        <v>84398000</v>
      </c>
      <c r="AY40" s="117" t="n">
        <v>337821000</v>
      </c>
      <c r="AZ40" s="117" t="n">
        <v>22728000</v>
      </c>
      <c r="BA40" s="117" t="n">
        <v>253000</v>
      </c>
      <c r="BB40" s="155" t="n">
        <v>0.742</v>
      </c>
      <c r="BC40" s="139" t="n">
        <v>0.5</v>
      </c>
      <c r="BD40" s="80" t="n">
        <v>1</v>
      </c>
      <c r="BE40" t="n">
        <v>1</v>
      </c>
      <c r="BF40" t="n">
        <v>1</v>
      </c>
      <c r="BG40" t="inlineStr">
        <is>
          <t>NaN</t>
        </is>
      </c>
      <c r="BH40" t="n">
        <v>1</v>
      </c>
      <c r="BI40" t="inlineStr">
        <is>
          <t>NaN</t>
        </is>
      </c>
      <c r="BJ40" t="inlineStr">
        <is>
          <t>Bojiang Furui; Bojiang Chuangfu; Fan Zhihe; Wei Wenyan; Bojiang Xingyi; Bojiang Tech Innovation; Pufeng Investment; Bojiang Yueheng; Yayi Innovation Investment; Hainan Wangzhong; Rongchuang Zibo; Wangzhong Mingxin; Bojiang Hongda; Bojiang Junjing; Bojiang Dingsheng; Gao Hejian; Zhao Dandan; Wu Shuang; Chengyu Fund; Chengdu Wutongshu; Chengdu Wufa; Chengdu Tongchuang; Chongqing Jiangjin; Jiaxing Jiuqian; Peikun Investment</t>
        </is>
      </c>
      <c r="BK40" t="n">
        <v>0.315</v>
      </c>
      <c r="BL40" t="n">
        <v>1</v>
      </c>
      <c r="BM40" t="inlineStr">
        <is>
          <t>Series A Financing</t>
        </is>
      </c>
      <c r="BN40" t="n">
        <v>6.06</v>
      </c>
      <c r="BO40" s="102" t="inlineStr">
        <is>
          <t>自然人</t>
        </is>
      </c>
      <c r="BP40" s="156" t="n">
        <v>0.4602</v>
      </c>
      <c r="BQ40" s="156" t="n">
        <v>0.4602</v>
      </c>
      <c r="BR40" s="137" t="n">
        <v>184081000</v>
      </c>
      <c r="BS40" s="102" t="inlineStr">
        <is>
          <t>commercialised with mature applications in rail transit and electricity; newer verticals at trial-run/preparation stage</t>
        </is>
      </c>
      <c r="BT40" s="153" t="n">
        <v>0</v>
      </c>
      <c r="BU40" s="60" t="inlineStr">
        <is>
          <t>Main Board</t>
        </is>
      </c>
      <c r="BV40" s="89" t="inlineStr">
        <is>
          <t>H Shares</t>
        </is>
      </c>
      <c r="BW40" s="61" t="n">
        <v>0</v>
      </c>
      <c r="BX40" s="77" t="n">
        <v>0</v>
      </c>
      <c r="BY40" s="77" t="n">
        <v>0</v>
      </c>
      <c r="BZ40" s="78" t="n">
        <v>0</v>
      </c>
      <c r="CA40" s="60" t="inlineStr">
        <is>
          <t>702015</t>
        </is>
      </c>
      <c r="CB40" s="76" t="inlineStr">
        <is>
          <t>HSICS (Hang Seng Industry Classification System) 2026</t>
        </is>
      </c>
      <c r="CC40" s="140" t="n">
        <v>42069</v>
      </c>
      <c r="CD40" s="171" t="n">
        <v>10.8</v>
      </c>
      <c r="CE40" s="76" t="inlineStr">
        <is>
          <t>PRC</t>
        </is>
      </c>
      <c r="CF40" s="89" t="inlineStr">
        <is>
          <t>Chengdu, Sichuan Province, PRC</t>
        </is>
      </c>
      <c r="CG40" s="91" t="n"/>
      <c r="CH40" s="60" t="inlineStr">
        <is>
          <t>HKFRSs (Hong Kong Financial Reporting Standards)</t>
        </is>
      </c>
      <c r="CI40" s="141" t="n">
        <v>44927</v>
      </c>
      <c r="CJ40" s="141" t="n">
        <v>45291</v>
      </c>
      <c r="CK40" s="141" t="n">
        <v>45292</v>
      </c>
      <c r="CL40" s="141" t="n">
        <v>45657</v>
      </c>
      <c r="CM40" s="141" t="n">
        <v>45658</v>
      </c>
      <c r="CN40" s="64" t="n">
        <v>231571000</v>
      </c>
      <c r="CO40" s="64" t="n">
        <v>44332000</v>
      </c>
      <c r="CP40" s="64" t="n">
        <v>40081000</v>
      </c>
      <c r="CQ40" s="141" t="n">
        <v>46006</v>
      </c>
      <c r="CR40" s="141" t="n">
        <v>46009</v>
      </c>
      <c r="CS40" s="63" t="n">
        <v>30434578</v>
      </c>
      <c r="CT40" s="64" t="n">
        <v>90801000</v>
      </c>
      <c r="CU40" s="64" t="n">
        <v>280000</v>
      </c>
      <c r="CV40" s="59" t="inlineStr">
        <is>
          <t>Unqualified opinion (true and fair view)</t>
        </is>
      </c>
      <c r="CW40" s="64" t="n">
        <v>45500000</v>
      </c>
      <c r="CX40" s="102" t="inlineStr">
        <is>
          <t>NA</t>
        </is>
      </c>
      <c r="CY40" s="153" t="n">
        <v>0</v>
      </c>
      <c r="CZ40" s="154" t="inlineStr">
        <is>
          <t>NA</t>
        </is>
      </c>
      <c r="DA40" s="143" t="n">
        <v>188.74</v>
      </c>
      <c r="DB40" s="63" t="n">
        <v>33051</v>
      </c>
      <c r="DC40" s="63" t="n">
        <v>71476838</v>
      </c>
      <c r="DD40" s="59" t="inlineStr">
        <is>
          <t>Subscription level 188.74 times</t>
        </is>
      </c>
      <c r="DE40" s="141" t="n">
        <v>46010</v>
      </c>
      <c r="DF40" s="141" t="n">
        <v>46013</v>
      </c>
      <c r="DG40" s="63" t="n">
        <v>3786600</v>
      </c>
      <c r="DH40" s="63" t="n">
        <v>378700</v>
      </c>
      <c r="DI40" s="63" t="n">
        <v>3407900</v>
      </c>
      <c r="DJ40" s="63" t="n">
        <v>0</v>
      </c>
      <c r="DK40" s="169" t="n">
        <v>0</v>
      </c>
      <c r="DL40" s="59" t="inlineStr">
        <is>
          <t>No claw-back/reallocation: 'Claw-back triggered No'; final Hong Kong Public Offering shares unchanged at 378,700 (10% of the Global Offering) and the International Offering unchanged at 3,407,900 (90%)</t>
        </is>
      </c>
      <c r="DM40" s="157" t="n">
        <v>257430000</v>
      </c>
      <c r="DN40" s="153" t="n">
        <v>0.317</v>
      </c>
      <c r="DO40" s="102" t="n">
        <v>37866600</v>
      </c>
      <c r="DP40" s="153" t="n">
        <v>0.1</v>
      </c>
      <c r="DQ40" s="59" t="inlineStr">
        <is>
          <t>Free float numerator = Offer Shares allotted to investors who are not core connected persons and are not subject to any disposal restrictions (no cornerstone investors, so the whole 3,786,600-share Global Offering); denominator = total issued Shares upon completion of the Global Offering (37,866,600). All existing Shareholders' shares are excluded because under PRC law they are locked up for twelve months from the Listing Date.</t>
        </is>
      </c>
      <c r="DR40" s="63" t="n">
        <v>37866600</v>
      </c>
      <c r="DS40" s="153" t="n">
        <v>-0.02241689</v>
      </c>
      <c r="DT40" s="80" t="n">
        <v>38</v>
      </c>
      <c r="DU40" s="153" t="n">
        <v>0.0303952</v>
      </c>
      <c r="DV40" s="157" t="n">
        <v>53903000000</v>
      </c>
      <c r="DW40" s="158" t="n">
        <v>371</v>
      </c>
      <c r="DX40" s="169" t="n">
        <v>3.6375</v>
      </c>
      <c r="DY40" s="172" t="n">
        <v>1101900600</v>
      </c>
      <c r="DZ40" s="146" t="n">
        <v>319.8</v>
      </c>
      <c r="EA40" s="146" t="n">
        <v>371</v>
      </c>
      <c r="EB40" s="146" t="n">
        <v>310</v>
      </c>
      <c r="EC40" s="63" t="n">
        <v>868750</v>
      </c>
      <c r="ED40" s="169" t="n">
        <v>0.229427</v>
      </c>
      <c r="EE40" s="64" t="n"/>
      <c r="EF40" s="60" t="inlineStr">
        <is>
          <t>Mechanism B</t>
        </is>
      </c>
      <c r="EG40" s="59" t="inlineStr">
        <is>
          <t>FINI (from 22/11/2023); 2025-08-04 pricing reform (Mechanism A/B; six-month cornerstone lock-up retained); this IPO: Mechanism B</t>
        </is>
      </c>
      <c r="EH40" t="inlineStr">
        <is>
          <t>诺比侃人工智能科技（成都）股份有限公司</t>
        </is>
      </c>
      <c r="EI40" s="174" t="inlineStr">
        <is>
          <t>Active</t>
        </is>
      </c>
      <c r="EJ40" s="175" t="n">
        <v>38.02</v>
      </c>
      <c r="EK40" s="176" t="n">
        <v>0.024798</v>
      </c>
      <c r="EL40" s="176" t="n">
        <v>3.7525</v>
      </c>
      <c r="EM40" s="176" t="n">
        <v>0.033205</v>
      </c>
      <c r="EN40" s="176" t="n">
        <v>0.049837</v>
      </c>
      <c r="EO40" s="179" t="n">
        <v>0.9919</v>
      </c>
      <c r="EP40" s="179" t="n">
        <v>0.9761</v>
      </c>
      <c r="EQ40" s="178" t="n">
        <v>33430765</v>
      </c>
      <c r="ER40" s="175" t="n">
        <v>13.9</v>
      </c>
      <c r="ES40" s="176" t="n">
        <v>-0.625337</v>
      </c>
      <c r="ET40" s="176" t="n">
        <v>0.7375</v>
      </c>
      <c r="EU40" s="176" t="n">
        <v>-0.094586</v>
      </c>
      <c r="EV40" s="176" t="n">
        <v>-0.198523</v>
      </c>
      <c r="EW40" s="179" t="n">
        <v>0.4138</v>
      </c>
      <c r="EX40" s="179" t="n">
        <v>0.4675</v>
      </c>
      <c r="EY40" s="178" t="n">
        <v>272414490</v>
      </c>
      <c r="EZ40" s="176" t="n">
        <v>1.213936</v>
      </c>
      <c r="FA40" s="176" t="n"/>
      <c r="FB40" s="179" t="n"/>
      <c r="FC40" s="176" t="n"/>
      <c r="FD40" s="179" t="n"/>
      <c r="FE40" s="174" t="inlineStr">
        <is>
          <t>Standard</t>
        </is>
      </c>
      <c r="FF40" s="181" t="n"/>
      <c r="FG40" s="185" t="n"/>
      <c r="FH40" s="183" t="n"/>
      <c r="FI40" s="178" t="n"/>
      <c r="FJ40" s="176" t="n"/>
      <c r="FK40" s="185" t="n"/>
      <c r="FL40" s="178" t="n"/>
      <c r="FM40" s="176" t="n"/>
      <c r="FN40" s="176" t="n"/>
      <c r="FO40" s="176" t="n"/>
      <c r="FP40" s="176" t="n"/>
      <c r="FQ40" s="176" t="n">
        <v>0.008085999999999999</v>
      </c>
      <c r="FR40" s="179" t="n">
        <v>1.0137</v>
      </c>
      <c r="FS40" s="176" t="n">
        <v>0.024798</v>
      </c>
      <c r="FT40" s="179" t="n">
        <v>0.9919</v>
      </c>
      <c r="FU40" s="176" t="n">
        <v>0.384097</v>
      </c>
      <c r="FV40" s="179" t="n">
        <v>1.4631</v>
      </c>
      <c r="FW40" s="179" t="n">
        <v>1.6121</v>
      </c>
      <c r="FX40" s="178" t="n">
        <v>36865958.14</v>
      </c>
      <c r="FY40" s="186" t="n">
        <v>0.001401798319327731</v>
      </c>
      <c r="FZ40" s="183" t="n">
        <v>0</v>
      </c>
      <c r="GA40" s="176" t="n">
        <v>0.09591063931818225</v>
      </c>
      <c r="GB40" s="176" t="n">
        <v>0.832933</v>
      </c>
      <c r="GC40" s="185" t="n"/>
      <c r="GD40" s="185" t="n"/>
      <c r="GE40" s="176" t="n"/>
      <c r="GF40" s="176" t="n"/>
      <c r="GG40" s="179" t="n"/>
      <c r="GH40" s="181" t="inlineStr">
        <is>
          <t>China International Capital Corporation Hong Kong Securities Limited</t>
        </is>
      </c>
      <c r="GI40" s="183" t="n">
        <v>1</v>
      </c>
      <c r="GJ40" s="183" t="n">
        <v>0</v>
      </c>
      <c r="GK40" s="176" t="n">
        <v>0.035</v>
      </c>
      <c r="GL40" s="176" t="n"/>
      <c r="GM40" s="176" t="n"/>
      <c r="GN40" s="183" t="n">
        <v>0</v>
      </c>
      <c r="GO40" s="183" t="n">
        <v>0</v>
      </c>
      <c r="GP40" s="183" t="n">
        <v>0</v>
      </c>
      <c r="GQ40" s="183" t="n">
        <v>25</v>
      </c>
      <c r="GR40" s="183" t="n">
        <v>1</v>
      </c>
      <c r="GS40" s="181" t="inlineStr">
        <is>
          <t>POST_FINI</t>
        </is>
      </c>
      <c r="GT40" s="181" t="inlineStr">
        <is>
          <t>POST_2025_REFORM</t>
        </is>
      </c>
    </row>
    <row r="41" ht="31.5" customFormat="1" customHeight="1" s="12">
      <c r="A41" s="60" t="n">
        <v>112</v>
      </c>
      <c r="B41" s="93" t="inlineStr">
        <is>
          <t>2661.HK</t>
        </is>
      </c>
      <c r="C41" s="59" t="inlineStr">
        <is>
          <t>QingSong Health Corporation</t>
        </is>
      </c>
      <c r="D41" s="149" t="n">
        <v>46006</v>
      </c>
      <c r="E41" s="95" t="n">
        <v>46014</v>
      </c>
      <c r="F41" s="60" t="inlineStr">
        <is>
          <t>China International Capital Corporation
Hong Kong Securities Limited /
China Merchants Securities (HK) Co., Limited</t>
        </is>
      </c>
      <c r="G41" s="60" t="inlineStr">
        <is>
          <t>Deloitte Touche Tohmatsu</t>
        </is>
      </c>
      <c r="H41" s="60" t="n"/>
      <c r="I41" s="150" t="n">
        <v>60192720</v>
      </c>
      <c r="J41" s="148" t="n">
        <v>541734480</v>
      </c>
      <c r="K41" s="151" t="n">
        <v>22.68</v>
      </c>
      <c r="L41" t="n">
        <v>206374209</v>
      </c>
      <c r="M41" s="98" t="n">
        <v>26540000</v>
      </c>
      <c r="N41" t="n">
        <v>179834209</v>
      </c>
      <c r="O41" t="n">
        <v>179834209</v>
      </c>
      <c r="P41" t="n">
        <v>0</v>
      </c>
      <c r="Q41" t="n">
        <v>26540000</v>
      </c>
      <c r="R41" s="98" t="n">
        <v>23886000</v>
      </c>
      <c r="S41" s="98" t="n">
        <v>2654000</v>
      </c>
      <c r="T41" s="152" t="n">
        <v>22.68</v>
      </c>
      <c r="U41" s="152" t="n">
        <v>22.68</v>
      </c>
      <c r="V41" s="169" t="n">
        <v>0</v>
      </c>
      <c r="W41" s="169" t="n">
        <v>0</v>
      </c>
      <c r="X41" s="170" t="inlineStr">
        <is>
          <t>Fixed price</t>
        </is>
      </c>
      <c r="Y41" s="26" t="inlineStr">
        <is>
          <t>RMB</t>
        </is>
      </c>
      <c r="Z41" s="137" t="n">
        <v>706428000</v>
      </c>
      <c r="AA41" s="137" t="n">
        <v>689229000</v>
      </c>
      <c r="AB41" s="137" t="n">
        <v>636623000</v>
      </c>
      <c r="AC41" s="137" t="n">
        <v>-1197920000</v>
      </c>
      <c r="AD41" s="137" t="n">
        <v>-1218546000</v>
      </c>
      <c r="AE41" s="137" t="n">
        <v>-1131297000</v>
      </c>
      <c r="AF41" s="137" t="n">
        <v>1904348000</v>
      </c>
      <c r="AG41" s="137" t="n">
        <v>1907775000</v>
      </c>
      <c r="AH41" s="137" t="n">
        <v>1767920000</v>
      </c>
      <c r="AI41" s="137" t="n">
        <v>489961000</v>
      </c>
      <c r="AJ41" s="137" t="n">
        <v>945006000</v>
      </c>
      <c r="AK41" s="137" t="n">
        <v>1312178000</v>
      </c>
      <c r="AL41" s="137" t="n">
        <v>104535000</v>
      </c>
      <c r="AM41" s="137" t="n">
        <v>7380000</v>
      </c>
      <c r="AN41" s="137" t="n">
        <v>173548000</v>
      </c>
      <c r="AO41" s="137" t="n">
        <v>73616000</v>
      </c>
      <c r="AP41" s="137" t="n">
        <v>10398000</v>
      </c>
      <c r="AQ41" s="137" t="n">
        <v>172090000</v>
      </c>
      <c r="AR41" s="153" t="n">
        <v>0.035</v>
      </c>
      <c r="AS41" s="153" t="n">
        <v>0.035</v>
      </c>
      <c r="AT41" s="101" t="n">
        <v>0.15</v>
      </c>
      <c r="AU41" s="102" t="inlineStr">
        <is>
          <t>Healthcare-related and insurance-related solutions in China (digital integrated healthcare and health insurance services)</t>
        </is>
      </c>
      <c r="AV41" s="102" t="inlineStr">
        <is>
          <t>Main Board (general eligibility; no Chapter 18A/18C specialist regime disclosed)</t>
        </is>
      </c>
      <c r="AW41" s="154" t="n">
        <v>45838</v>
      </c>
      <c r="AX41" s="137" t="n">
        <v>52446000</v>
      </c>
      <c r="AY41" s="117" t="n">
        <v>315335000</v>
      </c>
      <c r="AZ41" s="117" t="n">
        <v>35370000</v>
      </c>
      <c r="BA41" s="117" t="inlineStr">
        <is>
          <t>NaN</t>
        </is>
      </c>
      <c r="BB41" s="155" t="n">
        <v>0.659</v>
      </c>
      <c r="BC41" s="139" t="n">
        <v>0.5</v>
      </c>
      <c r="BD41" s="80" t="n">
        <v>1</v>
      </c>
      <c r="BE41" t="n">
        <v>1</v>
      </c>
      <c r="BF41" t="n">
        <v>1</v>
      </c>
      <c r="BG41" t="n">
        <v>1</v>
      </c>
      <c r="BH41" t="inlineStr">
        <is>
          <t>NaN</t>
        </is>
      </c>
      <c r="BI41" t="n">
        <v>1</v>
      </c>
      <c r="BJ41" t="inlineStr">
        <is>
          <t>IDG China Media Fund II L.P.; IDG China Capital Fund III L.P.; IDG China Capital III Investors L.P.; Sunshine Life Insurance Corporation Limited; DT Global Consumer Investment Company Limited; TDH Venture Capital Investment Limited; Genesis Premium Holdings Limited; Grand Path Ventures Limited; CE FINTECH I LIMITED PARTNERSHIP; Chinese Rose Investment Limited</t>
        </is>
      </c>
      <c r="BK41" t="n">
        <v>0.5548</v>
      </c>
      <c r="BL41" t="n">
        <v>1</v>
      </c>
      <c r="BM41" t="inlineStr">
        <is>
          <t>Series A Investments</t>
        </is>
      </c>
      <c r="BN41" t="n">
        <v>10.69</v>
      </c>
      <c r="BO41" s="102" t="inlineStr">
        <is>
          <t>Natural person (Ms. YANG Yin, founder and ultimate controlling shareholder)</t>
        </is>
      </c>
      <c r="BP41" s="156" t="n">
        <v>0.2085</v>
      </c>
      <c r="BQ41" s="156" t="n">
        <v>0.3394</v>
      </c>
      <c r="BR41" s="137" t="n">
        <v>1628902000</v>
      </c>
      <c r="BS41" s="102" t="inlineStr">
        <is>
          <t>Commercialised (AIcare technology stack deployed across healthcare and insurance services)</t>
        </is>
      </c>
      <c r="BT41" s="153" t="n">
        <v>0</v>
      </c>
      <c r="BU41" s="60" t="inlineStr">
        <is>
          <t>Main Board</t>
        </is>
      </c>
      <c r="BV41" s="89" t="inlineStr">
        <is>
          <t>Ordinary Shares</t>
        </is>
      </c>
      <c r="BW41" s="61" t="n">
        <v>0</v>
      </c>
      <c r="BX41" s="77" t="n">
        <v>0</v>
      </c>
      <c r="BY41" s="77" t="n">
        <v>0</v>
      </c>
      <c r="BZ41" s="78" t="n">
        <v>0</v>
      </c>
      <c r="CA41" s="60" t="inlineStr">
        <is>
          <t>235010</t>
        </is>
      </c>
      <c r="CB41" s="76" t="inlineStr">
        <is>
          <t>HSICS (Hang Seng Industry Classification System) 2026</t>
        </is>
      </c>
      <c r="CC41" s="140" t="n">
        <v>41955</v>
      </c>
      <c r="CD41" s="171" t="n">
        <v>11.11</v>
      </c>
      <c r="CE41" s="76" t="inlineStr">
        <is>
          <t>Cayman Islands</t>
        </is>
      </c>
      <c r="CF41" s="89" t="inlineStr">
        <is>
          <t>Beijing, PRC</t>
        </is>
      </c>
      <c r="CG41" s="91" t="n"/>
      <c r="CH41" s="60" t="inlineStr">
        <is>
          <t>IFRS Accounting Standards</t>
        </is>
      </c>
      <c r="CI41" s="141" t="n">
        <v>44927</v>
      </c>
      <c r="CJ41" s="141" t="n">
        <v>45291</v>
      </c>
      <c r="CK41" s="141" t="n">
        <v>45292</v>
      </c>
      <c r="CL41" s="141" t="n">
        <v>45657</v>
      </c>
      <c r="CM41" s="141" t="n">
        <v>45658</v>
      </c>
      <c r="CN41" s="64" t="n">
        <v>656089000</v>
      </c>
      <c r="CO41" s="64" t="n">
        <v>86774000</v>
      </c>
      <c r="CP41" s="64" t="n">
        <v>86045000</v>
      </c>
      <c r="CQ41" s="141" t="n">
        <v>46006</v>
      </c>
      <c r="CR41" s="141" t="n">
        <v>46009</v>
      </c>
      <c r="CS41" s="63" t="n">
        <v>206374209</v>
      </c>
      <c r="CT41" s="64" t="n">
        <v>213215000</v>
      </c>
      <c r="CU41" s="64" t="n">
        <v>153000</v>
      </c>
      <c r="CV41" s="59" t="inlineStr">
        <is>
          <t>Unqualified opinion</t>
        </is>
      </c>
      <c r="CW41" s="64" t="n">
        <v>88500000</v>
      </c>
      <c r="CX41" s="102" t="inlineStr">
        <is>
          <t>Guangdong-Macao In-Depth Cooperation Zone In Hengqin Aoqin Heming Investment Partnership (Limited Partnership)</t>
        </is>
      </c>
      <c r="CY41" s="153" t="n">
        <v>0.1809</v>
      </c>
      <c r="CZ41" s="154" t="n">
        <v>46196</v>
      </c>
      <c r="DA41" s="143" t="n">
        <v>1421.47</v>
      </c>
      <c r="DB41" s="63" t="n">
        <v>111894</v>
      </c>
      <c r="DC41" s="63" t="n">
        <v>3772577400</v>
      </c>
      <c r="DD41" s="59" t="inlineStr">
        <is>
          <t>Subscription level 1,421.47 times</t>
        </is>
      </c>
      <c r="DE41" s="141" t="inlineStr">
        <is>
          <t>NA</t>
        </is>
      </c>
      <c r="DF41" s="141" t="n">
        <v>46013</v>
      </c>
      <c r="DG41" s="63" t="n">
        <v>26540000</v>
      </c>
      <c r="DH41" s="63" t="n">
        <v>2654000</v>
      </c>
      <c r="DI41" s="63" t="n">
        <v>23886000</v>
      </c>
      <c r="DJ41" s="63" t="n">
        <v>0</v>
      </c>
      <c r="DK41" s="169" t="n">
        <v>0</v>
      </c>
      <c r="DL41" s="59" t="inlineStr">
        <is>
          <t>No Offer Shares reallocated from the International Offering to the Hong Kong Public Offering (reallocation 0); Hong Kong Public Offering remained at its initial 2,654,000 Offer Shares (10% of the Global Offering).</t>
        </is>
      </c>
      <c r="DM41" s="157" t="n">
        <v>513420000</v>
      </c>
      <c r="DN41" s="153" t="n">
        <v>0.3794</v>
      </c>
      <c r="DO41" s="102" t="n">
        <v>206374209</v>
      </c>
      <c r="DP41" s="153" t="n">
        <v>0.1053</v>
      </c>
      <c r="DQ41" s="59" t="inlineStr">
        <is>
          <t>Free float denominator = total issued shares upon listing (col_CZ); numerator = offer shares minus cornerstone allocation</t>
        </is>
      </c>
      <c r="DR41" s="63" t="n">
        <v>206374209</v>
      </c>
      <c r="DS41" s="153" t="n">
        <v>-0.02241689</v>
      </c>
      <c r="DT41" s="80" t="n">
        <v>38</v>
      </c>
      <c r="DU41" s="153" t="n">
        <v>0.0303952</v>
      </c>
      <c r="DV41" s="157" t="n">
        <v>53903000000</v>
      </c>
      <c r="DW41" s="158" t="n">
        <v>58.7</v>
      </c>
      <c r="DX41" s="169" t="n">
        <v>1.588183</v>
      </c>
      <c r="DY41" s="172" t="n">
        <v>955970800</v>
      </c>
      <c r="DZ41" s="146" t="n">
        <v>50</v>
      </c>
      <c r="EA41" s="146" t="n">
        <v>59.8</v>
      </c>
      <c r="EB41" s="146" t="n">
        <v>49</v>
      </c>
      <c r="EC41" s="63" t="n">
        <v>6239600</v>
      </c>
      <c r="ED41" s="169" t="n">
        <v>0.235102</v>
      </c>
      <c r="EE41" s="64" t="n"/>
      <c r="EF41" s="60" t="inlineStr">
        <is>
          <t>Mechanism B</t>
        </is>
      </c>
      <c r="EG41" s="59" t="inlineStr">
        <is>
          <t>FINI (from 22/11/2023); 2025-08-04 pricing reform (Mechanism A/B; six-month cornerstone lock-up retained); this IPO: Mechanism B</t>
        </is>
      </c>
      <c r="EH41" t="inlineStr">
        <is>
          <t>轻松健康集团</t>
        </is>
      </c>
      <c r="EI41" s="174" t="inlineStr">
        <is>
          <t>Active</t>
        </is>
      </c>
      <c r="EJ41" s="175" t="n">
        <v>106.7</v>
      </c>
      <c r="EK41" s="176" t="n">
        <v>0.817717</v>
      </c>
      <c r="EL41" s="176" t="n">
        <v>3.704586</v>
      </c>
      <c r="EM41" s="176" t="n">
        <v>0.033205</v>
      </c>
      <c r="EN41" s="176" t="n">
        <v>0.049837</v>
      </c>
      <c r="EO41" s="179" t="n">
        <v>1.7593</v>
      </c>
      <c r="EP41" s="179" t="n">
        <v>1.7314</v>
      </c>
      <c r="EQ41" s="178" t="n">
        <v>53202150</v>
      </c>
      <c r="ER41" s="175" t="n">
        <v>13.96</v>
      </c>
      <c r="ES41" s="176" t="n">
        <v>-0.762181</v>
      </c>
      <c r="ET41" s="176" t="n">
        <v>-0.38448</v>
      </c>
      <c r="EU41" s="176" t="n">
        <v>-0.094586</v>
      </c>
      <c r="EV41" s="176" t="n">
        <v>-0.198523</v>
      </c>
      <c r="EW41" s="179" t="n">
        <v>0.2627</v>
      </c>
      <c r="EX41" s="179" t="n">
        <v>0.2967</v>
      </c>
      <c r="EY41" s="178" t="n">
        <v>207055405</v>
      </c>
      <c r="EZ41" s="176" t="n">
        <v>0.646712</v>
      </c>
      <c r="FA41" s="176" t="n"/>
      <c r="FB41" s="179" t="n"/>
      <c r="FC41" s="176" t="n"/>
      <c r="FD41" s="179" t="n"/>
      <c r="FE41" s="174" t="inlineStr">
        <is>
          <t>Standard</t>
        </is>
      </c>
      <c r="FF41" s="181" t="n"/>
      <c r="FG41" s="185" t="n"/>
      <c r="FH41" s="183" t="n"/>
      <c r="FI41" s="178" t="n"/>
      <c r="FJ41" s="176" t="n"/>
      <c r="FK41" s="185" t="n"/>
      <c r="FL41" s="178" t="n"/>
      <c r="FM41" s="176" t="n"/>
      <c r="FN41" s="176" t="n"/>
      <c r="FO41" s="176" t="n"/>
      <c r="FP41" s="176" t="n"/>
      <c r="FQ41" s="176" t="n">
        <v>0.167802</v>
      </c>
      <c r="FR41" s="179" t="n">
        <v>1.1743</v>
      </c>
      <c r="FS41" s="176" t="n">
        <v>0.817717</v>
      </c>
      <c r="FT41" s="179" t="n">
        <v>1.7593</v>
      </c>
      <c r="FU41" s="176" t="n">
        <v>1.459966</v>
      </c>
      <c r="FV41" s="179" t="n">
        <v>2.6004</v>
      </c>
      <c r="FW41" s="179" t="n">
        <v>2.8653</v>
      </c>
      <c r="FX41" s="178" t="n">
        <v>49985313.56</v>
      </c>
      <c r="FY41" s="186" t="n">
        <v>0.0008532941176470588</v>
      </c>
      <c r="FZ41" s="183" t="n">
        <v>0</v>
      </c>
      <c r="GA41" s="176" t="n">
        <v>0.1718465663008416</v>
      </c>
      <c r="GB41" s="176" t="n">
        <v>0.927597</v>
      </c>
      <c r="GC41" s="185" t="n"/>
      <c r="GD41" s="185" t="n"/>
      <c r="GE41" s="176" t="n"/>
      <c r="GF41" s="176" t="n"/>
      <c r="GG41" s="179" t="n"/>
      <c r="GH41" s="181" t="inlineStr">
        <is>
          <t>China International Capital Corporation Hong Kong Securities Limited</t>
        </is>
      </c>
      <c r="GI41" s="183" t="n">
        <v>2</v>
      </c>
      <c r="GJ41" s="183" t="n">
        <v>0</v>
      </c>
      <c r="GK41" s="176" t="n">
        <v>0.035</v>
      </c>
      <c r="GL41" s="176" t="n"/>
      <c r="GM41" s="176" t="n"/>
      <c r="GN41" s="183" t="n">
        <v>1</v>
      </c>
      <c r="GO41" s="183" t="n">
        <v>1</v>
      </c>
      <c r="GP41" s="183" t="n">
        <v>0</v>
      </c>
      <c r="GQ41" s="183" t="n">
        <v>10</v>
      </c>
      <c r="GR41" s="183" t="n">
        <v>1</v>
      </c>
      <c r="GS41" s="181" t="inlineStr">
        <is>
          <t>POST_FINI</t>
        </is>
      </c>
      <c r="GT41" s="181" t="inlineStr">
        <is>
          <t>POST_2025_REFORM</t>
        </is>
      </c>
    </row>
    <row r="42" ht="17.25" customFormat="1" customHeight="1" s="12">
      <c r="A42" s="60" t="n">
        <v>110</v>
      </c>
      <c r="B42" s="93" t="inlineStr">
        <is>
          <t>3378.HK</t>
        </is>
      </c>
      <c r="C42" s="59" t="inlineStr">
        <is>
          <t>Hanx Biopharmaceuticals (Wuhan) Co., Ltd.
- B - H shares</t>
        </is>
      </c>
      <c r="D42" s="149" t="n">
        <v>46006</v>
      </c>
      <c r="E42" s="95" t="n">
        <v>46014</v>
      </c>
      <c r="F42" s="60" t="inlineStr">
        <is>
          <t>ICBC International Capital Limited</t>
        </is>
      </c>
      <c r="G42" s="60" t="inlineStr">
        <is>
          <t>Ernst &amp; Young</t>
        </is>
      </c>
      <c r="H42" s="60" t="n"/>
      <c r="I42" s="150" t="n">
        <v>58627200</v>
      </c>
      <c r="J42" s="148" t="n">
        <v>527644800</v>
      </c>
      <c r="K42" s="151" t="n">
        <v>32</v>
      </c>
      <c r="L42" t="n">
        <v>136218830</v>
      </c>
      <c r="M42" s="98" t="n">
        <v>18321000</v>
      </c>
      <c r="N42" t="n">
        <v>117897830</v>
      </c>
      <c r="O42" t="n">
        <v>117897830</v>
      </c>
      <c r="P42" t="n">
        <v>0</v>
      </c>
      <c r="Q42" t="n">
        <v>18321000</v>
      </c>
      <c r="R42" s="98" t="n">
        <v>16488900</v>
      </c>
      <c r="S42" s="98" t="n">
        <v>1832100</v>
      </c>
      <c r="T42" s="152" t="n">
        <v>32</v>
      </c>
      <c r="U42" s="152" t="n">
        <v>28</v>
      </c>
      <c r="V42" s="169" t="n">
        <v>0.066667</v>
      </c>
      <c r="W42" s="169" t="n">
        <v>0.133333</v>
      </c>
      <c r="X42" s="170" t="inlineStr">
        <is>
          <t>At high</t>
        </is>
      </c>
      <c r="Y42" s="26" t="inlineStr">
        <is>
          <t>RMB</t>
        </is>
      </c>
      <c r="Z42" s="137" t="n">
        <v>586240000</v>
      </c>
      <c r="AA42" s="137" t="n">
        <v>501471000</v>
      </c>
      <c r="AB42" s="137" t="n">
        <v>444298000</v>
      </c>
      <c r="AC42" s="137" t="n">
        <v>319581000</v>
      </c>
      <c r="AD42" s="137" t="n">
        <v>216604000</v>
      </c>
      <c r="AE42" s="137" t="n">
        <v>144791000</v>
      </c>
      <c r="AF42" s="137" t="n">
        <v>266659000</v>
      </c>
      <c r="AG42" s="137" t="n">
        <v>284867000</v>
      </c>
      <c r="AH42" s="137" t="n">
        <v>299507000</v>
      </c>
      <c r="AI42" s="137" t="n">
        <v>0</v>
      </c>
      <c r="AJ42" s="137" t="n">
        <v>0</v>
      </c>
      <c r="AK42" s="137" t="n">
        <v>0</v>
      </c>
      <c r="AL42" s="137" t="n">
        <v>-93423000</v>
      </c>
      <c r="AM42" s="137" t="n">
        <v>-122820000</v>
      </c>
      <c r="AN42" s="137" t="n">
        <v>-149899500</v>
      </c>
      <c r="AO42" s="137" t="n">
        <v>-85160000</v>
      </c>
      <c r="AP42" s="137" t="n">
        <v>-116922000</v>
      </c>
      <c r="AQ42" s="137" t="n">
        <v>-131157000</v>
      </c>
      <c r="AR42" s="153" t="n">
        <v>0.024</v>
      </c>
      <c r="AS42" s="153" t="n">
        <v>0.024</v>
      </c>
      <c r="AT42" s="101" t="n">
        <v>0.15</v>
      </c>
      <c r="AU42" s="102" t="inlineStr">
        <is>
          <t>Innovative biotech company developing next-generation immunotherapeutics (immuno-oncology); pipeline incl. Core Product HX009, HX301 and HX044; no products approved for commercial sale</t>
        </is>
      </c>
      <c r="AV42" s="102" t="inlineStr">
        <is>
          <t>Main Board, Chapter 18A of the Listing Rules (biotech company)</t>
        </is>
      </c>
      <c r="AW42" s="154" t="n">
        <v>45900</v>
      </c>
      <c r="AX42" s="137" t="n">
        <v>-59390000</v>
      </c>
      <c r="AY42" s="117" t="n">
        <v>150000000</v>
      </c>
      <c r="AZ42" s="117" t="n">
        <v>56178000</v>
      </c>
      <c r="BA42" s="117" t="n">
        <v>0</v>
      </c>
      <c r="BB42" s="155" t="inlineStr">
        <is>
          <t>NaN</t>
        </is>
      </c>
      <c r="BC42" s="139" t="n">
        <v>0.666667</v>
      </c>
      <c r="BD42" s="80" t="n">
        <v>1</v>
      </c>
      <c r="BE42" t="n">
        <v>1</v>
      </c>
      <c r="BF42" t="n">
        <v>1</v>
      </c>
      <c r="BG42" t="inlineStr">
        <is>
          <t>NaN</t>
        </is>
      </c>
      <c r="BH42" t="n">
        <v>1</v>
      </c>
      <c r="BI42" t="inlineStr">
        <is>
          <t>NaN</t>
        </is>
      </c>
      <c r="BJ42" t="inlineStr">
        <is>
          <t>Beijing Lapam Biopharmaceutical Venture Capital Center (Limited Partnership); Hangzhou Hongye Ruiji Investment Partnership (Limited Partnership); Betta Pharmaceuticals Co., Ltd.; Wuhan Donggaorensi Equity Investment Partnership (Limited Partnership); Hangzhou Taikun Equity Investment Fund Partnership (Limited Partnership); Tibet Lapam Small and Medium Enterprise Development Fund Equity Investment Partnership (Limited Partnership); Lapam Capital HK Co., Limited; Hainan Yangtze; Yangtze Hong Kong; Xiao Jieyu; Liao Tong; Zou Zhiyong</t>
        </is>
      </c>
      <c r="BK42" t="n">
        <v>0.4324</v>
      </c>
      <c r="BL42" t="n">
        <v>1</v>
      </c>
      <c r="BM42" t="inlineStr">
        <is>
          <t>Series A</t>
        </is>
      </c>
      <c r="BN42" t="n">
        <v>8.94</v>
      </c>
      <c r="BO42" s="102" t="inlineStr">
        <is>
          <t>Natural person (Dr. Zhang Faming)</t>
        </is>
      </c>
      <c r="BP42" s="156" t="n">
        <v>0.5575</v>
      </c>
      <c r="BQ42" s="156" t="n">
        <v>0.5575</v>
      </c>
      <c r="BR42" s="137" t="n">
        <v>199147000</v>
      </c>
      <c r="BS42" s="102" t="inlineStr">
        <is>
          <t>Clinical stage development; no products approved for commercial sale</t>
        </is>
      </c>
      <c r="BT42" s="153" t="n">
        <v>0</v>
      </c>
      <c r="BU42" s="60" t="inlineStr">
        <is>
          <t>Main Board</t>
        </is>
      </c>
      <c r="BV42" s="89" t="inlineStr">
        <is>
          <t>H Shares</t>
        </is>
      </c>
      <c r="BW42" s="61" t="n">
        <v>0</v>
      </c>
      <c r="BX42" s="77" t="n">
        <v>0</v>
      </c>
      <c r="BY42" s="77" t="n">
        <v>1</v>
      </c>
      <c r="BZ42" s="78" t="n">
        <v>0</v>
      </c>
      <c r="CA42" s="60" t="inlineStr">
        <is>
          <t>281020</t>
        </is>
      </c>
      <c r="CB42" s="76" t="inlineStr">
        <is>
          <t>HSICS (Hang Seng Industry Classification System) 2026</t>
        </is>
      </c>
      <c r="CC42" s="140" t="n">
        <v>41992</v>
      </c>
      <c r="CD42" s="171" t="n">
        <v>11.01</v>
      </c>
      <c r="CE42" s="76" t="inlineStr">
        <is>
          <t>PRC</t>
        </is>
      </c>
      <c r="CF42" s="89" t="inlineStr">
        <is>
          <t>Wuhan, Hubei Province, the PRC</t>
        </is>
      </c>
      <c r="CG42" s="91" t="n"/>
      <c r="CH42" s="60" t="inlineStr">
        <is>
          <t>HKFRSs (Hong Kong Financial Reporting Standards)</t>
        </is>
      </c>
      <c r="CI42" s="141" t="n">
        <v>44927</v>
      </c>
      <c r="CJ42" s="141" t="n">
        <v>45291</v>
      </c>
      <c r="CK42" s="141" t="n">
        <v>45292</v>
      </c>
      <c r="CL42" s="141" t="n">
        <v>45657</v>
      </c>
      <c r="CM42" s="141" t="n">
        <v>45658</v>
      </c>
      <c r="CN42" s="64" t="n">
        <v>0</v>
      </c>
      <c r="CO42" s="64" t="n">
        <v>-99933000</v>
      </c>
      <c r="CP42" s="64" t="n">
        <v>-87438000</v>
      </c>
      <c r="CQ42" s="141" t="n">
        <v>46006</v>
      </c>
      <c r="CR42" s="141" t="n">
        <v>46009</v>
      </c>
      <c r="CS42" s="63" t="n">
        <v>136218830</v>
      </c>
      <c r="CT42" s="64" t="inlineStr">
        <is>
          <t>NaN</t>
        </is>
      </c>
      <c r="CU42" s="64" t="n">
        <v>464000</v>
      </c>
      <c r="CV42" s="59" t="inlineStr">
        <is>
          <t>Unqualified opinion</t>
        </is>
      </c>
      <c r="CW42" s="64" t="n">
        <v>53500000</v>
      </c>
      <c r="CX42" s="102" t="inlineStr">
        <is>
          <t>Fund Resources Investment Holding Group Company Limited; Sage Partners Master Fund; Guotai Junan Investments (Hong Kong) Limited (in connection with the Kunyang OTC Swaps); TFI Investment Fund SPC (acting for and on behalf of its segregated portfolio, TFI Lakeside SP); Main Source Capital Limited; YStem Holding Limited; Awaken Thunder Capital Limited</t>
        </is>
      </c>
      <c r="CY42" s="153" t="n">
        <v>0.1593</v>
      </c>
      <c r="CZ42" s="154" t="n">
        <v>46196</v>
      </c>
      <c r="DA42" s="143" t="n">
        <v>3074.09</v>
      </c>
      <c r="DB42" s="63" t="n">
        <v>139704</v>
      </c>
      <c r="DC42" s="63" t="n">
        <v>5632031400</v>
      </c>
      <c r="DD42" s="59" t="inlineStr">
        <is>
          <t>Subscription level 3,074.09 times</t>
        </is>
      </c>
      <c r="DE42" s="141" t="n">
        <v>46010</v>
      </c>
      <c r="DF42" s="141" t="n">
        <v>46013</v>
      </c>
      <c r="DG42" s="63" t="n">
        <v>18321000</v>
      </c>
      <c r="DH42" s="63" t="n">
        <v>1832100</v>
      </c>
      <c r="DI42" s="63" t="n">
        <v>16488900</v>
      </c>
      <c r="DJ42" s="63" t="n">
        <v>0</v>
      </c>
      <c r="DK42" s="169" t="n">
        <v>0</v>
      </c>
      <c r="DL42" s="59" t="inlineStr">
        <is>
          <t>Claw-back triggered: Nil; the final Hong Kong Public Offering remained at the initial 1,832,100 Offer Shares (10.00% of the Global Offering)</t>
        </is>
      </c>
      <c r="DM42" s="157" t="n">
        <v>531300000</v>
      </c>
      <c r="DN42" s="153" t="n">
        <v>0.3334</v>
      </c>
      <c r="DO42" s="102" t="n">
        <v>136218830</v>
      </c>
      <c r="DP42" s="153" t="n">
        <v>0.1131</v>
      </c>
      <c r="DQ42" s="59" t="inlineStr">
        <is>
          <t>Free float denominator = total number of 136,218,830 H Shares in issue upon Listing (col_CZ); numerator = global offering shares 18,321,000 minus cornerstone allocation 2,917,800</t>
        </is>
      </c>
      <c r="DR42" s="63" t="n">
        <v>136218830</v>
      </c>
      <c r="DS42" s="153" t="n">
        <v>-0.02241689</v>
      </c>
      <c r="DT42" s="80" t="n">
        <v>38</v>
      </c>
      <c r="DU42" s="153" t="n">
        <v>0.0303952</v>
      </c>
      <c r="DV42" s="157" t="n">
        <v>53903000000</v>
      </c>
      <c r="DW42" s="158" t="n">
        <v>17.2</v>
      </c>
      <c r="DX42" s="169" t="n">
        <v>-0.4625</v>
      </c>
      <c r="DY42" s="172" t="n">
        <v>-271150800</v>
      </c>
      <c r="DZ42" s="146" t="n">
        <v>28.9</v>
      </c>
      <c r="EA42" s="146" t="n">
        <v>29.48</v>
      </c>
      <c r="EB42" s="146" t="n">
        <v>17.2</v>
      </c>
      <c r="EC42" s="63" t="n">
        <v>9903100</v>
      </c>
      <c r="ED42" s="169" t="n">
        <v>0.540533</v>
      </c>
      <c r="EE42" s="64" t="n"/>
      <c r="EF42" s="60" t="inlineStr">
        <is>
          <t>Mechanism B</t>
        </is>
      </c>
      <c r="EG42" s="59" t="inlineStr">
        <is>
          <t>FINI (from 22/11/2023); 2025-08-04 pricing reform (Mechanism A/B; six-month cornerstone lock-up retained); this IPO: Mechanism B</t>
        </is>
      </c>
      <c r="EH42" t="inlineStr">
        <is>
          <t>翰思艾泰生物医药科技(武汉)股份有限公司</t>
        </is>
      </c>
      <c r="EI42" s="174" t="inlineStr">
        <is>
          <t>Active</t>
        </is>
      </c>
      <c r="EJ42" s="175" t="n">
        <v>17.1</v>
      </c>
      <c r="EK42" s="176" t="n">
        <v>-0.005814</v>
      </c>
      <c r="EL42" s="176" t="n">
        <v>-0.465625</v>
      </c>
      <c r="EM42" s="176" t="n">
        <v>0.033205</v>
      </c>
      <c r="EN42" s="176" t="n">
        <v>0.049837</v>
      </c>
      <c r="EO42" s="179" t="n">
        <v>0.9622000000000001</v>
      </c>
      <c r="EP42" s="179" t="n">
        <v>0.947</v>
      </c>
      <c r="EQ42" s="178" t="n">
        <v>17296890</v>
      </c>
      <c r="ER42" s="175" t="n">
        <v>26.62</v>
      </c>
      <c r="ES42" s="176" t="n">
        <v>0.547674</v>
      </c>
      <c r="ET42" s="176" t="n">
        <v>-0.168125</v>
      </c>
      <c r="EU42" s="176" t="n">
        <v>-0.094586</v>
      </c>
      <c r="EV42" s="176" t="n">
        <v>-0.198523</v>
      </c>
      <c r="EW42" s="179" t="n">
        <v>1.7094</v>
      </c>
      <c r="EX42" s="179" t="n">
        <v>1.931</v>
      </c>
      <c r="EY42" s="178" t="n">
        <v>2421138.5</v>
      </c>
      <c r="EZ42" s="176" t="n">
        <v>0.010443</v>
      </c>
      <c r="FA42" s="176" t="n"/>
      <c r="FB42" s="179" t="n"/>
      <c r="FC42" s="176" t="n"/>
      <c r="FD42" s="179" t="n"/>
      <c r="FE42" s="174" t="inlineStr">
        <is>
          <t>18A (Biotech / B-tag)</t>
        </is>
      </c>
      <c r="FF42" s="181" t="n"/>
      <c r="FG42" s="185" t="n"/>
      <c r="FH42" s="183" t="n"/>
      <c r="FI42" s="178" t="n"/>
      <c r="FJ42" s="176" t="n"/>
      <c r="FK42" s="185" t="n"/>
      <c r="FL42" s="178" t="n"/>
      <c r="FM42" s="176" t="n"/>
      <c r="FN42" s="176" t="n"/>
      <c r="FO42" s="176" t="n"/>
      <c r="FP42" s="176" t="n"/>
      <c r="FQ42" s="176" t="n">
        <v>-0.07093000000000001</v>
      </c>
      <c r="FR42" s="179" t="n">
        <v>0.9343</v>
      </c>
      <c r="FS42" s="176" t="n">
        <v>-0.005814</v>
      </c>
      <c r="FT42" s="179" t="n">
        <v>0.9622000000000001</v>
      </c>
      <c r="FU42" s="176" t="n">
        <v>0.461628</v>
      </c>
      <c r="FV42" s="179" t="n">
        <v>1.5451</v>
      </c>
      <c r="FW42" s="179" t="n">
        <v>1.7024</v>
      </c>
      <c r="FX42" s="178" t="n">
        <v>7652409.32</v>
      </c>
      <c r="FY42" s="186" t="n">
        <v>0.009838100840336135</v>
      </c>
      <c r="FZ42" s="183" t="n">
        <v>0</v>
      </c>
      <c r="GA42" s="176" t="n">
        <v>0.05931054951617062</v>
      </c>
      <c r="GB42" s="176" t="n">
        <v>0.506445</v>
      </c>
      <c r="GC42" s="185" t="n"/>
      <c r="GD42" s="185" t="n"/>
      <c r="GE42" s="176" t="n"/>
      <c r="GF42" s="176" t="n"/>
      <c r="GG42" s="179" t="n"/>
      <c r="GH42" s="181" t="inlineStr">
        <is>
          <t>ICBC International Capital Limited</t>
        </is>
      </c>
      <c r="GI42" s="183" t="n">
        <v>1</v>
      </c>
      <c r="GJ42" s="183" t="n">
        <v>1</v>
      </c>
      <c r="GK42" s="176" t="n">
        <v>0.024</v>
      </c>
      <c r="GL42" s="176" t="n"/>
      <c r="GM42" s="176" t="n"/>
      <c r="GN42" s="183" t="n">
        <v>8</v>
      </c>
      <c r="GO42" s="183" t="n">
        <v>1</v>
      </c>
      <c r="GP42" s="183" t="n">
        <v>0</v>
      </c>
      <c r="GQ42" s="183" t="n">
        <v>14</v>
      </c>
      <c r="GR42" s="183" t="n">
        <v>1</v>
      </c>
      <c r="GS42" s="181" t="inlineStr">
        <is>
          <t>POST_FINI</t>
        </is>
      </c>
      <c r="GT42" s="181" t="inlineStr">
        <is>
          <t>POST_2025_REFORM</t>
        </is>
      </c>
    </row>
    <row r="43" ht="17.25" customFormat="1" customHeight="1" s="12">
      <c r="A43" s="60" t="n">
        <v>116</v>
      </c>
      <c r="B43" s="93" t="inlineStr">
        <is>
          <t>2657.HK</t>
        </is>
      </c>
      <c r="C43" s="59" t="inlineStr">
        <is>
          <t>SHANGHAI FOREST CABIN COSMETICS GROUP CO., LTD. - H shares</t>
        </is>
      </c>
      <c r="D43" s="149" t="n">
        <v>46009</v>
      </c>
      <c r="E43" s="95" t="n">
        <v>46021</v>
      </c>
      <c r="F43" s="60" t="inlineStr">
        <is>
          <t>CITIC Securities (Hong Kong) Limited / 
Huatai Financial Holdings (Hong Kong) Limited</t>
        </is>
      </c>
      <c r="G43" s="60" t="inlineStr">
        <is>
          <t>Ernst &amp; Young</t>
        </is>
      </c>
      <c r="H43" s="60" t="n"/>
      <c r="I43" s="150" t="n">
        <v>108617470.5</v>
      </c>
      <c r="J43" s="148" t="n">
        <v>1140477607.5</v>
      </c>
      <c r="K43" s="151" t="n">
        <v>77.77</v>
      </c>
      <c r="L43" t="n">
        <v>139664285</v>
      </c>
      <c r="M43" s="98" t="n">
        <v>13966450</v>
      </c>
      <c r="N43" t="n">
        <v>125697835</v>
      </c>
      <c r="O43" t="n">
        <v>125697835</v>
      </c>
      <c r="P43" t="n">
        <v>0</v>
      </c>
      <c r="Q43" t="n">
        <v>13966450</v>
      </c>
      <c r="R43" s="98" t="n">
        <v>12569800</v>
      </c>
      <c r="S43" s="98" t="n">
        <v>1396650</v>
      </c>
      <c r="T43" s="152" t="n">
        <v>77.77</v>
      </c>
      <c r="U43" s="152" t="n">
        <v>77.77</v>
      </c>
      <c r="V43" s="169" t="n">
        <v>0</v>
      </c>
      <c r="W43" s="169" t="n">
        <v>0</v>
      </c>
      <c r="X43" s="170" t="inlineStr">
        <is>
          <t>Fixed price</t>
        </is>
      </c>
      <c r="Y43" s="26" t="inlineStr">
        <is>
          <t>RMB</t>
        </is>
      </c>
      <c r="Z43" s="137" t="n">
        <v>738752000</v>
      </c>
      <c r="AA43" s="137" t="n">
        <v>1073954000</v>
      </c>
      <c r="AB43" s="137" t="n">
        <v>1239259000</v>
      </c>
      <c r="AC43" s="137" t="n">
        <v>470116000</v>
      </c>
      <c r="AD43" s="137" t="n">
        <v>612074000</v>
      </c>
      <c r="AE43" s="137" t="n">
        <v>799643000</v>
      </c>
      <c r="AF43" s="137" t="n">
        <v>268636000</v>
      </c>
      <c r="AG43" s="137" t="n">
        <v>461880000</v>
      </c>
      <c r="AH43" s="137" t="n">
        <v>439616000</v>
      </c>
      <c r="AI43" s="137" t="n">
        <v>805004000</v>
      </c>
      <c r="AJ43" s="137" t="n">
        <v>1209641000</v>
      </c>
      <c r="AK43" s="137" t="n">
        <v>2103536000</v>
      </c>
      <c r="AL43" s="137" t="n">
        <v>99662000</v>
      </c>
      <c r="AM43" s="137" t="n">
        <v>218293000</v>
      </c>
      <c r="AN43" s="137" t="n">
        <v>425410000</v>
      </c>
      <c r="AO43" s="137" t="n">
        <v>84518000</v>
      </c>
      <c r="AP43" s="137" t="n">
        <v>186833000</v>
      </c>
      <c r="AQ43" s="137" t="n">
        <v>363698000</v>
      </c>
      <c r="AR43" s="153" t="n">
        <v>0.025</v>
      </c>
      <c r="AS43" s="153" t="n">
        <v>0.025</v>
      </c>
      <c r="AT43" s="101" t="n">
        <v>0.15</v>
      </c>
      <c r="AU43" s="102" t="inlineStr">
        <is>
          <t>Skincare / cosmetics (premium domestic skincare brand)</t>
        </is>
      </c>
      <c r="AV43" s="102" t="inlineStr">
        <is>
          <t>Main Board (H Share issuer)</t>
        </is>
      </c>
      <c r="AW43" s="154" t="n">
        <v>45838</v>
      </c>
      <c r="AX43" s="137" t="n">
        <v>37871000</v>
      </c>
      <c r="AY43" s="117" t="n">
        <v>401461000</v>
      </c>
      <c r="AZ43" s="117" t="n">
        <v>18032000</v>
      </c>
      <c r="BA43" s="117" t="n">
        <v>0</v>
      </c>
      <c r="BB43" s="155" t="n">
        <v>0.076</v>
      </c>
      <c r="BC43" s="139" t="n">
        <v>0.5</v>
      </c>
      <c r="BD43" s="80" t="n">
        <v>1</v>
      </c>
      <c r="BE43" t="n">
        <v>1</v>
      </c>
      <c r="BF43" t="n">
        <v>1</v>
      </c>
      <c r="BG43" t="n">
        <v>1</v>
      </c>
      <c r="BH43" t="n">
        <v>1</v>
      </c>
      <c r="BI43" t="inlineStr">
        <is>
          <t>NaN</t>
        </is>
      </c>
      <c r="BJ43" t="inlineStr">
        <is>
          <t>Youngor Fashion; Toutoushidao; Foshan Haiyujia; Top New Development; Hundun Innovation; Xinghan Yanchuang; Shanghai Cathay Beauty &amp; Innovation; Xiamen Womeida; Foshan Huibi No. 2</t>
        </is>
      </c>
      <c r="BK43" t="n">
        <v>0.1974</v>
      </c>
      <c r="BL43" t="inlineStr">
        <is>
          <t>NaN</t>
        </is>
      </c>
      <c r="BM43" t="inlineStr">
        <is>
          <t>Series A</t>
        </is>
      </c>
      <c r="BN43" t="n">
        <v>5.13</v>
      </c>
      <c r="BO43" s="102" t="inlineStr">
        <is>
          <t>Natural person (Mr. Sun Laichun, founder, chairman and controlling shareholder)</t>
        </is>
      </c>
      <c r="BP43" s="156" t="n">
        <v>0.7134</v>
      </c>
      <c r="BQ43" s="156" t="n">
        <v>0.7134</v>
      </c>
      <c r="BR43" s="137" t="n">
        <v>148903000</v>
      </c>
      <c r="BS43" s="102" t="inlineStr">
        <is>
          <t>Commercialised - mass production and sales of skincare products</t>
        </is>
      </c>
      <c r="BT43" s="153" t="n">
        <v>0</v>
      </c>
      <c r="BU43" s="60" t="inlineStr">
        <is>
          <t>Main Board</t>
        </is>
      </c>
      <c r="BV43" s="89" t="inlineStr">
        <is>
          <t>H Shares</t>
        </is>
      </c>
      <c r="BW43" s="61" t="n">
        <v>0</v>
      </c>
      <c r="BX43" s="77" t="n">
        <v>0</v>
      </c>
      <c r="BY43" s="77" t="n">
        <v>0</v>
      </c>
      <c r="BZ43" s="78" t="n">
        <v>0</v>
      </c>
      <c r="CA43" s="60" t="inlineStr">
        <is>
          <t>282040</t>
        </is>
      </c>
      <c r="CB43" s="76" t="inlineStr">
        <is>
          <t>HSICS (Hang Seng Industry Classification System) 2026</t>
        </is>
      </c>
      <c r="CC43" s="140" t="n">
        <v>40899</v>
      </c>
      <c r="CD43" s="171" t="n">
        <v>14.02</v>
      </c>
      <c r="CE43" s="76" t="inlineStr">
        <is>
          <t>PRC</t>
        </is>
      </c>
      <c r="CF43" s="89" t="inlineStr">
        <is>
          <t>Shanghai, PRC</t>
        </is>
      </c>
      <c r="CG43" s="91" t="n"/>
      <c r="CH43" s="60" t="inlineStr">
        <is>
          <t>IFRS Accounting Standards</t>
        </is>
      </c>
      <c r="CI43" s="141" t="n">
        <v>44927</v>
      </c>
      <c r="CJ43" s="141" t="n">
        <v>45291</v>
      </c>
      <c r="CK43" s="141" t="n">
        <v>45292</v>
      </c>
      <c r="CL43" s="141" t="n">
        <v>45657</v>
      </c>
      <c r="CM43" s="141" t="n">
        <v>45658</v>
      </c>
      <c r="CN43" s="64" t="n">
        <v>1051768000</v>
      </c>
      <c r="CO43" s="64" t="n">
        <v>212705000</v>
      </c>
      <c r="CP43" s="64" t="n">
        <v>181849000</v>
      </c>
      <c r="CQ43" s="141" t="n">
        <v>46009</v>
      </c>
      <c r="CR43" s="141" t="n">
        <v>46014</v>
      </c>
      <c r="CS43" s="63" t="n">
        <v>106093627</v>
      </c>
      <c r="CT43" s="64" t="n">
        <v>866206000</v>
      </c>
      <c r="CU43" s="64" t="n">
        <v>40700000</v>
      </c>
      <c r="CV43" s="59" t="inlineStr">
        <is>
          <t>Unqualified opinion</t>
        </is>
      </c>
      <c r="CW43" s="64" t="n">
        <v>89100000</v>
      </c>
      <c r="CX43" s="102" t="inlineStr">
        <is>
          <t>FIL Investment Management (Hong Kong) Limited; Mega Prime Development Limited; Loyal Valley Capital; Duckling Fund, L.P.; SynerSuccess Capital Ltd.; Dajia Life Insurance Co., Ltd.; Yield Royal Investment Holding (Singapore) PTE. LTD.</t>
        </is>
      </c>
      <c r="CY43" s="153" t="n">
        <v>0.4443</v>
      </c>
      <c r="CZ43" s="154" t="n">
        <v>46203</v>
      </c>
      <c r="DA43" s="143" t="n">
        <v>1235.81</v>
      </c>
      <c r="DB43" s="63" t="n">
        <v>169712</v>
      </c>
      <c r="DC43" s="63" t="n">
        <v>1725991200</v>
      </c>
      <c r="DD43" s="59" t="inlineStr">
        <is>
          <t>Subscription level 1,235.81 times</t>
        </is>
      </c>
      <c r="DE43" s="141" t="inlineStr">
        <is>
          <t>NA</t>
        </is>
      </c>
      <c r="DF43" s="141" t="n">
        <v>46020</v>
      </c>
      <c r="DG43" s="63" t="n">
        <v>13966450</v>
      </c>
      <c r="DH43" s="63" t="n">
        <v>1396650</v>
      </c>
      <c r="DI43" s="63" t="n">
        <v>12569800</v>
      </c>
      <c r="DJ43" s="63" t="n">
        <v>2094950</v>
      </c>
      <c r="DK43" s="169" t="n">
        <v>1</v>
      </c>
      <c r="DL43" s="59" t="inlineStr">
        <is>
          <t>No. of Offer Shares reallocated from the International Offer (claw-back) N/A; Final number of Offer Shares under the Hong Kong Public Offering 1,396,650</t>
        </is>
      </c>
      <c r="DM43" s="157" t="n">
        <v>997100000</v>
      </c>
      <c r="DN43" s="153" t="n">
        <v>0.2696</v>
      </c>
      <c r="DO43" s="102" t="n">
        <v>139664285</v>
      </c>
      <c r="DP43" s="153" t="n">
        <v>0.0556</v>
      </c>
      <c r="DQ43" s="59" t="inlineStr">
        <is>
          <t>Free float denominator = total issued shares upon listing (col_CZ); numerator = offer shares minus cornerstone allocation</t>
        </is>
      </c>
      <c r="DR43" s="63" t="n">
        <v>139664285</v>
      </c>
      <c r="DS43" s="153" t="n">
        <v>-0.01400936</v>
      </c>
      <c r="DT43" s="80" t="n">
        <v>38</v>
      </c>
      <c r="DU43" s="153" t="n">
        <v>0.0325381</v>
      </c>
      <c r="DV43" s="157" t="n">
        <v>53926000000</v>
      </c>
      <c r="DW43" s="158" t="n">
        <v>85</v>
      </c>
      <c r="DX43" s="169" t="n">
        <v>0.09296599999999999</v>
      </c>
      <c r="DY43" s="172" t="n">
        <v>100977433.5</v>
      </c>
      <c r="DZ43" s="146" t="n">
        <v>85</v>
      </c>
      <c r="EA43" s="146" t="n">
        <v>91.65000000000001</v>
      </c>
      <c r="EB43" s="146" t="n">
        <v>85</v>
      </c>
      <c r="EC43" s="63" t="n">
        <v>5242564</v>
      </c>
      <c r="ED43" s="169" t="n">
        <v>0.375368</v>
      </c>
      <c r="EE43" s="64" t="n"/>
      <c r="EF43" s="60" t="inlineStr">
        <is>
          <t>Mechanism B</t>
        </is>
      </c>
      <c r="EG43" s="59" t="inlineStr">
        <is>
          <t>FINI (from 22/11/2023); 2025-08-04 pricing reform (Mechanism A/B; six-month cornerstone lock-up retained); this IPO: Mechanism B</t>
        </is>
      </c>
      <c r="EH43" t="inlineStr">
        <is>
          <t>上海林清轩化妆品集团股份有限公司</t>
        </is>
      </c>
      <c r="EI43" s="174" t="inlineStr">
        <is>
          <t>Active</t>
        </is>
      </c>
      <c r="EJ43" s="175" t="n">
        <v>81.78400000000001</v>
      </c>
      <c r="EK43" s="176" t="n">
        <v>-0.007283</v>
      </c>
      <c r="EL43" s="176" t="n">
        <v>0.085006</v>
      </c>
      <c r="EM43" s="176" t="n">
        <v>0.049212</v>
      </c>
      <c r="EN43" s="176" t="n">
        <v>0.031611</v>
      </c>
      <c r="EO43" s="179" t="n">
        <v>0.9462</v>
      </c>
      <c r="EP43" s="179" t="n">
        <v>0.9623</v>
      </c>
      <c r="EQ43" s="178" t="n">
        <v>52489493</v>
      </c>
      <c r="ER43" s="175" t="n">
        <v>32.13</v>
      </c>
      <c r="ES43" s="176" t="n">
        <v>-0.609997</v>
      </c>
      <c r="ET43" s="176" t="n">
        <v>-0.57374</v>
      </c>
      <c r="EU43" s="176" t="n">
        <v>-0.115012</v>
      </c>
      <c r="EV43" s="176" t="n">
        <v>-0.198292</v>
      </c>
      <c r="EW43" s="179" t="n">
        <v>0.4407</v>
      </c>
      <c r="EX43" s="179" t="n">
        <v>0.4865</v>
      </c>
      <c r="EY43" s="178" t="n">
        <v>2415504</v>
      </c>
      <c r="EZ43" s="176" t="n">
        <v>0.00503</v>
      </c>
      <c r="FA43" s="176" t="n"/>
      <c r="FB43" s="179" t="n"/>
      <c r="FC43" s="176" t="n"/>
      <c r="FD43" s="179" t="n"/>
      <c r="FE43" s="174" t="inlineStr">
        <is>
          <t>Standard</t>
        </is>
      </c>
      <c r="FF43" s="181" t="n"/>
      <c r="FG43" s="185" t="n"/>
      <c r="FH43" s="183" t="n"/>
      <c r="FI43" s="178" t="n"/>
      <c r="FJ43" s="176" t="n"/>
      <c r="FK43" s="185" t="n"/>
      <c r="FL43" s="178" t="n"/>
      <c r="FM43" s="176" t="n"/>
      <c r="FN43" s="176" t="n"/>
      <c r="FO43" s="176" t="n"/>
      <c r="FP43" s="176" t="n"/>
      <c r="FQ43" s="176" t="n">
        <v>0.021242</v>
      </c>
      <c r="FR43" s="179" t="n">
        <v>0.9885</v>
      </c>
      <c r="FS43" s="176" t="n">
        <v>-0.007283</v>
      </c>
      <c r="FT43" s="179" t="n">
        <v>0.9462</v>
      </c>
      <c r="FU43" s="176" t="n">
        <v>-0.267042</v>
      </c>
      <c r="FV43" s="179" t="n">
        <v>0.7655999999999999</v>
      </c>
      <c r="FW43" s="179" t="n">
        <v>0.8718</v>
      </c>
      <c r="FX43" s="178" t="n">
        <v>23919653.28</v>
      </c>
      <c r="FY43" s="186" t="n">
        <v>0.008299553719008264</v>
      </c>
      <c r="FZ43" s="183" t="n">
        <v>0</v>
      </c>
      <c r="GA43" s="176" t="n">
        <v>0.0481645075854317</v>
      </c>
      <c r="GB43" s="176" t="n">
        <v>0.710122</v>
      </c>
      <c r="GC43" s="185" t="n"/>
      <c r="GD43" s="185" t="n"/>
      <c r="GE43" s="176" t="n"/>
      <c r="GF43" s="176" t="n"/>
      <c r="GG43" s="179" t="n"/>
      <c r="GH43" s="181" t="inlineStr">
        <is>
          <t>CITIC Securities (Hong Kong) Limited</t>
        </is>
      </c>
      <c r="GI43" s="183" t="n">
        <v>2</v>
      </c>
      <c r="GJ43" s="183" t="n">
        <v>0</v>
      </c>
      <c r="GK43" s="176" t="n">
        <v>0.025</v>
      </c>
      <c r="GL43" s="176" t="n"/>
      <c r="GM43" s="176" t="n"/>
      <c r="GN43" s="183" t="n">
        <v>9</v>
      </c>
      <c r="GO43" s="183" t="n">
        <v>1</v>
      </c>
      <c r="GP43" s="183" t="n">
        <v>0</v>
      </c>
      <c r="GQ43" s="183" t="n">
        <v>9</v>
      </c>
      <c r="GR43" s="183" t="n">
        <v>1</v>
      </c>
      <c r="GS43" s="181" t="inlineStr">
        <is>
          <t>POST_FINI</t>
        </is>
      </c>
      <c r="GT43" s="181" t="inlineStr">
        <is>
          <t>POST_2025_REFORM</t>
        </is>
      </c>
    </row>
    <row r="44" customFormat="1" s="12">
      <c r="A44" s="60" t="n">
        <v>118</v>
      </c>
      <c r="B44" s="93" t="inlineStr">
        <is>
          <t>2671.HK</t>
        </is>
      </c>
      <c r="C44" s="59" t="inlineStr">
        <is>
          <t>USAS Building System (Shanghai) Co., Ltd.
- H shares</t>
        </is>
      </c>
      <c r="D44" s="149" t="n">
        <v>46009</v>
      </c>
      <c r="E44" s="95" t="n">
        <v>46021</v>
      </c>
      <c r="F44" s="60" t="inlineStr">
        <is>
          <t>Shenwan Hongyuan Capital (H.K.) Limited</t>
        </is>
      </c>
      <c r="G44" s="60" t="inlineStr">
        <is>
          <t>BDO Limited</t>
        </is>
      </c>
      <c r="H44" s="60" t="n"/>
      <c r="I44" s="150" t="n">
        <v>17466000</v>
      </c>
      <c r="J44" s="148" t="n">
        <v>157194000</v>
      </c>
      <c r="K44" s="151" t="n">
        <v>7.1</v>
      </c>
      <c r="L44" t="n">
        <v>120550005</v>
      </c>
      <c r="M44" s="98" t="n">
        <v>24600000</v>
      </c>
      <c r="N44" t="n">
        <v>95950005</v>
      </c>
      <c r="O44" t="n">
        <v>95950005</v>
      </c>
      <c r="P44" t="n">
        <v>0</v>
      </c>
      <c r="Q44" t="n">
        <v>24600000</v>
      </c>
      <c r="R44" s="98" t="n">
        <v>22140000</v>
      </c>
      <c r="S44" s="98" t="n">
        <v>2460000</v>
      </c>
      <c r="T44" s="152" t="n">
        <v>9.16</v>
      </c>
      <c r="U44" s="152" t="n">
        <v>7.1</v>
      </c>
      <c r="V44" s="169" t="n">
        <v>-0.126691</v>
      </c>
      <c r="W44" s="169" t="n">
        <v>0.253383</v>
      </c>
      <c r="X44" s="170" t="inlineStr">
        <is>
          <t>At low</t>
        </is>
      </c>
      <c r="Y44" s="26" t="inlineStr">
        <is>
          <t>RMB</t>
        </is>
      </c>
      <c r="Z44" s="137" t="n">
        <v>1211603000</v>
      </c>
      <c r="AA44" s="137" t="n">
        <v>1401806000</v>
      </c>
      <c r="AB44" s="137" t="n">
        <v>1731002000</v>
      </c>
      <c r="AC44" s="137" t="n">
        <v>400089000</v>
      </c>
      <c r="AD44" s="137" t="n">
        <v>471692000</v>
      </c>
      <c r="AE44" s="137" t="n">
        <v>535041000</v>
      </c>
      <c r="AF44" s="137" t="n">
        <v>811514000</v>
      </c>
      <c r="AG44" s="137" t="n">
        <v>930114000</v>
      </c>
      <c r="AH44" s="137" t="n">
        <v>1195961000</v>
      </c>
      <c r="AI44" s="137" t="n">
        <v>1453178000</v>
      </c>
      <c r="AJ44" s="137" t="n">
        <v>1523033000</v>
      </c>
      <c r="AK44" s="137" t="n">
        <v>2848218000</v>
      </c>
      <c r="AL44" s="137" t="n">
        <v>82493000</v>
      </c>
      <c r="AM44" s="137" t="n">
        <v>78700000</v>
      </c>
      <c r="AN44" s="137" t="n">
        <v>152292000</v>
      </c>
      <c r="AO44" s="137" t="n">
        <v>62132000</v>
      </c>
      <c r="AP44" s="137" t="n">
        <v>70783000</v>
      </c>
      <c r="AQ44" s="137" t="n">
        <v>125258000</v>
      </c>
      <c r="AR44" s="153" t="n">
        <v>0.021</v>
      </c>
      <c r="AS44" s="153" t="n">
        <v>0.021</v>
      </c>
      <c r="AT44" s="101" t="n">
        <v>0.15</v>
      </c>
      <c r="AU44" s="102" t="inlineStr">
        <is>
          <t>Integrated prefabricated steel structure (PS) building subcontracting services provider in the industrial sector of the PS building market, offering project design and optimization, procurement, manufacturing and installation; also general contracting services and industrial environmental equipment</t>
        </is>
      </c>
      <c r="AV44" s="102" t="inlineStr">
        <is>
          <t>Main Board listing of H Shares (Chapter 8 of the Listing Rules; no Chapter 18A/18C specialist technology or biotech route)</t>
        </is>
      </c>
      <c r="AW44" s="154" t="n">
        <v>45838</v>
      </c>
      <c r="AX44" s="137" t="n">
        <v>46031000</v>
      </c>
      <c r="AY44" s="117" t="n">
        <v>177542000</v>
      </c>
      <c r="AZ44" s="117" t="n">
        <v>9292000</v>
      </c>
      <c r="BA44" s="117" t="n">
        <v>0</v>
      </c>
      <c r="BB44" s="155" t="n">
        <v>0.84</v>
      </c>
      <c r="BC44" s="139" t="n">
        <v>0.5</v>
      </c>
      <c r="BD44" s="80" t="n">
        <v>1</v>
      </c>
      <c r="BE44" t="n">
        <v>1</v>
      </c>
      <c r="BF44" t="n">
        <v>1</v>
      </c>
      <c r="BG44" t="inlineStr">
        <is>
          <t>NaN</t>
        </is>
      </c>
      <c r="BH44" t="inlineStr">
        <is>
          <t>NaN</t>
        </is>
      </c>
      <c r="BI44" t="inlineStr">
        <is>
          <t>NaN</t>
        </is>
      </c>
      <c r="BJ44" t="inlineStr">
        <is>
          <t>Sunny International Inc. Limited (Asia Investments ARM (AIA) S.A.); Rongke Investment (Shanghai Rongke Investment Management Co., Ltd.); Yingzhe Investment (Shanghai Yingzhe Investment Management Co., Ltd.); Dingyuan Hechuang (Beijing Dingyuan Hechuang Investment Co., Ltd.); Jinxuanniao Investment (Shenzhen Jinxuanniao Investment Management Co., Ltd.); Shanghai Tusui Corporate Management Partnership (Limited Partnership); Shanghai Wuliu Corporate Management Partnership (Limited Partnership); Shanghai Xianglian Corporate Management Partnership (Limited Partnership); Shanghai Jiade Corporate Management Consulting Co., Ltd.; Shanghai Yiguan Corporate Management Center (Limited Partnership); Youling Technology (Zhuhai Youling Technology Center (Limited Partnership)); Shanghai Jianglian Corporate Management (Shanghai) Center (Limited Partnership); Hainan Yuheng Corporate Management Partnership (Limited Partnership); Shenzhen Qianhai Linglian Technology Partnership (Limited Partnership); Shanghai Wagang Chenji Corporate Management Partnership (Limited Partnership)</t>
        </is>
      </c>
      <c r="BK44" t="n">
        <v>0.2477</v>
      </c>
      <c r="BL44" t="inlineStr">
        <is>
          <t>NaN</t>
        </is>
      </c>
      <c r="BM44" t="inlineStr">
        <is>
          <t>2007 Transfer (transfer of equity interest to Sunny International)</t>
        </is>
      </c>
      <c r="BN44" t="n">
        <v>18.06</v>
      </c>
      <c r="BO44" s="102" t="inlineStr">
        <is>
          <t>Natural persons (Mr. Chen and Ms. Chen, acting in concert through Broad Vision and the Employee Shareholding Platforms, are the ultimate controlling parties)</t>
        </is>
      </c>
      <c r="BP44" s="156" t="n">
        <v>0.5987</v>
      </c>
      <c r="BQ44" s="156" t="n">
        <v>0.5987</v>
      </c>
      <c r="BR44" s="137" t="n">
        <v>377561000</v>
      </c>
      <c r="BS44" s="102" t="inlineStr">
        <is>
          <t>Commercially established / mass production stage (revenue-generating PS building subcontracting, general contracting and industrial environmental equipment; APC product line being developed and commercialized)</t>
        </is>
      </c>
      <c r="BT44" s="153" t="n">
        <v>0</v>
      </c>
      <c r="BU44" s="60" t="inlineStr">
        <is>
          <t>Main Board</t>
        </is>
      </c>
      <c r="BV44" s="89" t="inlineStr">
        <is>
          <t>H Shares</t>
        </is>
      </c>
      <c r="BW44" s="61" t="n">
        <v>0</v>
      </c>
      <c r="BX44" s="77" t="n">
        <v>0</v>
      </c>
      <c r="BY44" s="77" t="n">
        <v>0</v>
      </c>
      <c r="BZ44" s="78" t="n">
        <v>0</v>
      </c>
      <c r="CA44" s="60" t="inlineStr">
        <is>
          <t>602010</t>
        </is>
      </c>
      <c r="CB44" s="76" t="inlineStr">
        <is>
          <t>HSICS (Hang Seng Industry Classification System) 2026</t>
        </is>
      </c>
      <c r="CC44" s="140" t="n">
        <v>36267</v>
      </c>
      <c r="CD44" s="171" t="n">
        <v>26.7</v>
      </c>
      <c r="CE44" s="76" t="inlineStr">
        <is>
          <t>PRC</t>
        </is>
      </c>
      <c r="CF44" s="89" t="inlineStr">
        <is>
          <t>Shanghai, PRC</t>
        </is>
      </c>
      <c r="CG44" s="91" t="n"/>
      <c r="CH44" s="60" t="inlineStr">
        <is>
          <t>HKFRS</t>
        </is>
      </c>
      <c r="CI44" s="141" t="n">
        <v>44927</v>
      </c>
      <c r="CJ44" s="141" t="n">
        <v>45291</v>
      </c>
      <c r="CK44" s="141" t="n">
        <v>45292</v>
      </c>
      <c r="CL44" s="141" t="n">
        <v>45657</v>
      </c>
      <c r="CM44" s="141" t="n">
        <v>45658</v>
      </c>
      <c r="CN44" s="64" t="n">
        <v>1424109000</v>
      </c>
      <c r="CO44" s="64" t="n">
        <v>76146000</v>
      </c>
      <c r="CP44" s="64" t="n">
        <v>62629000</v>
      </c>
      <c r="CQ44" s="141" t="n">
        <v>46009</v>
      </c>
      <c r="CR44" s="141" t="n">
        <v>46014</v>
      </c>
      <c r="CS44" s="63" t="n">
        <v>120550005</v>
      </c>
      <c r="CT44" s="64" t="n">
        <v>145270000</v>
      </c>
      <c r="CU44" s="64" t="n">
        <v>6691000</v>
      </c>
      <c r="CV44" s="59" t="inlineStr">
        <is>
          <t>Unqualified opinion</t>
        </is>
      </c>
      <c r="CW44" s="64" t="n">
        <v>35800000</v>
      </c>
      <c r="CX44" s="102" t="inlineStr">
        <is>
          <t>Colorful Cloud Holdings Limited (彩雲控股有限公司); Tiny Jade Holdings (HK) Co., Limited; Wu Xinghua (吳興華); Logic Selective Value Investment Funds SPC</t>
        </is>
      </c>
      <c r="CY44" s="153" t="n">
        <v>0.2948</v>
      </c>
      <c r="CZ44" s="154" t="n">
        <v>46203</v>
      </c>
      <c r="DA44" s="143" t="n">
        <v>146.25</v>
      </c>
      <c r="DB44" s="63" t="n">
        <v>53657</v>
      </c>
      <c r="DC44" s="63" t="n">
        <v>359775000</v>
      </c>
      <c r="DD44" s="59" t="inlineStr">
        <is>
          <t>Subscription level 146.25 times (Hong Kong Public Offering); International Offering Subscription Level 1.48 times</t>
        </is>
      </c>
      <c r="DE44" s="141" t="n">
        <v>46015</v>
      </c>
      <c r="DF44" s="141" t="n">
        <v>46020</v>
      </c>
      <c r="DG44" s="63" t="n">
        <v>24600000</v>
      </c>
      <c r="DH44" s="63" t="n">
        <v>2460000</v>
      </c>
      <c r="DI44" s="63" t="n">
        <v>22140000</v>
      </c>
      <c r="DJ44" s="63" t="n">
        <v>0</v>
      </c>
      <c r="DK44" s="169" t="n">
        <v>0</v>
      </c>
      <c r="DL44" s="59" t="inlineStr">
        <is>
          <t>Claw-back not triggered; no over-allocation of Offer Shares in the placing; final HK Public Offering 2,460,000 = 10.00% and International Offering 22,140,000 = 90.00% (unchanged)</t>
        </is>
      </c>
      <c r="DM44" s="157" t="n">
        <v>139890000</v>
      </c>
      <c r="DN44" s="153" t="n">
        <v>0.251</v>
      </c>
      <c r="DO44" s="102" t="n">
        <v>120550005</v>
      </c>
      <c r="DP44" s="153" t="n">
        <v>0.1439</v>
      </c>
      <c r="DQ44" s="59" t="inlineStr">
        <is>
          <t>Free float denominator = total issued Shares upon completion of the Global Offering (120,550,005); numerator excludes the 7,252,800 cornerstone H Shares (6-month lock-up) and all existing Shareholder H Shares (12-month PRC statutory lock-up)</t>
        </is>
      </c>
      <c r="DR44" s="63" t="n">
        <v>120550005</v>
      </c>
      <c r="DS44" s="153" t="n">
        <v>-0.01400936</v>
      </c>
      <c r="DT44" s="80" t="n">
        <v>38</v>
      </c>
      <c r="DU44" s="153" t="n">
        <v>0.0325381</v>
      </c>
      <c r="DV44" s="157" t="n">
        <v>53926000000</v>
      </c>
      <c r="DW44" s="158" t="n">
        <v>7.64</v>
      </c>
      <c r="DX44" s="169" t="n">
        <v>0.076056</v>
      </c>
      <c r="DY44" s="172" t="n">
        <v>13284000</v>
      </c>
      <c r="DZ44" s="146" t="n">
        <v>8.210000000000001</v>
      </c>
      <c r="EA44" s="146" t="n">
        <v>12</v>
      </c>
      <c r="EB44" s="146" t="n">
        <v>7.4</v>
      </c>
      <c r="EC44" s="63" t="n">
        <v>13859700</v>
      </c>
      <c r="ED44" s="169" t="n">
        <v>0.563402</v>
      </c>
      <c r="EE44" s="64" t="n"/>
      <c r="EF44" s="60" t="inlineStr">
        <is>
          <t>NA</t>
        </is>
      </c>
      <c r="EG44" s="59" t="inlineStr">
        <is>
          <t>FINI (from 22/11/2023); 2025-08-04 pricing reform (Mechanism A/B; six-month cornerstone lock-up retained)</t>
        </is>
      </c>
      <c r="EH44" t="inlineStr">
        <is>
          <t>美联钢结构建筑系统（上海）股份有限公司</t>
        </is>
      </c>
      <c r="EI44" s="174" t="inlineStr">
        <is>
          <t>Active</t>
        </is>
      </c>
      <c r="EJ44" s="175" t="n">
        <v>4.486</v>
      </c>
      <c r="EK44" s="176" t="n">
        <v>-0.378326</v>
      </c>
      <c r="EL44" s="176" t="n">
        <v>-0.331044</v>
      </c>
      <c r="EM44" s="176" t="n">
        <v>0.049212</v>
      </c>
      <c r="EN44" s="176" t="n">
        <v>0.031611</v>
      </c>
      <c r="EO44" s="179" t="n">
        <v>0.5925</v>
      </c>
      <c r="EP44" s="179" t="n">
        <v>0.6026</v>
      </c>
      <c r="EQ44" s="178" t="n">
        <v>11001339.5</v>
      </c>
      <c r="ER44" s="175" t="n">
        <v>3.73</v>
      </c>
      <c r="ES44" s="176" t="n">
        <v>-0.483093</v>
      </c>
      <c r="ET44" s="176" t="n">
        <v>-0.443779</v>
      </c>
      <c r="EU44" s="176" t="n">
        <v>-0.115012</v>
      </c>
      <c r="EV44" s="176" t="n">
        <v>-0.198292</v>
      </c>
      <c r="EW44" s="179" t="n">
        <v>0.5841</v>
      </c>
      <c r="EX44" s="179" t="n">
        <v>0.6448</v>
      </c>
      <c r="EY44" s="178" t="n">
        <v>39713.5</v>
      </c>
      <c r="EZ44" s="176" t="n">
        <v>0.000321</v>
      </c>
      <c r="FA44" s="176" t="n"/>
      <c r="FB44" s="179" t="n"/>
      <c r="FC44" s="176" t="n"/>
      <c r="FD44" s="179" t="n"/>
      <c r="FE44" s="174" t="inlineStr">
        <is>
          <t>Standard</t>
        </is>
      </c>
      <c r="FF44" s="181" t="n"/>
      <c r="FG44" s="185" t="n"/>
      <c r="FH44" s="183" t="n"/>
      <c r="FI44" s="178" t="n"/>
      <c r="FJ44" s="176" t="n"/>
      <c r="FK44" s="185" t="n"/>
      <c r="FL44" s="178" t="n"/>
      <c r="FM44" s="176" t="n"/>
      <c r="FN44" s="176" t="n"/>
      <c r="FO44" s="176" t="n"/>
      <c r="FP44" s="176" t="n"/>
      <c r="FQ44" s="176" t="n">
        <v>0.06929</v>
      </c>
      <c r="FR44" s="179" t="n">
        <v>1.035</v>
      </c>
      <c r="FS44" s="176" t="n">
        <v>-0.378326</v>
      </c>
      <c r="FT44" s="179" t="n">
        <v>0.5925</v>
      </c>
      <c r="FU44" s="176" t="n">
        <v>-0.494734</v>
      </c>
      <c r="FV44" s="179" t="n">
        <v>0.5278</v>
      </c>
      <c r="FW44" s="179" t="n">
        <v>0.601</v>
      </c>
      <c r="FX44" s="178" t="n">
        <v>4184698.36</v>
      </c>
      <c r="FY44" s="186" t="n">
        <v>0.8589142280701755</v>
      </c>
      <c r="FZ44" s="183" t="n">
        <v>7</v>
      </c>
      <c r="GA44" s="176" t="n">
        <v>0.04443644347786124</v>
      </c>
      <c r="GB44" s="176" t="n">
        <v>0.729095</v>
      </c>
      <c r="GC44" s="185" t="n"/>
      <c r="GD44" s="185" t="n"/>
      <c r="GE44" s="176" t="n"/>
      <c r="GF44" s="176" t="n"/>
      <c r="GG44" s="179" t="n"/>
      <c r="GH44" s="181" t="inlineStr">
        <is>
          <t>Shenwan Hongyuan Capital (H.K.) Limited</t>
        </is>
      </c>
      <c r="GI44" s="183" t="n">
        <v>1</v>
      </c>
      <c r="GJ44" s="183" t="n">
        <v>0</v>
      </c>
      <c r="GK44" s="176" t="n">
        <v>0.021</v>
      </c>
      <c r="GL44" s="176" t="n"/>
      <c r="GM44" s="176" t="n"/>
      <c r="GN44" s="183" t="n">
        <v>5</v>
      </c>
      <c r="GO44" s="183" t="n">
        <v>1</v>
      </c>
      <c r="GP44" s="183" t="n">
        <v>0</v>
      </c>
      <c r="GQ44" s="183" t="n">
        <v>20</v>
      </c>
      <c r="GR44" s="183" t="n">
        <v>0</v>
      </c>
      <c r="GS44" s="181" t="inlineStr">
        <is>
          <t>POST_FINI</t>
        </is>
      </c>
      <c r="GT44" s="181" t="inlineStr">
        <is>
          <t>POST_2025_REFORM</t>
        </is>
      </c>
    </row>
    <row r="45" customFormat="1" s="12">
      <c r="A45" s="60" t="n">
        <v>117</v>
      </c>
      <c r="B45" s="93" t="inlineStr">
        <is>
          <t>3317.HK</t>
        </is>
      </c>
      <c r="C45" s="59" t="inlineStr">
        <is>
          <t>Shenzhen Xunce Technology Co., Ltd.- H shares</t>
        </is>
      </c>
      <c r="D45" s="149" t="n">
        <v>46009</v>
      </c>
      <c r="E45" s="95" t="n">
        <v>46021</v>
      </c>
      <c r="F45" s="60" t="inlineStr">
        <is>
          <t>Guotai Junan Capital Limited</t>
        </is>
      </c>
      <c r="G45" s="60" t="inlineStr">
        <is>
          <t>BDO Limited</t>
        </is>
      </c>
      <c r="H45" s="60" t="n"/>
      <c r="I45" s="150" t="n">
        <v>108000000</v>
      </c>
      <c r="J45" s="148" t="n">
        <v>981331200</v>
      </c>
      <c r="K45" s="151" t="n">
        <v>48</v>
      </c>
      <c r="L45" t="n">
        <v>322500000</v>
      </c>
      <c r="M45" s="98" t="n">
        <v>22500000</v>
      </c>
      <c r="N45" t="n">
        <v>300000000</v>
      </c>
      <c r="O45" t="n">
        <v>300000000</v>
      </c>
      <c r="P45" t="n">
        <v>0</v>
      </c>
      <c r="Q45" t="n">
        <v>22500000</v>
      </c>
      <c r="R45" s="98" t="n">
        <v>20250000</v>
      </c>
      <c r="S45" s="98" t="n">
        <v>2250000</v>
      </c>
      <c r="T45" s="152" t="n">
        <v>55</v>
      </c>
      <c r="U45" s="152" t="n">
        <v>48</v>
      </c>
      <c r="V45" s="169" t="n">
        <v>-0.06796099999999999</v>
      </c>
      <c r="W45" s="169" t="n">
        <v>0.135922</v>
      </c>
      <c r="X45" s="170" t="inlineStr">
        <is>
          <t>At low</t>
        </is>
      </c>
      <c r="Y45" s="26" t="inlineStr">
        <is>
          <t>RMB</t>
        </is>
      </c>
      <c r="Z45" s="137" t="n">
        <v>2048893000</v>
      </c>
      <c r="AA45" s="137" t="n">
        <v>1832362000</v>
      </c>
      <c r="AB45" s="137" t="n">
        <v>1761179000</v>
      </c>
      <c r="AC45" s="137" t="n">
        <v>1767429000</v>
      </c>
      <c r="AD45" s="137" t="n">
        <v>1649362000</v>
      </c>
      <c r="AE45" s="137" t="n">
        <v>1543485000</v>
      </c>
      <c r="AF45" s="137" t="n">
        <v>281464000</v>
      </c>
      <c r="AG45" s="137" t="n">
        <v>183000000</v>
      </c>
      <c r="AH45" s="137" t="n">
        <v>217694000</v>
      </c>
      <c r="AI45" s="137" t="n">
        <v>530458000</v>
      </c>
      <c r="AJ45" s="137" t="n">
        <v>631978000</v>
      </c>
      <c r="AK45" s="137" t="n">
        <v>395690000</v>
      </c>
      <c r="AL45" s="137" t="n">
        <v>-63355000</v>
      </c>
      <c r="AM45" s="137" t="n">
        <v>-97708000</v>
      </c>
      <c r="AN45" s="137" t="n">
        <v>-215996000</v>
      </c>
      <c r="AO45" s="137" t="n">
        <v>-63391000</v>
      </c>
      <c r="AP45" s="137" t="n">
        <v>-97845000</v>
      </c>
      <c r="AQ45" s="137" t="n">
        <v>-215996000</v>
      </c>
      <c r="AR45" s="153" t="n">
        <v>0.035</v>
      </c>
      <c r="AS45" s="153" t="n">
        <v>0.035</v>
      </c>
      <c r="AT45" s="101" t="n">
        <v>0.15</v>
      </c>
      <c r="AU45" s="102" t="inlineStr">
        <is>
          <t>Real-time data infrastructure and analytics solutions in China</t>
        </is>
      </c>
      <c r="AV45" s="102" t="inlineStr">
        <is>
          <t>Main Board, Rule 8.05(3) market capitalisation/revenue test</t>
        </is>
      </c>
      <c r="AW45" s="154" t="n">
        <v>45838</v>
      </c>
      <c r="AX45" s="137" t="n">
        <v>-128114000</v>
      </c>
      <c r="AY45" s="117" t="n">
        <v>222333000</v>
      </c>
      <c r="AZ45" s="117" t="n">
        <v>168099000</v>
      </c>
      <c r="BA45" s="117" t="n">
        <v>118000</v>
      </c>
      <c r="BB45" s="155" t="n">
        <v>0.42</v>
      </c>
      <c r="BC45" s="139" t="n">
        <v>0.5</v>
      </c>
      <c r="BD45" s="80" t="n">
        <v>1</v>
      </c>
      <c r="BE45" t="n">
        <v>1</v>
      </c>
      <c r="BF45" t="n">
        <v>1</v>
      </c>
      <c r="BG45" t="n">
        <v>1</v>
      </c>
      <c r="BH45" t="n">
        <v>1</v>
      </c>
      <c r="BI45" t="n">
        <v>1</v>
      </c>
      <c r="BJ45" t="inlineStr">
        <is>
          <t>Yunfeng Xincheng; Shenzhen Saidaren; Wuxi Haiyingjia; Zhongnan Heduo; Xingluo Jingyou; Yunfeng Qitai; Zhongnan Hongyuan; GS PSI; Madison Square; GBA Fund; Shenzhen Tencent; Yuxin Renhui; Shenzhen Zhongtou; Times Fortune; JSL Investment; Shanghai Yiyun; Guangzhou Youshan; Tianjin Weizi; Hop Ka Hongsheng; Guangdong Yuecai; Beijing Zhongguancun; Chuangying Jianke; Yuxin Guoyuan; Beijing Gehua; Tongrui Changying; Taikang Life; Guangxi Tencent; Shanghai Yukai; Yuxin Guochang; Tianjin Xihua; Hangzhou Broadway; CICC Pucheng; Accel Asia Holdings II; Jinke Zhuozhi; Hubei High Quality</t>
        </is>
      </c>
      <c r="BK45" t="n">
        <v>0.4734</v>
      </c>
      <c r="BL45" t="inlineStr">
        <is>
          <t>NaN</t>
        </is>
      </c>
      <c r="BM45" t="inlineStr">
        <is>
          <t>Series A</t>
        </is>
      </c>
      <c r="BN45" t="n">
        <v>8.44</v>
      </c>
      <c r="BO45" s="102" t="inlineStr">
        <is>
          <t>No controlling shareholder</t>
        </is>
      </c>
      <c r="BP45" s="156" t="n">
        <v>0.2684</v>
      </c>
      <c r="BQ45" s="156" t="n">
        <v>0.2684</v>
      </c>
      <c r="BR45" s="137" t="n">
        <v>76249000</v>
      </c>
      <c r="BS45" s="102" t="inlineStr">
        <is>
          <t>Commercialised and deployed (revenue-generating real-time data infrastructure and analytics solutions)</t>
        </is>
      </c>
      <c r="BT45" s="153" t="n">
        <v>0</v>
      </c>
      <c r="BU45" s="60" t="inlineStr">
        <is>
          <t>Main Board</t>
        </is>
      </c>
      <c r="BV45" s="89" t="inlineStr">
        <is>
          <t>H Shares</t>
        </is>
      </c>
      <c r="BW45" s="61" t="n">
        <v>0</v>
      </c>
      <c r="BX45" s="77" t="n">
        <v>0</v>
      </c>
      <c r="BY45" s="77" t="n">
        <v>0</v>
      </c>
      <c r="BZ45" s="78" t="n">
        <v>0</v>
      </c>
      <c r="CA45" s="60" t="inlineStr">
        <is>
          <t>702015</t>
        </is>
      </c>
      <c r="CB45" s="76" t="inlineStr">
        <is>
          <t>HSICS (Hang Seng Industry Classification System) 2026</t>
        </is>
      </c>
      <c r="CC45" s="140" t="n">
        <v>42461</v>
      </c>
      <c r="CD45" s="171" t="n">
        <v>9.75</v>
      </c>
      <c r="CE45" s="76" t="inlineStr">
        <is>
          <t>PRC</t>
        </is>
      </c>
      <c r="CF45" s="89" t="inlineStr">
        <is>
          <t>Shenzhen, Guangdong Province, PRC</t>
        </is>
      </c>
      <c r="CG45" s="91" t="n"/>
      <c r="CH45" s="60" t="inlineStr">
        <is>
          <t>HKFRS Accounting Standards (HKFRSs)</t>
        </is>
      </c>
      <c r="CI45" s="141" t="n">
        <v>44927</v>
      </c>
      <c r="CJ45" s="141" t="n">
        <v>45291</v>
      </c>
      <c r="CK45" s="141" t="n">
        <v>45292</v>
      </c>
      <c r="CL45" s="141" t="n">
        <v>45657</v>
      </c>
      <c r="CM45" s="141" t="n">
        <v>45658</v>
      </c>
      <c r="CN45" s="64" t="n">
        <v>197845000</v>
      </c>
      <c r="CO45" s="64" t="n">
        <v>-107998000</v>
      </c>
      <c r="CP45" s="64" t="n">
        <v>-107998000</v>
      </c>
      <c r="CQ45" s="141" t="n">
        <v>46009</v>
      </c>
      <c r="CR45" s="141" t="n">
        <v>46014</v>
      </c>
      <c r="CS45" s="63" t="n">
        <v>266981106</v>
      </c>
      <c r="CT45" s="64" t="n">
        <v>131882000</v>
      </c>
      <c r="CU45" s="64" t="n">
        <v>1286000</v>
      </c>
      <c r="CV45" s="59" t="inlineStr">
        <is>
          <t>Unqualified opinion</t>
        </is>
      </c>
      <c r="CW45" s="64" t="n">
        <v>118500000</v>
      </c>
      <c r="CX45" s="102" t="inlineStr">
        <is>
          <t>SinoMedia Holding Limited; York House Investment Limited (Alphahill Funds); Wealth Strategy Holdings Limited (WSH); Infini Global Master Fund (Infini); Vered Holdings (Hong Kong) Limited (Vered HK); New Golden Future Limited; Cithara Global Multi-Strategy SPC — Bosideng Industry Investment Fund SP (Cithara Fund); Factorial Master Fund (FMF); Joy Mobile Network Pte. Ltd. (Joy Mobile)</t>
        </is>
      </c>
      <c r="CY45" s="153" t="n">
        <v>0.285</v>
      </c>
      <c r="CZ45" s="154" t="n">
        <v>46203</v>
      </c>
      <c r="DA45" s="143" t="n">
        <v>7.24</v>
      </c>
      <c r="DB45" s="63" t="n">
        <v>9730</v>
      </c>
      <c r="DC45" s="63" t="n">
        <v>16291800</v>
      </c>
      <c r="DD45" s="59" t="inlineStr">
        <is>
          <t>Subscription level 7.24 times</t>
        </is>
      </c>
      <c r="DE45" s="141" t="n">
        <v>46015</v>
      </c>
      <c r="DF45" s="141" t="n">
        <v>46020</v>
      </c>
      <c r="DG45" s="63" t="n">
        <v>22500000</v>
      </c>
      <c r="DH45" s="63" t="n">
        <v>2250000</v>
      </c>
      <c r="DI45" s="63" t="n">
        <v>20250000</v>
      </c>
      <c r="DJ45" s="63" t="n">
        <v>194400</v>
      </c>
      <c r="DK45" s="169" t="n">
        <v>0.0576</v>
      </c>
      <c r="DL45" s="59" t="inlineStr">
        <is>
          <t>Reallocation: No; Number of Offer Shares reallocated from the International Offering: 0</t>
        </is>
      </c>
      <c r="DM45" s="157" t="n">
        <v>965800000</v>
      </c>
      <c r="DN45" s="153" t="n">
        <v>0.5941</v>
      </c>
      <c r="DO45" s="102" t="n">
        <v>322500000</v>
      </c>
      <c r="DP45" s="153" t="n">
        <v>0.0499</v>
      </c>
      <c r="DQ45" s="59" t="inlineStr">
        <is>
          <t>Free float denominator = total issued shares upon listing (322,500,000); numerator = Global Offering shares less cornerstone allocation</t>
        </is>
      </c>
      <c r="DR45" s="63" t="n">
        <v>322500000</v>
      </c>
      <c r="DS45" s="153" t="n">
        <v>-0.01400936</v>
      </c>
      <c r="DT45" s="80" t="n">
        <v>38</v>
      </c>
      <c r="DU45" s="153" t="n">
        <v>0.0325381</v>
      </c>
      <c r="DV45" s="157" t="n">
        <v>53926000000</v>
      </c>
      <c r="DW45" s="158" t="n">
        <v>48.5</v>
      </c>
      <c r="DX45" s="169" t="n">
        <v>0.010417</v>
      </c>
      <c r="DY45" s="172" t="n">
        <v>11250000</v>
      </c>
      <c r="DZ45" s="146" t="n">
        <v>48.02</v>
      </c>
      <c r="EA45" s="146" t="n">
        <v>48.84</v>
      </c>
      <c r="EB45" s="146" t="n">
        <v>38.02</v>
      </c>
      <c r="EC45" s="63" t="n">
        <v>4380600</v>
      </c>
      <c r="ED45" s="169" t="n">
        <v>0.194693</v>
      </c>
      <c r="EE45" s="64" t="n"/>
      <c r="EF45" s="60" t="inlineStr">
        <is>
          <t>Mechanism B</t>
        </is>
      </c>
      <c r="EG45" s="59" t="inlineStr">
        <is>
          <t>FINI (from 22/11/2023); 2025-08-04 pricing reform (Mechanism A/B; six-month cornerstone lock-up retained); this IPO: Mechanism B</t>
        </is>
      </c>
      <c r="EH45" t="inlineStr">
        <is>
          <t>深圳迅策科技股份有限公司</t>
        </is>
      </c>
      <c r="EI45" s="174" t="inlineStr">
        <is>
          <t>Active</t>
        </is>
      </c>
      <c r="EJ45" s="175" t="n">
        <v>60.5</v>
      </c>
      <c r="EK45" s="176" t="n">
        <v>0.247423</v>
      </c>
      <c r="EL45" s="176" t="n">
        <v>0.260417</v>
      </c>
      <c r="EM45" s="176" t="n">
        <v>0.049212</v>
      </c>
      <c r="EN45" s="176" t="n">
        <v>0.031611</v>
      </c>
      <c r="EO45" s="179" t="n">
        <v>1.1889</v>
      </c>
      <c r="EP45" s="179" t="n">
        <v>1.2092</v>
      </c>
      <c r="EQ45" s="178" t="n">
        <v>26572245</v>
      </c>
      <c r="ER45" s="175" t="n">
        <v>121.8</v>
      </c>
      <c r="ES45" s="176" t="n">
        <v>1.51134</v>
      </c>
      <c r="ET45" s="176" t="n">
        <v>1.5375</v>
      </c>
      <c r="EU45" s="176" t="n">
        <v>-0.115012</v>
      </c>
      <c r="EV45" s="176" t="n">
        <v>-0.198292</v>
      </c>
      <c r="EW45" s="179" t="n">
        <v>2.8377</v>
      </c>
      <c r="EX45" s="179" t="n">
        <v>3.1325</v>
      </c>
      <c r="EY45" s="178" t="n">
        <v>356436660</v>
      </c>
      <c r="EZ45" s="176" t="n">
        <v>1.783915</v>
      </c>
      <c r="FA45" s="176" t="n"/>
      <c r="FB45" s="179" t="n"/>
      <c r="FC45" s="176" t="n"/>
      <c r="FD45" s="179" t="n"/>
      <c r="FE45" s="174" t="inlineStr">
        <is>
          <t>Standard</t>
        </is>
      </c>
      <c r="FF45" s="181" t="n"/>
      <c r="FG45" s="185" t="n"/>
      <c r="FH45" s="183" t="n"/>
      <c r="FI45" s="178" t="n"/>
      <c r="FJ45" s="176" t="n"/>
      <c r="FK45" s="185" t="n"/>
      <c r="FL45" s="178" t="n"/>
      <c r="FM45" s="176" t="n"/>
      <c r="FN45" s="176" t="n"/>
      <c r="FO45" s="176" t="n"/>
      <c r="FP45" s="176" t="n"/>
      <c r="FQ45" s="176" t="n">
        <v>-0.007835</v>
      </c>
      <c r="FR45" s="179" t="n">
        <v>0.9604</v>
      </c>
      <c r="FS45" s="176" t="n">
        <v>0.247423</v>
      </c>
      <c r="FT45" s="179" t="n">
        <v>1.1889</v>
      </c>
      <c r="FU45" s="176" t="n">
        <v>3.210309</v>
      </c>
      <c r="FV45" s="179" t="n">
        <v>4.3981</v>
      </c>
      <c r="FW45" s="179" t="n">
        <v>5.0077</v>
      </c>
      <c r="FX45" s="178" t="n">
        <v>341452819.67</v>
      </c>
      <c r="FY45" s="186" t="n">
        <v>0.001274454545454545</v>
      </c>
      <c r="FZ45" s="183" t="n">
        <v>0</v>
      </c>
      <c r="GA45" s="176" t="n">
        <v>0.1023880447657995</v>
      </c>
      <c r="GB45" s="176" t="n">
        <v>0.73093</v>
      </c>
      <c r="GC45" s="185" t="n"/>
      <c r="GD45" s="185" t="n"/>
      <c r="GE45" s="176" t="n"/>
      <c r="GF45" s="176" t="n"/>
      <c r="GG45" s="179" t="n"/>
      <c r="GH45" s="181" t="inlineStr">
        <is>
          <t>Guotai Junan Capital Limited</t>
        </is>
      </c>
      <c r="GI45" s="183" t="n">
        <v>1</v>
      </c>
      <c r="GJ45" s="183" t="n">
        <v>0</v>
      </c>
      <c r="GK45" s="176" t="n">
        <v>0.035</v>
      </c>
      <c r="GL45" s="176" t="n"/>
      <c r="GM45" s="176" t="n"/>
      <c r="GN45" s="183" t="n">
        <v>9</v>
      </c>
      <c r="GO45" s="183" t="n">
        <v>1</v>
      </c>
      <c r="GP45" s="183" t="n">
        <v>0</v>
      </c>
      <c r="GQ45" s="183" t="n">
        <v>35</v>
      </c>
      <c r="GR45" s="183" t="n">
        <v>1</v>
      </c>
      <c r="GS45" s="181" t="inlineStr">
        <is>
          <t>POST_FINI</t>
        </is>
      </c>
      <c r="GT45" s="181" t="inlineStr">
        <is>
          <t>POST_2025_REFORM</t>
        </is>
      </c>
    </row>
    <row r="46" customFormat="1" s="12">
      <c r="A46" s="60" t="n">
        <v>114</v>
      </c>
      <c r="B46" s="93" t="inlineStr">
        <is>
          <t>3696.HK</t>
        </is>
      </c>
      <c r="C46" s="59" t="inlineStr">
        <is>
          <t>InSilico Medicine Cayman TopCo</t>
        </is>
      </c>
      <c r="D46" s="149" t="n">
        <v>46009</v>
      </c>
      <c r="E46" s="95" t="n">
        <v>46021</v>
      </c>
      <c r="F46" s="60" t="inlineStr">
        <is>
          <t>Morgan Stanley Asia Limited / 
China International Capital Corporation
Hong Kong Securities Limited /
GF Capital (Hong Kong) Limited</t>
        </is>
      </c>
      <c r="G46" s="60" t="inlineStr">
        <is>
          <t>Deloitte Touche Tohmatsu</t>
        </is>
      </c>
      <c r="H46" s="60" t="n"/>
      <c r="I46" s="150" t="n">
        <v>227741475</v>
      </c>
      <c r="J46" s="148" t="n">
        <v>2391159225</v>
      </c>
      <c r="K46" s="151" t="n">
        <v>24.05</v>
      </c>
      <c r="L46" t="n">
        <v>557418500</v>
      </c>
      <c r="M46" s="98" t="n">
        <v>94690500</v>
      </c>
      <c r="N46" t="n">
        <v>462728000</v>
      </c>
      <c r="O46" t="n">
        <v>462728000</v>
      </c>
      <c r="P46" t="n">
        <v>0</v>
      </c>
      <c r="Q46" t="n">
        <v>94690500</v>
      </c>
      <c r="R46" s="98" t="n">
        <v>85221000</v>
      </c>
      <c r="S46" s="98" t="n">
        <v>9469500</v>
      </c>
      <c r="T46" s="152" t="n">
        <v>24.05</v>
      </c>
      <c r="U46" s="152" t="n">
        <v>24.05</v>
      </c>
      <c r="V46" s="169" t="n">
        <v>0</v>
      </c>
      <c r="W46" s="169" t="n">
        <v>0</v>
      </c>
      <c r="X46" s="170" t="inlineStr">
        <is>
          <t>Fixed price</t>
        </is>
      </c>
      <c r="Y46" s="26" t="inlineStr">
        <is>
          <t>USD</t>
        </is>
      </c>
      <c r="Z46" s="137" t="n">
        <v>202795000</v>
      </c>
      <c r="AA46" s="137" t="n">
        <v>144002000</v>
      </c>
      <c r="AB46" s="137" t="n">
        <v>241311000</v>
      </c>
      <c r="AC46" s="137" t="n">
        <v>-650158000</v>
      </c>
      <c r="AD46" s="137" t="n">
        <v>-663923000</v>
      </c>
      <c r="AE46" s="137" t="n">
        <v>-681364000</v>
      </c>
      <c r="AF46" s="137" t="n">
        <v>852953000</v>
      </c>
      <c r="AG46" s="137" t="n">
        <v>807925000</v>
      </c>
      <c r="AH46" s="137" t="n">
        <v>922675000</v>
      </c>
      <c r="AI46" s="137" t="n">
        <v>51180000</v>
      </c>
      <c r="AJ46" s="137" t="n">
        <v>85834000</v>
      </c>
      <c r="AK46" s="137" t="n">
        <v>54912000</v>
      </c>
      <c r="AL46" s="137" t="n">
        <v>-211556000</v>
      </c>
      <c r="AM46" s="137" t="n">
        <v>-16935000</v>
      </c>
      <c r="AN46" s="137" t="n">
        <v>-38348000</v>
      </c>
      <c r="AO46" s="137" t="n">
        <v>-211640000</v>
      </c>
      <c r="AP46" s="137" t="n">
        <v>-17096000</v>
      </c>
      <c r="AQ46" s="137" t="n">
        <v>-38430000</v>
      </c>
      <c r="AR46" s="153" t="n">
        <v>0.03</v>
      </c>
      <c r="AS46" s="153" t="n">
        <v>0.03</v>
      </c>
      <c r="AT46" s="101" t="n">
        <v>0.15</v>
      </c>
      <c r="AU46" s="102" t="inlineStr">
        <is>
          <t>AI-driven drug discovery and development (biopharmaceutical)</t>
        </is>
      </c>
      <c r="AV46" s="102" t="inlineStr">
        <is>
          <t>Main Board (Rule 8.05(3) market capitalisation/revenue test)</t>
        </is>
      </c>
      <c r="AW46" s="154" t="n">
        <v>45838</v>
      </c>
      <c r="AX46" s="137" t="n">
        <v>-36842000</v>
      </c>
      <c r="AY46" s="117" t="n">
        <v>212130000</v>
      </c>
      <c r="AZ46" s="117" t="n">
        <v>35571000</v>
      </c>
      <c r="BA46" s="117" t="n">
        <v>0</v>
      </c>
      <c r="BB46" s="155" t="n">
        <v>0.862</v>
      </c>
      <c r="BC46" s="139" t="n">
        <v>0.5</v>
      </c>
      <c r="BD46" s="80" t="n">
        <v>1</v>
      </c>
      <c r="BE46" t="n">
        <v>1</v>
      </c>
      <c r="BF46" t="n">
        <v>1</v>
      </c>
      <c r="BG46" t="n">
        <v>1</v>
      </c>
      <c r="BH46" t="n">
        <v>1</v>
      </c>
      <c r="BI46" t="n">
        <v>1</v>
      </c>
      <c r="BJ46" t="inlineStr">
        <is>
          <t>Qiming Venture Partners VI, L.P.; Qiming Managing Directors Fund VI, L.P.; Qiming Venture Partners VII, L.P.; Qiming VII Strategic Investors Fund, L.P.; LAV Biosciences Fund V, L.P.; LAV Fund VI, L.P.; LAV Fund VI Opportunities, L.P.; A-level Capital; BMH Capital; Bold Capital II; Bold Capital Partners Select, LP; Synaro; WuXi; Sinovation Fund IV, L.P.; SV China Healthcare Fund, L.P.; Baidu Ventures L.P.; Longevity Vision Holding I LLC; ERVC Healthcare IV, L.P.; ERVC Technology IV LP; Eight Roads Ventures Japan II L.P.; F-Prime Capital Partners Life Sciences Fund VI LP; Tubus LLC; Michael Antonov Charitable Foundation Inc.; Formic Ventures; Palace Investments; Mesolite Gem Investments Ltd; HSG Growth VI Holdco E, Ltd.; B Capital China III - LLC; B Capital (China) I HoldCo IV Pte. Ltd.; Deerfield Partners, L.P.; Deerfield Private Design Fund V, L.P.; Mirae Asset Growth 6 Investment Company Limited; Mirae Asset New Economy Fund L.P.; Mirae Asset Sage New Technology Investment Fund I; Mirae Asset Global Innovation Fund I; President (BVI) International Investment Holdings Ltd; LBC Sunshine Healthcare Fund II L.P.; CYX Technology Investment Limited; MSPR III Holdings Limited; GSUM VI Holdings Limited; OrbiMed Asia Partners IV, L.P.; MS Sublime Limited; WS Investment Company, LLC; Sage Partners Alpha 1 L.P.; Prosperity7; Value Partners Silver Dart Apollo Holdings Limited; Pudong ChuangLing (Hong Kong) Limited; Shanghai Puxing Synergetic Fund L.P.; Wuxi Xichuang Xingyi Health Industry Equity Investment Partnership (Limited Partnership); Anchor International Limited; Dream Team Ventures Limited; Fosun Industrial Co., Limited; SMALLCAP World Fund, Inc.; Sino Biopharmaceutical Limited; BHR Investment Fund X, L.P.; Grand Leader Investments Limited; Kawn Holdings RSC LTD</t>
        </is>
      </c>
      <c r="BK46" t="n">
        <v>0.835</v>
      </c>
      <c r="BL46" t="n">
        <v>1</v>
      </c>
      <c r="BM46" t="inlineStr">
        <is>
          <t>Series A</t>
        </is>
      </c>
      <c r="BN46" t="n">
        <v>7.55</v>
      </c>
      <c r="BO46" s="102" t="inlineStr">
        <is>
          <t>Natural person (single largest shareholder; no controlling shareholder)</t>
        </is>
      </c>
      <c r="BP46" s="156" t="n">
        <v>0.092</v>
      </c>
      <c r="BQ46" s="156" t="n">
        <v>0.1008</v>
      </c>
      <c r="BR46" s="137" t="n">
        <v>896091000</v>
      </c>
      <c r="BS46" s="102" t="inlineStr">
        <is>
          <t>Research/clinical development stage - no drug candidate commercialized as of the Latest Practicable Date</t>
        </is>
      </c>
      <c r="BT46" s="153" t="n">
        <v>0</v>
      </c>
      <c r="BU46" s="60" t="inlineStr">
        <is>
          <t>Main Board</t>
        </is>
      </c>
      <c r="BV46" s="89" t="inlineStr">
        <is>
          <t>Ordinary Shares (single class; Preferred Shares re-designated into Ordinary Shares on Listing)</t>
        </is>
      </c>
      <c r="BW46" s="61" t="n">
        <v>0</v>
      </c>
      <c r="BX46" s="77" t="n">
        <v>0</v>
      </c>
      <c r="BY46" s="77" t="n">
        <v>0</v>
      </c>
      <c r="BZ46" s="78" t="n">
        <v>0</v>
      </c>
      <c r="CA46" s="60" t="inlineStr">
        <is>
          <t>281010</t>
        </is>
      </c>
      <c r="CB46" s="76" t="inlineStr">
        <is>
          <t>HSICS (Hang Seng Industry Classification System) 2026</t>
        </is>
      </c>
      <c r="CC46" s="140" t="n">
        <v>43423</v>
      </c>
      <c r="CD46" s="171" t="n">
        <v>7.11</v>
      </c>
      <c r="CE46" s="76" t="inlineStr">
        <is>
          <t>Cayman Islands</t>
        </is>
      </c>
      <c r="CF46" s="89" t="inlineStr">
        <is>
          <t>Hong Kong (also Shanghai, PRC)</t>
        </is>
      </c>
      <c r="CG46" s="91" t="n"/>
      <c r="CH46" s="60" t="inlineStr">
        <is>
          <t>IFRS Accounting Standards</t>
        </is>
      </c>
      <c r="CI46" s="141" t="n">
        <v>44927</v>
      </c>
      <c r="CJ46" s="141" t="n">
        <v>45291</v>
      </c>
      <c r="CK46" s="141" t="n">
        <v>45292</v>
      </c>
      <c r="CL46" s="141" t="n">
        <v>45657</v>
      </c>
      <c r="CM46" s="141" t="n">
        <v>45658</v>
      </c>
      <c r="CN46" s="64" t="n">
        <v>27456000</v>
      </c>
      <c r="CO46" s="64" t="n">
        <v>-19174000</v>
      </c>
      <c r="CP46" s="64" t="n">
        <v>-19215000</v>
      </c>
      <c r="CQ46" s="141" t="n">
        <v>46009</v>
      </c>
      <c r="CR46" s="141" t="n">
        <v>46014</v>
      </c>
      <c r="CS46" s="63" t="n">
        <v>557418500</v>
      </c>
      <c r="CT46" s="64" t="n">
        <v>23019000</v>
      </c>
      <c r="CU46" s="64" t="n">
        <v>978000</v>
      </c>
      <c r="CV46" s="59" t="inlineStr">
        <is>
          <t>Unqualified opinion</t>
        </is>
      </c>
      <c r="CW46" s="64" t="n">
        <v>251500000</v>
      </c>
      <c r="CX46" s="102" t="inlineStr">
        <is>
          <t>Eli Lilly and Company; Tencent; Oaktree Capital Management, L.P.; Schroders; Temasek; UBS Asset Management (Singapore) Ltd.; China Asset Management (Hong Kong) Limited; Pacific Asset Management Co., Ltd.; E Fund Management Co., Ltd.; Fullgoal Asset Management (HK) Limited; Fullgoal Fund Management Co., Ltd.; Harvest Global Investments Limited; Taikang Life Insurance Co., Ltd; RTW Investments, LP; Exome Asset Management LLC; Infini Global Master Fund</t>
        </is>
      </c>
      <c r="CY46" s="153" t="n">
        <v>0.3929</v>
      </c>
      <c r="CZ46" s="154" t="n">
        <v>46203</v>
      </c>
      <c r="DA46" s="143" t="n">
        <v>1427.37</v>
      </c>
      <c r="DB46" s="63" t="n">
        <v>221926</v>
      </c>
      <c r="DC46" s="63" t="n">
        <v>13516468000</v>
      </c>
      <c r="DD46" s="59" t="inlineStr">
        <is>
          <t>Subscription level 1,427.37 times</t>
        </is>
      </c>
      <c r="DE46" s="141" t="inlineStr">
        <is>
          <t>NA</t>
        </is>
      </c>
      <c r="DF46" s="141" t="n">
        <v>46020</v>
      </c>
      <c r="DG46" s="63" t="n">
        <v>94690500</v>
      </c>
      <c r="DH46" s="63" t="n">
        <v>9469500</v>
      </c>
      <c r="DI46" s="63" t="n">
        <v>85221000</v>
      </c>
      <c r="DJ46" s="63" t="n">
        <v>14203500</v>
      </c>
      <c r="DK46" s="169" t="n">
        <v>1</v>
      </c>
      <c r="DL46" s="59" t="inlineStr">
        <is>
          <t>Claw-back triggered: N/A (no claw-back from the International Offering to the Hong Kong Public Offering; the final number of Hong Kong Offer Shares remained 9,469,500, equal to the initial number)</t>
        </is>
      </c>
      <c r="DM46" s="157" t="n">
        <v>2025800000</v>
      </c>
      <c r="DN46" s="153" t="n">
        <v>0.9155</v>
      </c>
      <c r="DO46" s="102" t="n">
        <v>557418500</v>
      </c>
      <c r="DP46" s="153" t="n">
        <v>0.1031</v>
      </c>
      <c r="DQ46" s="59" t="inlineStr">
        <is>
          <t>Free float denominator = number of issued Shares upon Listing, before exercise of the Over-allotment Option (557,418,500 Shares); free float numerator = 94,690,500 Offer Shares less the 37,204,500 Offer Shares allocated to Cornerstone Investors = 57,486,000 unrestricted Shares</t>
        </is>
      </c>
      <c r="DR46" s="63" t="n">
        <v>557418500</v>
      </c>
      <c r="DS46" s="153" t="n">
        <v>-0.01400936</v>
      </c>
      <c r="DT46" s="80" t="n">
        <v>38</v>
      </c>
      <c r="DU46" s="153" t="n">
        <v>0.0325381</v>
      </c>
      <c r="DV46" s="157" t="n">
        <v>53926000000</v>
      </c>
      <c r="DW46" s="158" t="n">
        <v>29.98</v>
      </c>
      <c r="DX46" s="169" t="n">
        <v>0.24657</v>
      </c>
      <c r="DY46" s="172" t="n">
        <v>561514665</v>
      </c>
      <c r="DZ46" s="146" t="n">
        <v>35</v>
      </c>
      <c r="EA46" s="146" t="n">
        <v>35.7</v>
      </c>
      <c r="EB46" s="146" t="n">
        <v>29.98</v>
      </c>
      <c r="EC46" s="63" t="n">
        <v>37735345</v>
      </c>
      <c r="ED46" s="169" t="n">
        <v>0.398512</v>
      </c>
      <c r="EE46" s="64" t="n"/>
      <c r="EF46" s="60" t="inlineStr">
        <is>
          <t>Mechanism B</t>
        </is>
      </c>
      <c r="EG46" s="59" t="inlineStr">
        <is>
          <t>FINI (from 22/11/2023); 2025-08-04 pricing reform (Mechanism A/B; six-month cornerstone lock-up retained); this IPO: Mechanism B</t>
        </is>
      </c>
      <c r="EH46" t="inlineStr">
        <is>
          <t>英矽智能</t>
        </is>
      </c>
      <c r="EI46" s="174" t="inlineStr">
        <is>
          <t>Active</t>
        </is>
      </c>
      <c r="EJ46" s="175" t="n">
        <v>60.7</v>
      </c>
      <c r="EK46" s="176" t="n">
        <v>1.024683</v>
      </c>
      <c r="EL46" s="176" t="n">
        <v>1.523909</v>
      </c>
      <c r="EM46" s="176" t="n">
        <v>0.049212</v>
      </c>
      <c r="EN46" s="176" t="n">
        <v>0.031611</v>
      </c>
      <c r="EO46" s="179" t="n">
        <v>1.9297</v>
      </c>
      <c r="EP46" s="179" t="n">
        <v>1.9626</v>
      </c>
      <c r="EQ46" s="178" t="n">
        <v>243072850</v>
      </c>
      <c r="ER46" s="175" t="n">
        <v>39.62</v>
      </c>
      <c r="ES46" s="176" t="n">
        <v>0.321548</v>
      </c>
      <c r="ET46" s="176" t="n">
        <v>0.647401</v>
      </c>
      <c r="EU46" s="176" t="n">
        <v>-0.115012</v>
      </c>
      <c r="EV46" s="176" t="n">
        <v>-0.198292</v>
      </c>
      <c r="EW46" s="179" t="n">
        <v>1.4933</v>
      </c>
      <c r="EX46" s="179" t="n">
        <v>1.6484</v>
      </c>
      <c r="EY46" s="178" t="n">
        <v>342959610</v>
      </c>
      <c r="EZ46" s="176" t="n">
        <v>0.270939</v>
      </c>
      <c r="FA46" s="176" t="n"/>
      <c r="FB46" s="179" t="n"/>
      <c r="FC46" s="176" t="n"/>
      <c r="FD46" s="179" t="n"/>
      <c r="FE46" s="174" t="inlineStr">
        <is>
          <t>Standard</t>
        </is>
      </c>
      <c r="FF46" s="181" t="n"/>
      <c r="FG46" s="185" t="n"/>
      <c r="FH46" s="183" t="n"/>
      <c r="FI46" s="178" t="n"/>
      <c r="FJ46" s="176" t="n"/>
      <c r="FK46" s="185" t="n"/>
      <c r="FL46" s="178" t="n"/>
      <c r="FM46" s="176" t="n"/>
      <c r="FN46" s="176" t="n"/>
      <c r="FO46" s="176" t="n"/>
      <c r="FP46" s="176" t="n"/>
      <c r="FQ46" s="176" t="n">
        <v>0.272181</v>
      </c>
      <c r="FR46" s="179" t="n">
        <v>1.2314</v>
      </c>
      <c r="FS46" s="176" t="n">
        <v>1.024683</v>
      </c>
      <c r="FT46" s="179" t="n">
        <v>1.9297</v>
      </c>
      <c r="FU46" s="176" t="n">
        <v>0.957972</v>
      </c>
      <c r="FV46" s="179" t="n">
        <v>2.0453</v>
      </c>
      <c r="FW46" s="179" t="n">
        <v>2.3288</v>
      </c>
      <c r="FX46" s="178" t="n">
        <v>187365821.31</v>
      </c>
      <c r="FY46" s="186" t="n">
        <v>0.000269099173553719</v>
      </c>
      <c r="FZ46" s="183" t="n">
        <v>0</v>
      </c>
      <c r="GA46" s="176" t="n">
        <v>0.06797644338836464</v>
      </c>
      <c r="GB46" s="176" t="n">
        <v>0.593572</v>
      </c>
      <c r="GC46" s="185" t="n"/>
      <c r="GD46" s="185" t="n"/>
      <c r="GE46" s="176" t="n"/>
      <c r="GF46" s="176" t="n"/>
      <c r="GG46" s="179" t="n"/>
      <c r="GH46" s="181" t="inlineStr">
        <is>
          <t>Morgan Stanley Asia Limited</t>
        </is>
      </c>
      <c r="GI46" s="183" t="n">
        <v>3</v>
      </c>
      <c r="GJ46" s="183" t="n">
        <v>0</v>
      </c>
      <c r="GK46" s="176" t="n">
        <v>0.03</v>
      </c>
      <c r="GL46" s="176" t="n"/>
      <c r="GM46" s="176" t="n"/>
      <c r="GN46" s="183" t="n">
        <v>21</v>
      </c>
      <c r="GO46" s="183" t="n">
        <v>1</v>
      </c>
      <c r="GP46" s="183" t="n">
        <v>0</v>
      </c>
      <c r="GQ46" s="183" t="n">
        <v>75</v>
      </c>
      <c r="GR46" s="183" t="n">
        <v>1</v>
      </c>
      <c r="GS46" s="181" t="inlineStr">
        <is>
          <t>POST_FINI</t>
        </is>
      </c>
      <c r="GT46" s="181" t="inlineStr">
        <is>
          <t>POST_2025_REFORM</t>
        </is>
      </c>
    </row>
    <row r="47" customFormat="1" s="12">
      <c r="A47" s="60" t="n">
        <v>115</v>
      </c>
      <c r="B47" s="93" t="inlineStr">
        <is>
          <t>6600.HK</t>
        </is>
      </c>
      <c r="C47" s="59" t="inlineStr">
        <is>
          <t>OneRobotics (Shenzhen) Co., Ltd.- H shares</t>
        </is>
      </c>
      <c r="D47" s="149" t="n">
        <v>46009</v>
      </c>
      <c r="E47" s="95" t="n">
        <v>46021</v>
      </c>
      <c r="F47" s="60" t="inlineStr">
        <is>
          <t>Guotai Junan Capital Limited / 
Huatai Financial Holdings (Hong Kong) Limited</t>
        </is>
      </c>
      <c r="G47" s="60" t="inlineStr">
        <is>
          <t>Ernst &amp; Young</t>
        </is>
      </c>
      <c r="H47" s="60" t="n"/>
      <c r="I47" s="150" t="n">
        <v>164005740</v>
      </c>
      <c r="J47" s="148" t="n">
        <v>1707274440</v>
      </c>
      <c r="K47" s="151" t="n">
        <v>73.8</v>
      </c>
      <c r="L47" t="n">
        <v>222222300</v>
      </c>
      <c r="M47" s="98" t="n">
        <v>22222300</v>
      </c>
      <c r="N47" t="n">
        <v>200000000</v>
      </c>
      <c r="O47" t="n">
        <v>200000000</v>
      </c>
      <c r="P47" t="n">
        <v>0</v>
      </c>
      <c r="Q47" t="n">
        <v>22222300</v>
      </c>
      <c r="R47" s="98" t="n">
        <v>20000000</v>
      </c>
      <c r="S47" s="98" t="n">
        <v>2222300</v>
      </c>
      <c r="T47" s="152" t="n">
        <v>81</v>
      </c>
      <c r="U47" s="152" t="n">
        <v>63</v>
      </c>
      <c r="V47" s="169" t="n">
        <v>0.025</v>
      </c>
      <c r="W47" s="169" t="n">
        <v>0.25</v>
      </c>
      <c r="X47" s="170" t="inlineStr">
        <is>
          <t>Within range</t>
        </is>
      </c>
      <c r="Y47" s="26" t="inlineStr">
        <is>
          <t>RMB</t>
        </is>
      </c>
      <c r="Z47" s="137" t="n">
        <v>374469000</v>
      </c>
      <c r="AA47" s="137" t="n">
        <v>452532000</v>
      </c>
      <c r="AB47" s="137" t="n">
        <v>670680000</v>
      </c>
      <c r="AC47" s="137" t="n">
        <v>196401000</v>
      </c>
      <c r="AD47" s="137" t="n">
        <v>197505000</v>
      </c>
      <c r="AE47" s="137" t="n">
        <v>291101000</v>
      </c>
      <c r="AF47" s="137" t="n">
        <v>178068000</v>
      </c>
      <c r="AG47" s="137" t="n">
        <v>255027000</v>
      </c>
      <c r="AH47" s="137" t="n">
        <v>379579000</v>
      </c>
      <c r="AI47" s="137" t="n">
        <v>457264000</v>
      </c>
      <c r="AJ47" s="137" t="n">
        <v>609924000</v>
      </c>
      <c r="AK47" s="137" t="n">
        <v>792588000</v>
      </c>
      <c r="AL47" s="137" t="n">
        <v>-16287000</v>
      </c>
      <c r="AM47" s="137" t="n">
        <v>-2674000</v>
      </c>
      <c r="AN47" s="137" t="n">
        <v>48252000</v>
      </c>
      <c r="AO47" s="137" t="n">
        <v>-16376000</v>
      </c>
      <c r="AP47" s="137" t="n">
        <v>-3074000</v>
      </c>
      <c r="AQ47" s="137" t="n">
        <v>55806000</v>
      </c>
      <c r="AR47" s="153" t="n">
        <v>0.0225</v>
      </c>
      <c r="AS47" s="153" t="n">
        <v>0.0225</v>
      </c>
      <c r="AT47" s="101" t="n">
        <v>0.15</v>
      </c>
      <c r="AU47" s="102" t="inlineStr">
        <is>
          <t>Home robotic systems (smart home robotic products)</t>
        </is>
      </c>
      <c r="AV47" s="102" t="inlineStr">
        <is>
          <t>Main Board Rule 8.05(3) (market capitalisation/revenue test)</t>
        </is>
      </c>
      <c r="AW47" s="154" t="n">
        <v>45838</v>
      </c>
      <c r="AX47" s="137" t="n">
        <v>29167000</v>
      </c>
      <c r="AY47" s="117" t="n">
        <v>197065000</v>
      </c>
      <c r="AZ47" s="117" t="n">
        <v>58679000</v>
      </c>
      <c r="BA47" s="117" t="n">
        <v>0</v>
      </c>
      <c r="BB47" s="155" t="n">
        <v>0.535</v>
      </c>
      <c r="BC47" s="139" t="n">
        <v>0.5</v>
      </c>
      <c r="BD47" s="80" t="n">
        <v>1</v>
      </c>
      <c r="BE47" t="n">
        <v>1</v>
      </c>
      <c r="BF47" t="n">
        <v>1</v>
      </c>
      <c r="BG47" t="inlineStr">
        <is>
          <t>NaN</t>
        </is>
      </c>
      <c r="BH47" t="n">
        <v>1</v>
      </c>
      <c r="BI47" t="inlineStr">
        <is>
          <t>NaN</t>
        </is>
      </c>
      <c r="BJ47" t="inlineStr">
        <is>
          <t>Songshan Lake Robot Institute; Yinghu Intelligent; Dongguan Yunhe; Brizan Ventures V; Suzhou Yuanming VC LP; Shenzhen Fortune PE LP; Shenzhen Fortune Capital VC; Shenzhen Caizhi PE LP; Shanghai Chenjun; Ventech; Nanjing Qingke Letai LP; Guotiao Innovation PE Fund LP; Tianjin Yuntai LP; Zhuhai Ansheng Investment LP; Shenzhen Langke Investment; Shenzhen Wanshan LP</t>
        </is>
      </c>
      <c r="BK47" t="n">
        <v>0.5547</v>
      </c>
      <c r="BL47" t="n">
        <v>1</v>
      </c>
      <c r="BM47" t="inlineStr">
        <is>
          <t>Series Angel Financing</t>
        </is>
      </c>
      <c r="BN47" t="n">
        <v>8.17</v>
      </c>
      <c r="BO47" s="102" t="inlineStr">
        <is>
          <t>Natural person</t>
        </is>
      </c>
      <c r="BP47" s="156" t="n">
        <v>0.4007</v>
      </c>
      <c r="BQ47" s="156" t="n">
        <v>0.4007</v>
      </c>
      <c r="BR47" s="137" t="n">
        <v>143819000</v>
      </c>
      <c r="BS47" s="102" t="inlineStr">
        <is>
          <t>Commercialised</t>
        </is>
      </c>
      <c r="BT47" s="153" t="n">
        <v>0.038</v>
      </c>
      <c r="BU47" s="60" t="inlineStr">
        <is>
          <t>Main Board</t>
        </is>
      </c>
      <c r="BV47" s="89" t="inlineStr">
        <is>
          <t>H Shares</t>
        </is>
      </c>
      <c r="BW47" s="61" t="n">
        <v>0</v>
      </c>
      <c r="BX47" s="77" t="n">
        <v>0</v>
      </c>
      <c r="BY47" s="77" t="n">
        <v>0</v>
      </c>
      <c r="BZ47" s="78" t="n">
        <v>0</v>
      </c>
      <c r="CA47" s="60" t="inlineStr">
        <is>
          <t>232010</t>
        </is>
      </c>
      <c r="CB47" s="76" t="inlineStr">
        <is>
          <t>HSICS (Hang Seng Industry Classification System) 2026</t>
        </is>
      </c>
      <c r="CC47" s="140" t="n">
        <v>43391</v>
      </c>
      <c r="CD47" s="171" t="n">
        <v>7.2</v>
      </c>
      <c r="CE47" s="76" t="inlineStr">
        <is>
          <t>PRC</t>
        </is>
      </c>
      <c r="CF47" s="89" t="inlineStr">
        <is>
          <t>Shenzhen, Guangdong Province, the PRC</t>
        </is>
      </c>
      <c r="CG47" s="91" t="n"/>
      <c r="CH47" s="60" t="inlineStr">
        <is>
          <t>IFRS Accounting Standards</t>
        </is>
      </c>
      <c r="CI47" s="141" t="n">
        <v>44927</v>
      </c>
      <c r="CJ47" s="141" t="n">
        <v>45291</v>
      </c>
      <c r="CK47" s="141" t="n">
        <v>45292</v>
      </c>
      <c r="CL47" s="141" t="n">
        <v>45657</v>
      </c>
      <c r="CM47" s="141" t="n">
        <v>45658</v>
      </c>
      <c r="CN47" s="64" t="n">
        <v>396294000</v>
      </c>
      <c r="CO47" s="64" t="n">
        <v>24126000</v>
      </c>
      <c r="CP47" s="64" t="n">
        <v>27903000</v>
      </c>
      <c r="CQ47" s="141" t="n">
        <v>46009</v>
      </c>
      <c r="CR47" s="141" t="n">
        <v>46014</v>
      </c>
      <c r="CS47" s="63" t="n">
        <v>222222300</v>
      </c>
      <c r="CT47" s="64" t="n">
        <v>214753000</v>
      </c>
      <c r="CU47" s="64" t="n">
        <v>5591000</v>
      </c>
      <c r="CV47" s="59" t="inlineStr">
        <is>
          <t>Unqualified opinion</t>
        </is>
      </c>
      <c r="CW47" s="64" t="n">
        <v>95100000</v>
      </c>
      <c r="CX47" s="102" t="inlineStr">
        <is>
          <t>HACF, L.P.; Cithara Global Multi-Strategy SPC — Bosideng Industry Investment Fund SP; Infini Global Master Fund; China Orient Enhanced Income Fund; China Orient Multi-Strategy Master Fund; Wind Sabre Fund SPC on behalf of Wind Sabre Opportunities Fund SP; Yield Royal Investment Holding (Singapore) PTE. LTD.; Sage Partners Master Fund; Sage Sunshine 1 Limited</t>
        </is>
      </c>
      <c r="CY47" s="153" t="n">
        <v>0.4268</v>
      </c>
      <c r="CZ47" s="154" t="n">
        <v>46203</v>
      </c>
      <c r="DA47" s="143" t="n">
        <v>254.5</v>
      </c>
      <c r="DB47" s="63" t="n">
        <v>89935</v>
      </c>
      <c r="DC47" s="63" t="n">
        <v>565575350</v>
      </c>
      <c r="DD47" s="59" t="inlineStr">
        <is>
          <t>Subscription level 254.50 times</t>
        </is>
      </c>
      <c r="DE47" s="141" t="n">
        <v>46015</v>
      </c>
      <c r="DF47" s="141" t="n">
        <v>46020</v>
      </c>
      <c r="DG47" s="63" t="n">
        <v>22222300</v>
      </c>
      <c r="DH47" s="63" t="n">
        <v>2222300</v>
      </c>
      <c r="DI47" s="63" t="n">
        <v>20000000</v>
      </c>
      <c r="DJ47" s="63" t="n">
        <v>3133800</v>
      </c>
      <c r="DK47" s="169" t="n">
        <v>0.940137</v>
      </c>
      <c r="DL47" s="59" t="inlineStr">
        <is>
          <t>No claw-back/reallocation: Claw-back triggered N/A; final no. of Offer Shares under the Hong Kong Public Offering 2,222,300, equal to the 2,222,300 initially available</t>
        </is>
      </c>
      <c r="DM47" s="157" t="n">
        <v>1543890000</v>
      </c>
      <c r="DN47" s="153" t="n">
        <v>0.395</v>
      </c>
      <c r="DO47" s="102" t="n">
        <v>222222300</v>
      </c>
      <c r="DP47" s="153" t="n">
        <v>0.0573</v>
      </c>
      <c r="DQ47" s="59" t="inlineStr">
        <is>
          <t>Free float H Shares upon Listing (12,737,800) as a proportion of the total number of issued H Shares upon Listing (222,222,300)</t>
        </is>
      </c>
      <c r="DR47" s="63" t="n">
        <v>222222300</v>
      </c>
      <c r="DS47" s="153" t="n">
        <v>-0.01400936</v>
      </c>
      <c r="DT47" s="80" t="n">
        <v>38</v>
      </c>
      <c r="DU47" s="153" t="n">
        <v>0.0325381</v>
      </c>
      <c r="DV47" s="157" t="n">
        <v>53926000000</v>
      </c>
      <c r="DW47" s="158" t="n">
        <v>73.84999999999999</v>
      </c>
      <c r="DX47" s="169" t="n">
        <v>0.000678</v>
      </c>
      <c r="DY47" s="172" t="n">
        <v>1111115</v>
      </c>
      <c r="DZ47" s="146" t="n">
        <v>73.8</v>
      </c>
      <c r="EA47" s="146" t="n">
        <v>75</v>
      </c>
      <c r="EB47" s="146" t="n">
        <v>73.8</v>
      </c>
      <c r="EC47" s="63" t="n">
        <v>4724850</v>
      </c>
      <c r="ED47" s="169" t="n">
        <v>0.212618</v>
      </c>
      <c r="EE47" s="64" t="n"/>
      <c r="EF47" s="60" t="inlineStr">
        <is>
          <t>Mechanism B</t>
        </is>
      </c>
      <c r="EG47" s="59" t="inlineStr">
        <is>
          <t>FINI (from 22/11/2023); 2025-08-04 pricing reform (Mechanism A/B; six-month cornerstone lock-up retained); this IPO: Mechanism B</t>
        </is>
      </c>
      <c r="EH47" t="inlineStr">
        <is>
          <t>卧安机器人（深圳）股份有限公司</t>
        </is>
      </c>
      <c r="EI47" s="174" t="inlineStr">
        <is>
          <t>Active</t>
        </is>
      </c>
      <c r="EJ47" s="175" t="n">
        <v>155</v>
      </c>
      <c r="EK47" s="176" t="n">
        <v>1.098849</v>
      </c>
      <c r="EL47" s="176" t="n">
        <v>1.100271</v>
      </c>
      <c r="EM47" s="176" t="n">
        <v>0.049212</v>
      </c>
      <c r="EN47" s="176" t="n">
        <v>0.031611</v>
      </c>
      <c r="EO47" s="179" t="n">
        <v>2.0004</v>
      </c>
      <c r="EP47" s="179" t="n">
        <v>2.0345</v>
      </c>
      <c r="EQ47" s="178" t="n">
        <v>70560913</v>
      </c>
      <c r="ER47" s="175" t="n">
        <v>56.85</v>
      </c>
      <c r="ES47" s="176" t="n">
        <v>-0.230196</v>
      </c>
      <c r="ET47" s="176" t="n">
        <v>-0.229675</v>
      </c>
      <c r="EU47" s="176" t="n">
        <v>-0.115012</v>
      </c>
      <c r="EV47" s="176" t="n">
        <v>-0.198292</v>
      </c>
      <c r="EW47" s="179" t="n">
        <v>0.8698</v>
      </c>
      <c r="EX47" s="179" t="n">
        <v>0.9602000000000001</v>
      </c>
      <c r="EY47" s="178" t="n">
        <v>47008318</v>
      </c>
      <c r="EZ47" s="176" t="n">
        <v>0.139274</v>
      </c>
      <c r="FA47" s="176" t="n"/>
      <c r="FB47" s="179" t="n"/>
      <c r="FC47" s="176" t="n"/>
      <c r="FD47" s="179" t="n"/>
      <c r="FE47" s="174" t="inlineStr">
        <is>
          <t>Standard</t>
        </is>
      </c>
      <c r="FF47" s="181" t="n"/>
      <c r="FG47" s="185" t="n"/>
      <c r="FH47" s="183" t="n"/>
      <c r="FI47" s="178" t="n"/>
      <c r="FJ47" s="176" t="n"/>
      <c r="FK47" s="185" t="n"/>
      <c r="FL47" s="178" t="n"/>
      <c r="FM47" s="176" t="n"/>
      <c r="FN47" s="176" t="n"/>
      <c r="FO47" s="176" t="n"/>
      <c r="FP47" s="176" t="n"/>
      <c r="FQ47" s="176" t="n">
        <v>0.40826</v>
      </c>
      <c r="FR47" s="179" t="n">
        <v>1.3631</v>
      </c>
      <c r="FS47" s="176" t="n">
        <v>1.098849</v>
      </c>
      <c r="FT47" s="179" t="n">
        <v>2.0004</v>
      </c>
      <c r="FU47" s="176" t="n">
        <v>0.312796</v>
      </c>
      <c r="FV47" s="179" t="n">
        <v>1.3713</v>
      </c>
      <c r="FW47" s="179" t="n">
        <v>1.5614</v>
      </c>
      <c r="FX47" s="178" t="n">
        <v>83946253.44</v>
      </c>
      <c r="FY47" s="186" t="n">
        <v>0.0008501570247933884</v>
      </c>
      <c r="FZ47" s="183" t="n">
        <v>0</v>
      </c>
      <c r="GA47" s="176" t="n">
        <v>0.06009078315556991</v>
      </c>
      <c r="GB47" s="176" t="n">
        <v>0.731647</v>
      </c>
      <c r="GC47" s="185" t="n"/>
      <c r="GD47" s="185" t="n"/>
      <c r="GE47" s="176" t="n"/>
      <c r="GF47" s="176" t="n"/>
      <c r="GG47" s="179" t="n"/>
      <c r="GH47" s="181" t="inlineStr">
        <is>
          <t>Guotai Junan Capital Limited</t>
        </is>
      </c>
      <c r="GI47" s="183" t="n">
        <v>2</v>
      </c>
      <c r="GJ47" s="183" t="n">
        <v>0</v>
      </c>
      <c r="GK47" s="176" t="n">
        <v>0.0225</v>
      </c>
      <c r="GL47" s="176" t="n"/>
      <c r="GM47" s="176" t="n"/>
      <c r="GN47" s="183" t="n">
        <v>10</v>
      </c>
      <c r="GO47" s="183" t="n">
        <v>1</v>
      </c>
      <c r="GP47" s="183" t="n">
        <v>0</v>
      </c>
      <c r="GQ47" s="183" t="n">
        <v>16</v>
      </c>
      <c r="GR47" s="183" t="n">
        <v>1</v>
      </c>
      <c r="GS47" s="181" t="inlineStr">
        <is>
          <t>POST_FINI</t>
        </is>
      </c>
      <c r="GT47" s="181" t="inlineStr">
        <is>
          <t>POST_2025_REFORM</t>
        </is>
      </c>
    </row>
    <row r="48" customFormat="1" s="12">
      <c r="A48" s="60" t="n">
        <v>113</v>
      </c>
      <c r="B48" s="93" t="inlineStr">
        <is>
          <t>6651.HK</t>
        </is>
      </c>
      <c r="C48" s="59" t="inlineStr">
        <is>
          <t>Beijing 51WORLD Digital Twin Technology Co., Ltd.- H shares</t>
        </is>
      </c>
      <c r="D48" s="149" t="n">
        <v>46009</v>
      </c>
      <c r="E48" s="95" t="n">
        <v>46021</v>
      </c>
      <c r="F48" s="60" t="inlineStr">
        <is>
          <t>China International Capital Corporation
Hong Kong Securities Limited /
Huatai Financial Holdings (Hong Kong) Limited</t>
        </is>
      </c>
      <c r="G48" s="60" t="inlineStr">
        <is>
          <t>KPMG</t>
        </is>
      </c>
      <c r="H48" s="60" t="n"/>
      <c r="I48" s="150" t="n">
        <v>146253600</v>
      </c>
      <c r="J48" s="148" t="n">
        <v>584990000</v>
      </c>
      <c r="K48" s="151" t="n">
        <v>30.5</v>
      </c>
      <c r="L48" t="n">
        <v>406356152</v>
      </c>
      <c r="M48" s="98" t="n">
        <v>23975200</v>
      </c>
      <c r="N48" t="n">
        <v>382380952</v>
      </c>
      <c r="O48" t="n">
        <v>382380952</v>
      </c>
      <c r="P48" t="n">
        <v>0</v>
      </c>
      <c r="Q48" t="n">
        <v>23975200</v>
      </c>
      <c r="R48" s="98" t="n">
        <v>22776400</v>
      </c>
      <c r="S48" s="98" t="n">
        <v>1198800</v>
      </c>
      <c r="T48" s="152" t="n">
        <v>30.5</v>
      </c>
      <c r="U48" s="152" t="n">
        <v>30.5</v>
      </c>
      <c r="V48" s="169" t="n">
        <v>0</v>
      </c>
      <c r="W48" s="169" t="n">
        <v>0</v>
      </c>
      <c r="X48" s="170" t="inlineStr">
        <is>
          <t>Fixed price</t>
        </is>
      </c>
      <c r="Y48" s="26" t="inlineStr">
        <is>
          <t>RMB</t>
        </is>
      </c>
      <c r="Z48" s="137" t="n">
        <v>504342000</v>
      </c>
      <c r="AA48" s="137" t="n">
        <v>374688000</v>
      </c>
      <c r="AB48" s="137" t="n">
        <v>634217000</v>
      </c>
      <c r="AC48" s="137" t="n">
        <v>-935626000</v>
      </c>
      <c r="AD48" s="137" t="n">
        <v>103079000</v>
      </c>
      <c r="AE48" s="137" t="n">
        <v>254908000</v>
      </c>
      <c r="AF48" s="137" t="n">
        <v>1439968000</v>
      </c>
      <c r="AG48" s="137" t="n">
        <v>271609000</v>
      </c>
      <c r="AH48" s="137" t="n">
        <v>379309000</v>
      </c>
      <c r="AI48" s="137" t="n">
        <v>169977000</v>
      </c>
      <c r="AJ48" s="137" t="n">
        <v>256302000</v>
      </c>
      <c r="AK48" s="137" t="n">
        <v>287362000</v>
      </c>
      <c r="AL48" s="137" t="n">
        <v>-189785000</v>
      </c>
      <c r="AM48" s="137" t="n">
        <v>-87027000</v>
      </c>
      <c r="AN48" s="137" t="n">
        <v>-77500000</v>
      </c>
      <c r="AO48" s="137" t="n">
        <v>-189785000</v>
      </c>
      <c r="AP48" s="137" t="n">
        <v>-87077000</v>
      </c>
      <c r="AQ48" s="137" t="n">
        <v>-78972000</v>
      </c>
      <c r="AR48" s="153" t="n">
        <v>0.03</v>
      </c>
      <c r="AS48" s="153" t="n">
        <v>0.03</v>
      </c>
      <c r="AT48" s="101" t="n">
        <v>0.15</v>
      </c>
      <c r="AU48" s="102" t="inlineStr">
        <is>
          <t>Digital twin technology</t>
        </is>
      </c>
      <c r="AV48" s="102" t="inlineStr">
        <is>
          <t>Chapter 18C of the Listing Rules (Specialist Technology Company)</t>
        </is>
      </c>
      <c r="AW48" s="154" t="n">
        <v>45657</v>
      </c>
      <c r="AX48" s="137" t="n">
        <v>-114273000</v>
      </c>
      <c r="AY48" s="117" t="n">
        <v>134462000</v>
      </c>
      <c r="AZ48" s="117" t="n">
        <v>58312000</v>
      </c>
      <c r="BA48" s="117" t="n">
        <v>0</v>
      </c>
      <c r="BB48" s="155" t="n">
        <v>0.464</v>
      </c>
      <c r="BC48" s="139" t="n">
        <v>1</v>
      </c>
      <c r="BD48" s="80" t="n">
        <v>1</v>
      </c>
      <c r="BE48" t="n">
        <v>1</v>
      </c>
      <c r="BF48" t="n">
        <v>1</v>
      </c>
      <c r="BG48" t="n">
        <v>1</v>
      </c>
      <c r="BH48" t="n">
        <v>1</v>
      </c>
      <c r="BI48" t="n">
        <v>1</v>
      </c>
      <c r="BJ48" t="inlineStr">
        <is>
          <t>LS 51World Holding Limited; Sky9 51World Limited; SenseTime Group Limited; Zhang Peng; Lyu Xiaotong; Grandwin Enterprises (HK) Limited; Jinshijia; First Moma Artificial Intelligence Technology (Beijing) Co., Ltd.; First Internet Technology (China) Limited; Cui Jingtao; Ningbo Meishan Bonded Port District Zhongka Investment Management Limited Partnership; Shanghai Oriental Pearl Media Industry Equity Investment Fund Partnership (Limited Partnership); Qingdao Yunchu No. 1 Investment Partnership (Limited Partnership); SBI Cross-border Advantage Fund; Teng Rongsong; Wang Tao; Guangdong Xingshi No. 3 Equity Investment Partnership (Limited Partnership); Guangzhou Chentu Ruqi Xinyuan Venture Capital Fund Partnership (Limited Partnership); Guangzhou Chentu No. 11 Venture Capital Partnership (Limited Partnership); Guangzhou Chentu No. 12 Venture Capital Fund Partnership (Limited Partnership); Wu Hong; Ge Weidong; Shanghai Guohe Phase III Modern Service Equity Investment Fund Partnership (Limited Partnership); Ningbo Meishan Bonded Port Zone Chuangzhi Asset Management Partnership Enterprise (Limited Partnership); Moore Threads Intelligent Technology (Beijing) Co., Ltd.; Wuhu Haochen No. 1 Equity Investment Partnership (Limited Partnership); Li Xiuxiu; Zhang Huaian; Chongqing Yulong Chongsu Equity Investment Fund Partnership (Limited Partnership); Nanning Qianchuang Shijie Investment Partnership (Limited Partnership); Qu Xiaopeng; Beijing Zhonglv Juneng Energy Technology Co., Ltd.</t>
        </is>
      </c>
      <c r="BK48" t="inlineStr">
        <is>
          <t>NaN</t>
        </is>
      </c>
      <c r="BL48" t="inlineStr">
        <is>
          <t>NaN</t>
        </is>
      </c>
      <c r="BM48" t="inlineStr">
        <is>
          <t>Series A</t>
        </is>
      </c>
      <c r="BN48" t="n">
        <v>10.47</v>
      </c>
      <c r="BO48" s="102" t="inlineStr">
        <is>
          <t>自然人</t>
        </is>
      </c>
      <c r="BP48" s="156" t="n">
        <v>0.233</v>
      </c>
      <c r="BQ48" s="156" t="n">
        <v>0.233</v>
      </c>
      <c r="BR48" s="137" t="n">
        <v>170150000</v>
      </c>
      <c r="BS48" s="102" t="inlineStr">
        <is>
          <t>Early stage of commercialization</t>
        </is>
      </c>
      <c r="BT48" s="153" t="n">
        <v>0</v>
      </c>
      <c r="BU48" s="60" t="inlineStr">
        <is>
          <t>Main Board</t>
        </is>
      </c>
      <c r="BV48" s="89" t="inlineStr">
        <is>
          <t>H Shares</t>
        </is>
      </c>
      <c r="BW48" s="61" t="n">
        <v>0</v>
      </c>
      <c r="BX48" s="77" t="n">
        <v>0</v>
      </c>
      <c r="BY48" s="77" t="n">
        <v>0</v>
      </c>
      <c r="BZ48" s="78" t="n">
        <v>1</v>
      </c>
      <c r="CA48" s="60" t="inlineStr">
        <is>
          <t>702015</t>
        </is>
      </c>
      <c r="CB48" s="76" t="inlineStr">
        <is>
          <t>HSICS (Hang Seng Industry Classification System) 2026</t>
        </is>
      </c>
      <c r="CC48" s="140" t="n">
        <v>42051</v>
      </c>
      <c r="CD48" s="171" t="n">
        <v>10.87</v>
      </c>
      <c r="CE48" s="76" t="inlineStr">
        <is>
          <t>PRC</t>
        </is>
      </c>
      <c r="CF48" s="89" t="inlineStr">
        <is>
          <t>Beijing, PRC</t>
        </is>
      </c>
      <c r="CG48" s="91" t="n">
        <v>1000</v>
      </c>
      <c r="CH48" s="60" t="inlineStr">
        <is>
          <t>IFRS Accounting Standards</t>
        </is>
      </c>
      <c r="CI48" s="141" t="n">
        <v>44562</v>
      </c>
      <c r="CJ48" s="141" t="n">
        <v>44926</v>
      </c>
      <c r="CK48" s="141" t="n">
        <v>44927</v>
      </c>
      <c r="CL48" s="141" t="n">
        <v>45291</v>
      </c>
      <c r="CM48" s="141" t="n">
        <v>45292</v>
      </c>
      <c r="CN48" s="64" t="n">
        <v>287362000</v>
      </c>
      <c r="CO48" s="64" t="n">
        <v>-77500000</v>
      </c>
      <c r="CP48" s="64" t="n">
        <v>-78972000</v>
      </c>
      <c r="CQ48" s="141" t="n">
        <v>46009</v>
      </c>
      <c r="CR48" s="141" t="n">
        <v>46014</v>
      </c>
      <c r="CS48" s="63" t="n">
        <v>387274344</v>
      </c>
      <c r="CT48" s="64" t="n">
        <v>146884000</v>
      </c>
      <c r="CU48" s="64" t="n">
        <v>38569000</v>
      </c>
      <c r="CV48" s="59" t="inlineStr">
        <is>
          <t>Unqualified opinion</t>
        </is>
      </c>
      <c r="CW48" s="64" t="n">
        <v>78500000</v>
      </c>
      <c r="CX48" s="102" t="inlineStr">
        <is>
          <t>NA</t>
        </is>
      </c>
      <c r="CY48" s="153" t="n">
        <v>0</v>
      </c>
      <c r="CZ48" s="154" t="inlineStr">
        <is>
          <t>NA</t>
        </is>
      </c>
      <c r="DA48" s="143" t="n">
        <v>256.01</v>
      </c>
      <c r="DB48" s="63" t="n">
        <v>44502</v>
      </c>
      <c r="DC48" s="63" t="n">
        <v>306906200</v>
      </c>
      <c r="DD48" s="59" t="inlineStr">
        <is>
          <t>Subscription level 256.01 times</t>
        </is>
      </c>
      <c r="DE48" s="141" t="inlineStr">
        <is>
          <t>NA</t>
        </is>
      </c>
      <c r="DF48" s="141" t="n">
        <v>46020</v>
      </c>
      <c r="DG48" s="63" t="n">
        <v>23975200</v>
      </c>
      <c r="DH48" s="63" t="n">
        <v>4795200</v>
      </c>
      <c r="DI48" s="63" t="n">
        <v>19180000</v>
      </c>
      <c r="DJ48" s="63" t="n">
        <v>0</v>
      </c>
      <c r="DK48" s="169" t="n">
        <v>0</v>
      </c>
      <c r="DL48" s="59" t="inlineStr">
        <is>
          <t>Claw-back triggered: Yes. Final no. of Offer Shares under the Hong Kong Public Offering (after reallocation): 4,795,200 (initially 1,198,800); final no. of Offer Shares under the International Placing (after reallocation): 19,180,000 (initially 22,776,400).</t>
        </is>
      </c>
      <c r="DM48" s="157" t="n">
        <v>649900000</v>
      </c>
      <c r="DN48" s="153" t="n">
        <v>0.604</v>
      </c>
      <c r="DO48" s="102" t="n">
        <v>406356152</v>
      </c>
      <c r="DP48" s="153" t="n">
        <v>0.059</v>
      </c>
      <c r="DQ48" s="59" t="inlineStr">
        <is>
          <t>Number of issued shares upon Listing (before exercise of the Over-allotment Option)</t>
        </is>
      </c>
      <c r="DR48" s="63" t="n">
        <v>406356152</v>
      </c>
      <c r="DS48" s="153" t="n">
        <v>-0.01400936</v>
      </c>
      <c r="DT48" s="80" t="n">
        <v>38</v>
      </c>
      <c r="DU48" s="153" t="n">
        <v>0.0325381</v>
      </c>
      <c r="DV48" s="157" t="n">
        <v>53926000000</v>
      </c>
      <c r="DW48" s="158" t="n">
        <v>39.62</v>
      </c>
      <c r="DX48" s="169" t="n">
        <v>0.299016</v>
      </c>
      <c r="DY48" s="172" t="n">
        <v>218653824</v>
      </c>
      <c r="DZ48" s="146" t="n">
        <v>35</v>
      </c>
      <c r="EA48" s="146" t="n">
        <v>39.8</v>
      </c>
      <c r="EB48" s="146" t="n">
        <v>35</v>
      </c>
      <c r="EC48" s="63" t="n">
        <v>5321300</v>
      </c>
      <c r="ED48" s="169" t="n">
        <v>0.22195</v>
      </c>
      <c r="EE48" s="64" t="n"/>
      <c r="EF48" s="60" t="inlineStr">
        <is>
          <t>Mechanism A</t>
        </is>
      </c>
      <c r="EG48" s="59" t="inlineStr">
        <is>
          <t>FINI (from 22/11/2023); 2025-08-04 pricing reform (Mechanism A/B; six-month cornerstone lock-up retained); this IPO: Mechanism A</t>
        </is>
      </c>
      <c r="EH48" t="inlineStr">
        <is>
          <t>北京五一视界数字孪生科技股份有限公司</t>
        </is>
      </c>
      <c r="EI48" s="174" t="inlineStr">
        <is>
          <t>Active</t>
        </is>
      </c>
      <c r="EJ48" s="175" t="n">
        <v>85.15000000000001</v>
      </c>
      <c r="EK48" s="176" t="n">
        <v>1.149167</v>
      </c>
      <c r="EL48" s="176" t="n">
        <v>1.791803</v>
      </c>
      <c r="EM48" s="176" t="n">
        <v>0.049212</v>
      </c>
      <c r="EN48" s="176" t="n">
        <v>0.031611</v>
      </c>
      <c r="EO48" s="179" t="n">
        <v>2.0484</v>
      </c>
      <c r="EP48" s="179" t="n">
        <v>2.0833</v>
      </c>
      <c r="EQ48" s="178" t="n">
        <v>56800530</v>
      </c>
      <c r="ER48" s="175" t="n">
        <v>90.55</v>
      </c>
      <c r="ES48" s="176" t="n">
        <v>1.285462</v>
      </c>
      <c r="ET48" s="176" t="n">
        <v>1.968852</v>
      </c>
      <c r="EU48" s="176" t="n">
        <v>-0.115012</v>
      </c>
      <c r="EV48" s="176" t="n">
        <v>-0.198292</v>
      </c>
      <c r="EW48" s="179" t="n">
        <v>2.5825</v>
      </c>
      <c r="EX48" s="179" t="n">
        <v>2.8507</v>
      </c>
      <c r="EY48" s="178" t="n">
        <v>1193823560</v>
      </c>
      <c r="EZ48" s="176" t="n">
        <v>5.856727</v>
      </c>
      <c r="FA48" s="176" t="n"/>
      <c r="FB48" s="179" t="n"/>
      <c r="FC48" s="176" t="n"/>
      <c r="FD48" s="179" t="n"/>
      <c r="FE48" s="174" t="inlineStr">
        <is>
          <t>18C (Specialist Tech)</t>
        </is>
      </c>
      <c r="FF48" s="181" t="n"/>
      <c r="FG48" s="185" t="n"/>
      <c r="FH48" s="183" t="n"/>
      <c r="FI48" s="178" t="n"/>
      <c r="FJ48" s="176" t="n"/>
      <c r="FK48" s="185" t="n"/>
      <c r="FL48" s="178" t="n"/>
      <c r="FM48" s="176" t="n"/>
      <c r="FN48" s="176" t="n"/>
      <c r="FO48" s="176" t="n"/>
      <c r="FP48" s="176" t="n"/>
      <c r="FQ48" s="176" t="n">
        <v>0.09995</v>
      </c>
      <c r="FR48" s="179" t="n">
        <v>1.0647</v>
      </c>
      <c r="FS48" s="176" t="n">
        <v>1.149167</v>
      </c>
      <c r="FT48" s="179" t="n">
        <v>2.0484</v>
      </c>
      <c r="FU48" s="176" t="n">
        <v>0.075215</v>
      </c>
      <c r="FV48" s="179" t="n">
        <v>1.1232</v>
      </c>
      <c r="FW48" s="179" t="n">
        <v>1.2789</v>
      </c>
      <c r="FX48" s="178" t="n">
        <v>85229437.7</v>
      </c>
      <c r="FY48" s="186" t="n">
        <v>0.0006959586776859503</v>
      </c>
      <c r="FZ48" s="183" t="n">
        <v>0</v>
      </c>
      <c r="GA48" s="176" t="n">
        <v>0.1005447493416458</v>
      </c>
      <c r="GB48" s="176" t="n">
        <v>0.624456</v>
      </c>
      <c r="GC48" s="185" t="n"/>
      <c r="GD48" s="185" t="n"/>
      <c r="GE48" s="176" t="n"/>
      <c r="GF48" s="176" t="n"/>
      <c r="GG48" s="179" t="n"/>
      <c r="GH48" s="181" t="inlineStr">
        <is>
          <t>China International Capital Corporation Hong Kong Securities Limited</t>
        </is>
      </c>
      <c r="GI48" s="183" t="n">
        <v>2</v>
      </c>
      <c r="GJ48" s="183" t="n">
        <v>0</v>
      </c>
      <c r="GK48" s="176" t="n">
        <v>0.03</v>
      </c>
      <c r="GL48" s="176" t="n"/>
      <c r="GM48" s="176" t="n"/>
      <c r="GN48" s="183" t="n">
        <v>0</v>
      </c>
      <c r="GO48" s="183" t="n">
        <v>0</v>
      </c>
      <c r="GP48" s="183" t="n">
        <v>0</v>
      </c>
      <c r="GQ48" s="183" t="n">
        <v>35</v>
      </c>
      <c r="GR48" s="183" t="n">
        <v>1</v>
      </c>
      <c r="GS48" s="181" t="inlineStr">
        <is>
          <t>POST_FINI</t>
        </is>
      </c>
      <c r="GT48" s="181" t="inlineStr">
        <is>
          <t>POST_2025_REFORM</t>
        </is>
      </c>
    </row>
    <row r="49" customFormat="1" s="12"/>
    <row r="50" customFormat="1" s="12"/>
    <row r="51" customFormat="1" s="12"/>
    <row r="52" customFormat="1" s="12"/>
    <row r="53" customFormat="1" s="12"/>
    <row r="54" customFormat="1" s="12"/>
    <row r="55" customFormat="1" s="11"/>
    <row r="56" customFormat="1" s="11"/>
    <row r="57" ht="18.75" customFormat="1" customHeight="1" s="12"/>
    <row r="58" customFormat="1" s="12"/>
    <row r="59" customFormat="1" s="12"/>
    <row r="60" customFormat="1" s="12"/>
    <row r="61" customFormat="1" s="12"/>
    <row r="62" customFormat="1" s="12"/>
    <row r="63" ht="31.5" customFormat="1" customHeight="1" s="17"/>
    <row r="64" ht="39" customFormat="1" customHeight="1" s="17"/>
    <row r="65" customFormat="1" s="17"/>
    <row r="66" ht="36.5" customFormat="1" customHeight="1" s="17"/>
    <row r="67" ht="53.25" customFormat="1" customHeight="1" s="17"/>
    <row r="68" ht="31.5" customFormat="1" customHeight="1" s="17"/>
    <row r="69" ht="31.5" customFormat="1" customHeight="1" s="17"/>
    <row r="70" customFormat="1" s="17"/>
    <row r="71" ht="31.5" customFormat="1" customHeight="1" s="17"/>
    <row r="72" ht="31.5" customFormat="1" customHeight="1" s="17"/>
    <row r="73" ht="31.5" customFormat="1" customHeight="1" s="12"/>
    <row r="74" customFormat="1" s="10"/>
    <row r="75" ht="32.25" customFormat="1" customHeight="1" s="10"/>
    <row r="76" ht="38.25" customFormat="1" customHeight="1" s="10"/>
    <row r="77" customFormat="1" s="10"/>
    <row r="78" ht="31.5" customFormat="1" customHeight="1" s="10"/>
    <row r="79" ht="31.5" customFormat="1" customHeight="1" s="10"/>
    <row r="80" ht="31.5" customFormat="1" customHeight="1" s="10"/>
    <row r="81" ht="31.5" customFormat="1" customHeight="1" s="10"/>
    <row r="82" ht="31.5" customFormat="1" customHeight="1" s="10"/>
    <row r="83" ht="31.5" customFormat="1" customHeight="1" s="10"/>
    <row r="84" ht="33" customFormat="1" customHeight="1" s="10"/>
    <row r="85" ht="33" customFormat="1" customHeight="1" s="10"/>
    <row r="86" ht="36.75" customFormat="1" customHeight="1" s="10"/>
    <row r="87" customFormat="1" s="10"/>
    <row r="88" customFormat="1" s="10"/>
    <row r="89" customFormat="1" s="10"/>
    <row r="90" customFormat="1" s="10"/>
    <row r="91" ht="30.75" customFormat="1" customHeight="1" s="10"/>
    <row r="92" ht="30.75" customFormat="1" customHeight="1" s="10"/>
    <row r="93" ht="30.75" customFormat="1" customHeight="1" s="10"/>
    <row r="94" ht="96" customFormat="1" customHeight="1" s="10"/>
    <row r="95" customFormat="1" s="10"/>
    <row r="96" customFormat="1" s="12"/>
    <row r="97" customFormat="1" s="12"/>
    <row r="98" customFormat="1" s="12"/>
    <row r="99" customFormat="1" s="12"/>
    <row r="100" customFormat="1" s="12"/>
    <row r="101" customFormat="1" s="12"/>
    <row r="102" customFormat="1" s="12"/>
    <row r="103" customFormat="1" s="12"/>
    <row r="104" customFormat="1" s="12"/>
    <row r="105" customFormat="1" s="12"/>
    <row r="106" customFormat="1" s="12"/>
    <row r="107" customFormat="1" s="12"/>
    <row r="108" customFormat="1" s="12"/>
    <row r="109" ht="34.5" customFormat="1" customHeight="1" s="12"/>
    <row r="110" ht="34.5" customFormat="1" customHeight="1" s="12"/>
    <row r="111" ht="34.5" customFormat="1" customHeight="1" s="12"/>
    <row r="112" customFormat="1" s="10"/>
    <row r="113" customFormat="1" s="10"/>
    <row r="114" customFormat="1" s="10"/>
    <row r="115" customFormat="1" s="10"/>
    <row r="116" customFormat="1" s="10"/>
    <row r="117" customFormat="1" s="10"/>
    <row r="118" customFormat="1" s="10"/>
    <row r="119" customFormat="1" s="10"/>
    <row r="120" customFormat="1" s="10"/>
    <row r="121" customFormat="1" s="10"/>
    <row r="122" customFormat="1" s="10"/>
    <row r="123" customFormat="1" s="10"/>
    <row r="124" customFormat="1" s="10"/>
    <row r="125" customFormat="1" s="10"/>
    <row r="126" customFormat="1" s="10"/>
    <row r="127" customFormat="1" s="10"/>
    <row r="128" customFormat="1" s="10"/>
    <row r="129" customFormat="1" s="10"/>
    <row r="130" customFormat="1" s="10"/>
    <row r="131" customFormat="1" s="10"/>
    <row r="132" customFormat="1" s="10"/>
    <row r="133" customFormat="1" s="10"/>
    <row r="134" customFormat="1" s="10"/>
    <row r="135" customFormat="1" s="10"/>
    <row r="136" customFormat="1" s="10"/>
    <row r="137" customFormat="1" s="10"/>
    <row r="138" customFormat="1" s="10"/>
    <row r="139" customFormat="1" s="10"/>
    <row r="140" customFormat="1" s="10"/>
    <row r="141" customFormat="1" s="10"/>
    <row r="142" customFormat="1" s="12"/>
    <row r="143" customFormat="1" s="12"/>
    <row r="144" customFormat="1" s="12"/>
    <row r="145" customFormat="1" s="12"/>
    <row r="146" customFormat="1" s="12"/>
    <row r="147" customFormat="1" s="12"/>
    <row r="148" customFormat="1" s="12"/>
    <row r="149" customFormat="1" s="12"/>
    <row r="150" customFormat="1" s="12"/>
    <row r="151" customFormat="1" s="12"/>
    <row r="152" customFormat="1" s="12"/>
    <row r="153" customFormat="1" s="12"/>
    <row r="154" customFormat="1" s="12"/>
    <row r="155" customFormat="1" s="12"/>
    <row r="156" customFormat="1" s="12"/>
    <row r="157" customFormat="1" s="12"/>
    <row r="158" customFormat="1" s="12"/>
    <row r="159" customFormat="1" s="12"/>
    <row r="160" customFormat="1" s="12"/>
    <row r="161" customFormat="1" s="12"/>
    <row r="162" customFormat="1" s="12"/>
    <row r="163" customFormat="1" s="12"/>
    <row r="164" customFormat="1" s="12"/>
    <row r="165" customFormat="1" s="12"/>
    <row r="166" customFormat="1" s="10"/>
    <row r="167" customFormat="1" s="10"/>
    <row r="168" customFormat="1" s="10"/>
    <row r="169" customFormat="1" s="10"/>
    <row r="170" customFormat="1" s="10"/>
    <row r="171" customFormat="1" s="10"/>
    <row r="172" customFormat="1" s="10"/>
    <row r="173" customFormat="1" s="10"/>
    <row r="174" customFormat="1" s="10"/>
    <row r="175" customFormat="1" s="10"/>
    <row r="176" customFormat="1" s="10"/>
    <row r="177" customFormat="1" s="10"/>
    <row r="178" customFormat="1" s="10"/>
    <row r="179" customFormat="1" s="10"/>
    <row r="180" customFormat="1" s="10"/>
    <row r="181" customFormat="1" s="10"/>
    <row r="182" customFormat="1" s="10"/>
    <row r="183" customFormat="1" s="10"/>
    <row r="184" customFormat="1" s="10"/>
    <row r="185" customFormat="1" s="10"/>
    <row r="186" customFormat="1" s="10"/>
    <row r="187" customFormat="1" s="10"/>
    <row r="188" customFormat="1" s="10"/>
    <row r="189" customFormat="1" s="10"/>
    <row r="190" customFormat="1" s="10"/>
    <row r="191" customFormat="1" s="10"/>
    <row r="192" customFormat="1" s="10"/>
    <row r="193" customFormat="1" s="10"/>
    <row r="194" customFormat="1" s="10"/>
    <row r="195" customFormat="1" s="10"/>
    <row r="196" customFormat="1" s="12"/>
    <row r="197" customFormat="1" s="12"/>
    <row r="198" customFormat="1" s="12"/>
    <row r="199" customFormat="1" s="12"/>
    <row r="200" customFormat="1" s="12"/>
    <row r="201" customFormat="1" s="12"/>
    <row r="202" customFormat="1" s="10"/>
    <row r="203" customFormat="1" s="12"/>
    <row r="204" customFormat="1" s="12"/>
    <row r="205" customFormat="1" s="12"/>
    <row r="206" customFormat="1" s="12"/>
    <row r="207" customFormat="1" s="12"/>
    <row r="208" customFormat="1" s="12"/>
    <row r="209" customFormat="1" s="12"/>
    <row r="210" customFormat="1" s="12"/>
    <row r="211" customFormat="1" s="12"/>
    <row r="212" customFormat="1" s="12"/>
    <row r="213" customFormat="1" s="12"/>
    <row r="214" customFormat="1" s="12"/>
    <row r="215" customFormat="1" s="12"/>
    <row r="216" customFormat="1" s="12"/>
    <row r="217" customFormat="1" s="12"/>
    <row r="218" customFormat="1" s="12"/>
    <row r="219" customFormat="1" s="12"/>
    <row r="220" customFormat="1" s="12"/>
    <row r="221" customFormat="1" s="12"/>
    <row r="222" customFormat="1" s="12"/>
    <row r="223" customFormat="1" s="10"/>
    <row r="224" customFormat="1" s="10"/>
    <row r="225" customFormat="1" s="12"/>
    <row r="226" customFormat="1" s="10"/>
    <row r="227" customFormat="1" s="10"/>
    <row r="228" customFormat="1" s="10"/>
    <row r="229" customFormat="1" s="10"/>
    <row r="230" customFormat="1" s="10"/>
    <row r="231" customFormat="1" s="10"/>
    <row r="232" customFormat="1" s="10"/>
    <row r="233" customFormat="1" s="10"/>
    <row r="234" customFormat="1" s="10"/>
    <row r="235" customFormat="1" s="10"/>
    <row r="236" customFormat="1" s="12"/>
    <row r="237" customFormat="1" s="10"/>
    <row r="238" customFormat="1" s="10"/>
    <row r="239" customFormat="1" s="12"/>
    <row r="240" customFormat="1" s="10"/>
    <row r="241" customFormat="1" s="10"/>
    <row r="242" customFormat="1" s="10"/>
    <row r="243" customFormat="1" s="10"/>
    <row r="244" customFormat="1" s="10"/>
    <row r="245" customFormat="1" s="10"/>
    <row r="246" customFormat="1" s="10"/>
    <row r="247" customFormat="1" s="10"/>
    <row r="248" customFormat="1" s="10"/>
    <row r="249" customFormat="1" s="12"/>
    <row r="250" customFormat="1" s="12"/>
    <row r="251" customFormat="1" s="12"/>
    <row r="252" customFormat="1" s="12"/>
    <row r="253" customFormat="1" s="12"/>
    <row r="254" customFormat="1" s="12"/>
    <row r="255" customFormat="1" s="12"/>
    <row r="256" customFormat="1" s="12"/>
    <row r="257" customFormat="1" s="12"/>
    <row r="258" customFormat="1" s="12"/>
    <row r="259" customFormat="1" s="12"/>
    <row r="260" customFormat="1" s="12"/>
    <row r="261" customFormat="1" s="12"/>
    <row r="262" customFormat="1" s="12"/>
    <row r="263" customFormat="1" s="12"/>
    <row r="264" customFormat="1" s="12"/>
    <row r="265" customFormat="1" s="12"/>
    <row r="266" customFormat="1" s="12"/>
    <row r="267" customFormat="1" s="12"/>
    <row r="268" customFormat="1" s="12"/>
    <row r="269" customFormat="1" s="12"/>
    <row r="270" customFormat="1" s="12"/>
    <row r="271" customFormat="1" s="12"/>
    <row r="272" customFormat="1" s="12"/>
    <row r="273" customFormat="1" s="12"/>
    <row r="274" customFormat="1" s="12"/>
    <row r="275" customFormat="1" s="12"/>
    <row r="276" customFormat="1" s="12"/>
    <row r="277" customFormat="1" s="12"/>
    <row r="278" customFormat="1" s="12"/>
    <row r="279" ht="48.75" customFormat="1" customHeight="1" s="12"/>
    <row r="280" customFormat="1" s="12"/>
    <row r="281" ht="36.75" customFormat="1" customHeight="1" s="12"/>
    <row r="282" customFormat="1" s="12"/>
    <row r="283" customFormat="1" s="12"/>
    <row r="284" customFormat="1" s="12"/>
    <row r="285" customFormat="1" s="12"/>
    <row r="286" customFormat="1" s="12"/>
    <row r="287" customFormat="1" s="10"/>
    <row r="288" ht="48" customFormat="1" customHeight="1" s="10"/>
    <row r="289" customFormat="1" s="10"/>
    <row r="290" ht="50.25" customFormat="1" customHeight="1" s="10"/>
    <row r="291" customFormat="1" s="11"/>
    <row r="292" customFormat="1" s="11"/>
    <row r="293" customFormat="1" s="11"/>
    <row r="294" customFormat="1" s="11"/>
    <row r="295" customFormat="1" s="11"/>
    <row r="296" customFormat="1" s="10"/>
    <row r="297" customFormat="1" s="10"/>
    <row r="298" customFormat="1" s="10"/>
    <row r="299" customFormat="1" s="10"/>
    <row r="300" customFormat="1" s="10"/>
    <row r="301" customFormat="1" s="10"/>
    <row r="302" customFormat="1" s="10"/>
    <row r="303" customFormat="1" s="10"/>
    <row r="304" customFormat="1" s="10"/>
    <row r="305" ht="31.5" customFormat="1" customHeight="1" s="10"/>
    <row r="306" ht="31.5" customFormat="1" customHeight="1" s="10"/>
    <row r="307" ht="31.5" customFormat="1" customHeight="1" s="10"/>
    <row r="308" customFormat="1" s="10"/>
    <row r="309" customFormat="1" s="10"/>
    <row r="310" customFormat="1" s="10"/>
    <row r="311" customFormat="1" s="10"/>
    <row r="312" customFormat="1" s="10"/>
    <row r="313" customFormat="1" s="10"/>
    <row r="314" customFormat="1" s="10"/>
    <row r="315" customFormat="1" s="10"/>
    <row r="316" customFormat="1" s="10"/>
    <row r="317" customFormat="1" s="10"/>
    <row r="318" customFormat="1" s="10"/>
    <row r="319" customFormat="1" s="10"/>
    <row r="320" customFormat="1" s="10"/>
    <row r="321" customFormat="1" s="10"/>
    <row r="322" customFormat="1" s="10"/>
    <row r="323" customFormat="1" s="10"/>
    <row r="324" ht="46.5" customFormat="1" customHeight="1" s="10"/>
    <row r="325" customFormat="1" s="10"/>
    <row r="326" customFormat="1" s="12"/>
    <row r="327" customFormat="1" s="12"/>
    <row r="328" customFormat="1" s="12"/>
    <row r="329" customFormat="1" s="12"/>
    <row r="330" customFormat="1" s="12"/>
    <row r="331" customFormat="1" s="12"/>
    <row r="332" customFormat="1" s="12"/>
    <row r="333" customFormat="1" s="12"/>
    <row r="334" customFormat="1" s="12"/>
    <row r="335" customFormat="1" s="10"/>
    <row r="336" customFormat="1" s="10"/>
    <row r="337" customFormat="1" s="10"/>
    <row r="338" customFormat="1" s="10"/>
    <row r="339" customFormat="1" s="10"/>
    <row r="340" customFormat="1" s="10"/>
    <row r="341" customFormat="1" s="10"/>
    <row r="342" customFormat="1" s="10"/>
    <row r="343" customFormat="1" s="10"/>
    <row r="344" customFormat="1" s="10"/>
    <row r="345" customFormat="1" s="10"/>
    <row r="346" ht="47.25" customFormat="1" customHeight="1" s="10"/>
    <row r="347" customFormat="1" s="10"/>
    <row r="348" customFormat="1" s="10"/>
    <row r="349" customFormat="1" s="10"/>
    <row r="350" customFormat="1" s="10"/>
    <row r="351" customFormat="1" s="10"/>
    <row r="352" customFormat="1" s="10"/>
    <row r="353" customFormat="1" s="12"/>
    <row r="354" customFormat="1" s="12"/>
    <row r="355" customFormat="1" s="12"/>
    <row r="356" customFormat="1" s="12"/>
    <row r="357" customFormat="1" s="12"/>
    <row r="358" customFormat="1" s="12"/>
    <row r="359" customFormat="1" s="12"/>
    <row r="360" customFormat="1" s="12"/>
    <row r="361" customFormat="1" s="12"/>
    <row r="362" customFormat="1" s="12"/>
    <row r="363" customFormat="1" s="12"/>
    <row r="364" customFormat="1" s="12"/>
    <row r="365" customFormat="1" s="12"/>
    <row r="366" customFormat="1" s="12"/>
    <row r="367" customFormat="1" s="12"/>
    <row r="368" customFormat="1" s="12"/>
    <row r="369" customFormat="1" s="12"/>
    <row r="370" customFormat="1" s="12"/>
    <row r="371" customFormat="1" s="12"/>
    <row r="372" customFormat="1" s="12"/>
    <row r="373" ht="48.75" customFormat="1" customHeight="1" s="12"/>
    <row r="374" ht="93.75" customFormat="1" customHeight="1" s="12"/>
    <row r="375" customFormat="1" s="12"/>
    <row r="376" customFormat="1" s="12"/>
    <row r="377" customFormat="1" s="12"/>
    <row r="378" customFormat="1" s="12"/>
    <row r="379" customFormat="1" s="12"/>
    <row r="380" customFormat="1" s="12"/>
    <row r="381" customFormat="1" s="12"/>
    <row r="382" customFormat="1" s="12"/>
    <row r="383" ht="46.5" customFormat="1" customHeight="1" s="12"/>
    <row r="384" customFormat="1" s="12"/>
    <row r="385" customFormat="1" s="12"/>
    <row r="386" customFormat="1" s="12"/>
    <row r="387" customFormat="1" s="12"/>
    <row r="388" customFormat="1" s="12"/>
    <row r="389" customFormat="1" s="12"/>
    <row r="390" customFormat="1" s="12"/>
    <row r="391" customFormat="1" s="11"/>
    <row r="392" customFormat="1" s="11"/>
    <row r="393" customFormat="1" s="12"/>
    <row r="394" customFormat="1" s="12"/>
    <row r="395" customFormat="1" s="12"/>
    <row r="396" customFormat="1" s="12"/>
    <row r="397" customFormat="1" s="12"/>
    <row r="398" customFormat="1" s="12"/>
    <row r="399" customFormat="1" s="12"/>
    <row r="400" customFormat="1" s="12"/>
    <row r="401" customFormat="1" s="12"/>
    <row r="402" customFormat="1" s="12"/>
    <row r="403" customFormat="1" s="12"/>
    <row r="404" customFormat="1" s="12"/>
    <row r="405" customFormat="1" s="12"/>
    <row r="406" customFormat="1" s="12"/>
    <row r="407" customFormat="1" s="12"/>
    <row r="408" ht="83.25" customFormat="1" customHeight="1" s="12"/>
    <row r="409" customFormat="1" s="12"/>
    <row r="410" customFormat="1" s="12"/>
    <row r="411" customFormat="1" s="12"/>
    <row r="412" customFormat="1" s="12"/>
    <row r="413" customFormat="1" s="12"/>
    <row r="414" customFormat="1" s="12"/>
    <row r="415" customFormat="1" s="12"/>
    <row r="416" customFormat="1" s="12"/>
    <row r="417" customFormat="1" s="12"/>
    <row r="418" customFormat="1" s="12"/>
    <row r="419" customFormat="1" s="12"/>
    <row r="420" customFormat="1" s="12"/>
    <row r="421" customFormat="1" s="10"/>
    <row r="422" customFormat="1" s="10"/>
    <row r="423" customFormat="1" s="10"/>
    <row r="424" customFormat="1" s="10"/>
    <row r="425" customFormat="1" s="12"/>
    <row r="426" customFormat="1" s="12"/>
    <row r="427" customFormat="1" s="12"/>
    <row r="428" customFormat="1" s="10"/>
    <row r="429" customFormat="1" s="10"/>
    <row r="430" customFormat="1" s="10"/>
    <row r="431" customFormat="1" s="10"/>
    <row r="432" ht="54.75" customFormat="1" customHeight="1" s="11"/>
    <row r="433" customFormat="1" s="11"/>
    <row r="434" customFormat="1" s="11"/>
    <row r="435" customFormat="1" s="11"/>
    <row r="436" customFormat="1" s="11"/>
    <row r="437" customFormat="1" s="11"/>
    <row r="438" customFormat="1" s="11"/>
    <row r="439" customFormat="1" s="11"/>
    <row r="440" customFormat="1" s="11"/>
    <row r="441" customFormat="1" s="11"/>
    <row r="442" customFormat="1" s="11"/>
    <row r="443" customFormat="1" s="11"/>
    <row r="444" ht="145.5" customFormat="1" customHeight="1" s="11"/>
    <row r="445" customFormat="1" s="11"/>
    <row r="446" customFormat="1" s="10"/>
    <row r="447" customFormat="1" s="10"/>
    <row r="448" customFormat="1" s="10"/>
    <row r="449" customFormat="1" s="10"/>
    <row r="450" customFormat="1" s="12"/>
    <row r="451" customFormat="1" s="12"/>
    <row r="452" customFormat="1" s="12"/>
    <row r="453" customFormat="1" s="12"/>
    <row r="454" customFormat="1" s="10"/>
    <row r="455" ht="46.5" customFormat="1" customHeight="1" s="12"/>
    <row r="456" customFormat="1" s="12"/>
    <row r="457" customFormat="1" s="11"/>
    <row r="458" customFormat="1" s="11"/>
    <row r="459" customFormat="1" s="11"/>
    <row r="460" customFormat="1" s="11"/>
    <row r="461" customFormat="1" s="11"/>
    <row r="462" customFormat="1" s="11"/>
    <row r="463" customFormat="1" s="11"/>
    <row r="464" customFormat="1" s="11"/>
    <row r="465" customFormat="1" s="11"/>
    <row r="466" ht="48.75" customFormat="1" customHeight="1" s="11"/>
    <row r="467" customFormat="1" s="11"/>
    <row r="468" customFormat="1" s="11"/>
    <row r="469" customFormat="1" s="11"/>
    <row r="470" customFormat="1" s="11"/>
    <row r="471" customFormat="1" s="11"/>
    <row r="472" customFormat="1" s="11"/>
    <row r="473" ht="63" customFormat="1" customHeight="1" s="11"/>
    <row r="474" customFormat="1" s="11"/>
    <row r="475" customFormat="1" s="11"/>
    <row r="476" customFormat="1" s="11"/>
    <row r="477" customFormat="1" s="11"/>
    <row r="478" customFormat="1" s="11"/>
    <row r="479" customFormat="1" s="11"/>
    <row r="480" customFormat="1" s="11"/>
    <row r="481" customFormat="1" s="11"/>
    <row r="482" customFormat="1" s="11"/>
    <row r="483" customFormat="1" s="11"/>
    <row r="484" customFormat="1" s="11"/>
    <row r="485" customFormat="1" s="11"/>
    <row r="486" customFormat="1" s="11"/>
    <row r="487" customFormat="1" s="11"/>
    <row r="488" customFormat="1" s="11"/>
    <row r="489" customFormat="1" s="11"/>
    <row r="490" customFormat="1" s="11"/>
    <row r="491" customFormat="1" s="11"/>
    <row r="492" customFormat="1" s="11"/>
    <row r="493" customFormat="1" s="11"/>
    <row r="494" customFormat="1" s="11"/>
    <row r="495" customFormat="1" s="11"/>
    <row r="496" customFormat="1" s="11"/>
    <row r="497" customFormat="1" s="11"/>
    <row r="498" customFormat="1" s="11"/>
    <row r="499" customFormat="1" s="12"/>
    <row r="500" customFormat="1" s="12"/>
    <row r="501" customFormat="1" s="12"/>
    <row r="502" customFormat="1" s="12"/>
    <row r="503" customFormat="1" s="12"/>
    <row r="504" customFormat="1" s="12"/>
    <row r="505" customFormat="1" s="12"/>
    <row r="506" customFormat="1" s="12"/>
    <row r="507" ht="62.25" customFormat="1" customHeight="1" s="12"/>
    <row r="508" ht="47.25" customFormat="1" customHeight="1" s="12"/>
    <row r="509" customFormat="1" s="12"/>
    <row r="510" customFormat="1" s="12"/>
    <row r="511" customFormat="1" s="12"/>
    <row r="512" customFormat="1" s="12"/>
    <row r="513" customFormat="1" s="12"/>
    <row r="514" ht="80.25" customFormat="1" customHeight="1" s="12"/>
    <row r="515" customFormat="1" s="12"/>
    <row r="516" customFormat="1" s="12"/>
    <row r="517" customFormat="1" s="12"/>
    <row r="518" ht="50.25" customFormat="1" customHeight="1" s="12"/>
    <row r="519" customFormat="1" s="12"/>
    <row r="520" customFormat="1" s="12"/>
    <row r="521" customFormat="1" s="12"/>
    <row r="522" customFormat="1" s="12"/>
    <row r="523" customFormat="1" s="12"/>
    <row r="524" customFormat="1" s="12"/>
    <row r="525" customFormat="1" s="12"/>
    <row r="526" customFormat="1" s="12"/>
    <row r="527" customFormat="1" s="12"/>
    <row r="528" customFormat="1" s="12"/>
    <row r="529" customFormat="1" s="12"/>
    <row r="530" customFormat="1" s="12"/>
    <row r="531" ht="48.75" customFormat="1" customHeight="1" s="12"/>
    <row r="532" customFormat="1" s="12"/>
    <row r="533" customFormat="1" s="12"/>
    <row r="534" customFormat="1" s="12"/>
    <row r="535" customFormat="1" s="12"/>
    <row r="536" ht="33" customFormat="1" customHeight="1" s="11"/>
    <row r="537" ht="33" customFormat="1" customHeight="1" s="11"/>
    <row r="538" ht="54" customFormat="1" customHeight="1" s="11"/>
    <row r="539" ht="33" customFormat="1" customHeight="1" s="11"/>
    <row r="540" ht="80.25" customFormat="1" customHeight="1" s="11"/>
    <row r="541" ht="33" customFormat="1" customHeight="1" s="11"/>
    <row r="542" ht="33" customFormat="1" customHeight="1" s="11"/>
    <row r="543" customFormat="1" s="11"/>
    <row r="544" customFormat="1" s="11"/>
    <row r="545" customFormat="1" s="11"/>
    <row r="546" customFormat="1" s="11"/>
    <row r="547" ht="22.5" customFormat="1" customHeight="1" s="11"/>
    <row r="548" ht="37.5" customFormat="1" customHeight="1" s="11"/>
    <row r="549" ht="36" customFormat="1" customHeight="1" s="11"/>
    <row r="550" ht="81" customFormat="1" customHeight="1" s="11"/>
    <row r="551" customFormat="1" s="11"/>
    <row r="552" customFormat="1" s="11"/>
    <row r="553" customFormat="1" s="11"/>
    <row r="554" customFormat="1" s="11"/>
    <row r="555" ht="33" customFormat="1" customHeight="1" s="11"/>
    <row r="556" ht="33" customFormat="1" customHeight="1" s="11"/>
    <row r="557" ht="55.5" customFormat="1" customHeight="1" s="11"/>
    <row r="558" ht="103.5" customFormat="1" customHeight="1" s="11"/>
    <row r="559" ht="55.5" customFormat="1" customHeight="1" s="18"/>
    <row r="560" customFormat="1" s="11"/>
    <row r="561" customFormat="1" s="11"/>
    <row r="562" customFormat="1" s="11"/>
    <row r="563" customFormat="1" s="11"/>
    <row r="564" customFormat="1" s="11"/>
    <row r="565" customFormat="1" s="11"/>
    <row r="566" customFormat="1" s="11"/>
    <row r="567" ht="41.25" customFormat="1" customHeight="1" s="12"/>
    <row r="568" ht="33" customFormat="1" customHeight="1" s="11"/>
    <row r="569" customFormat="1" s="11"/>
    <row r="570" ht="33" customFormat="1" customHeight="1" s="11"/>
    <row r="571" customFormat="1" s="11"/>
    <row r="572" ht="33" customFormat="1" customHeight="1" s="11"/>
    <row r="573" customFormat="1" s="12"/>
    <row r="574" customFormat="1" s="11"/>
    <row r="575" customFormat="1" s="11"/>
    <row r="576" customFormat="1" s="11"/>
    <row r="577" customFormat="1" s="11"/>
    <row r="578" ht="52.5" customFormat="1" customHeight="1" s="11"/>
    <row r="579" customFormat="1" s="11"/>
    <row r="580" customFormat="1" s="11"/>
    <row r="581" customFormat="1" s="11"/>
    <row r="582" customFormat="1" s="11"/>
    <row r="583" customFormat="1" s="11"/>
    <row r="584" ht="61.5" customFormat="1" customHeight="1" s="12"/>
    <row r="585" ht="61.5" customFormat="1" customHeight="1" s="12"/>
    <row r="586" ht="34.5" customFormat="1" customHeight="1" s="12"/>
    <row r="587" ht="65.25" customFormat="1" customHeight="1" s="12"/>
    <row r="588" ht="61.5" customFormat="1" customHeight="1" s="11"/>
    <row r="589" ht="71.25" customFormat="1" customHeight="1" s="11"/>
    <row r="590" ht="69.75" customFormat="1" customHeight="1" s="11"/>
    <row r="591" ht="54" customFormat="1" customHeight="1" s="11"/>
    <row r="592" customFormat="1" s="12"/>
    <row r="593" customFormat="1" s="12"/>
    <row r="594" ht="56.25" customFormat="1" customHeight="1" s="11"/>
    <row r="595" ht="60.75" customFormat="1" customHeight="1" s="11"/>
    <row r="596" ht="39" customFormat="1" customHeight="1" s="11"/>
    <row r="597" ht="57" customFormat="1" customHeight="1" s="11"/>
    <row r="598" ht="60" customFormat="1" customHeight="1" s="11"/>
    <row r="599" customFormat="1" s="11"/>
    <row r="600" customFormat="1" s="11"/>
    <row r="601" ht="68.25" customFormat="1" customHeight="1" s="11"/>
    <row r="602" ht="45" customFormat="1" customHeight="1" s="12"/>
    <row r="603" customFormat="1" s="12"/>
    <row r="604" ht="99" customFormat="1" customHeight="1" s="11"/>
    <row r="605" customFormat="1" s="11"/>
    <row r="606" customFormat="1" s="11"/>
    <row r="607" customFormat="1" s="11"/>
    <row r="608" customFormat="1" s="11"/>
    <row r="609" customFormat="1" s="11"/>
    <row r="610" customFormat="1" s="11"/>
    <row r="611" customFormat="1" s="11"/>
    <row r="612" customFormat="1" s="11"/>
    <row r="613" customFormat="1" s="11"/>
    <row r="614" customFormat="1" s="11"/>
    <row r="615" customFormat="1" s="12"/>
    <row r="616" ht="123.75" customFormat="1" customHeight="1" s="11"/>
    <row r="617" ht="56.25" customFormat="1" customHeight="1" s="12"/>
    <row r="618" ht="42" customFormat="1" customHeight="1" s="12"/>
    <row r="619" ht="66" customFormat="1" customHeight="1" s="11"/>
    <row r="620" ht="62.25" customFormat="1" customHeight="1" s="11"/>
    <row r="621" customFormat="1" s="12"/>
    <row r="622" customFormat="1" s="11"/>
    <row r="623" customFormat="1" s="11"/>
    <row r="624" customFormat="1" s="11"/>
    <row r="625" ht="58.5" customFormat="1" customHeight="1" s="11"/>
    <row r="626" customFormat="1" s="11"/>
    <row r="627" customFormat="1" s="11"/>
    <row r="628" customFormat="1" s="11"/>
    <row r="629" ht="45.75" customFormat="1" customHeight="1" s="11"/>
    <row r="630" ht="48" customFormat="1" customHeight="1" s="11"/>
    <row r="631" ht="48" customFormat="1" customHeight="1" s="11"/>
    <row r="632" customFormat="1" s="11"/>
    <row r="633" customFormat="1" s="11"/>
    <row r="634" customFormat="1" s="11"/>
    <row r="635" customFormat="1" s="11"/>
    <row r="636" ht="36.75" customFormat="1" customHeight="1" s="12"/>
    <row r="637" customFormat="1" s="11"/>
    <row r="638" customFormat="1" s="11"/>
    <row r="639" customFormat="1" s="11"/>
    <row r="640" ht="43.5" customFormat="1" customHeight="1" s="11"/>
    <row r="641" customFormat="1" s="11"/>
    <row r="642" customFormat="1" s="11"/>
    <row r="643" customFormat="1" s="11"/>
    <row r="644" customFormat="1" s="11"/>
    <row r="645" ht="39" customFormat="1" customHeight="1" s="11"/>
    <row r="646" ht="39" customFormat="1" customHeight="1" s="11"/>
    <row r="647" customFormat="1" s="11"/>
    <row r="648" ht="32.25" customFormat="1" customHeight="1" s="11"/>
    <row r="649" customFormat="1" s="11"/>
    <row r="650" ht="45" customFormat="1" customHeight="1" s="11"/>
    <row r="651" customFormat="1" s="11"/>
    <row r="652" ht="51.75" customFormat="1" customHeight="1" s="11"/>
    <row r="653" ht="49.5" customFormat="1" customHeight="1" s="11"/>
    <row r="654" ht="30.75" customFormat="1" customHeight="1" s="11"/>
    <row r="655" ht="47.25" customFormat="1" customHeight="1" s="11"/>
    <row r="656" ht="51" customFormat="1" customHeight="1" s="11"/>
    <row r="657" ht="31.5" customFormat="1" customHeight="1" s="11"/>
    <row r="658" ht="96" customFormat="1" customHeight="1" s="11"/>
    <row r="659" ht="40.5" customFormat="1" customHeight="1" s="11"/>
    <row r="660" ht="97.5" customFormat="1" customHeight="1" s="11"/>
    <row r="661" ht="49.5" customFormat="1" customHeight="1" s="11"/>
    <row r="662" ht="53.25" customFormat="1" customHeight="1" s="11"/>
    <row r="663" ht="62.25" customFormat="1" customHeight="1" s="11"/>
    <row r="664" ht="36" customFormat="1" customHeight="1" s="11"/>
    <row r="665" ht="46.5" customFormat="1" customHeight="1" s="11"/>
    <row r="666" ht="87.75" customFormat="1" customHeight="1" s="11"/>
    <row r="667" ht="46.5" customFormat="1" customHeight="1" s="11"/>
    <row r="668" ht="31.5" customFormat="1" customHeight="1" s="11"/>
    <row r="669" customFormat="1" s="11"/>
    <row r="670" customFormat="1" s="11"/>
    <row r="671" customFormat="1" s="11"/>
    <row r="672" ht="66.75" customFormat="1" customHeight="1" s="11"/>
    <row r="673" ht="42.75" customFormat="1" customHeight="1" s="11"/>
    <row r="674" ht="78.75" customFormat="1" customHeight="1" s="11"/>
    <row r="675" customFormat="1" s="11"/>
    <row r="676" ht="59.25" customFormat="1" customHeight="1" s="11"/>
    <row r="677" customFormat="1" s="11"/>
    <row r="678" ht="57.75" customFormat="1" customHeight="1" s="11"/>
    <row r="679" ht="75" customFormat="1" customHeight="1" s="10"/>
    <row r="680" ht="54.75" customFormat="1" customHeight="1" s="11"/>
    <row r="681" ht="110.25" customFormat="1" customHeight="1" s="11"/>
    <row r="682" ht="39" customFormat="1" customHeight="1" s="11"/>
    <row r="683" ht="39" customFormat="1" customHeight="1" s="11"/>
    <row r="684" ht="42" customFormat="1" customHeight="1" s="11"/>
    <row r="685" customFormat="1" s="11"/>
    <row r="686" customFormat="1" s="11"/>
    <row r="687" customFormat="1" s="11"/>
    <row r="688" customFormat="1" s="11"/>
    <row r="689" customFormat="1" s="11"/>
    <row r="690" customFormat="1" s="11"/>
    <row r="691" customFormat="1" s="11"/>
    <row r="692" customFormat="1" s="11"/>
    <row r="693" customFormat="1" s="11"/>
    <row r="694" customFormat="1" s="11"/>
    <row r="695" customFormat="1" s="11"/>
    <row r="696" customFormat="1" s="11"/>
    <row r="697" customFormat="1" s="11"/>
    <row r="698" customFormat="1" s="11"/>
    <row r="699" customFormat="1" s="11"/>
    <row r="700" customFormat="1" s="11"/>
    <row r="701" customFormat="1" s="11"/>
    <row r="702" customFormat="1" s="11"/>
    <row r="703" customFormat="1" s="11"/>
    <row r="704" customFormat="1" s="11"/>
    <row r="705" customFormat="1" s="11"/>
    <row r="706" customFormat="1" s="11"/>
    <row r="707" customFormat="1" s="11"/>
    <row r="708" customFormat="1" s="11"/>
    <row r="709" customFormat="1" s="11"/>
    <row r="710" customFormat="1" s="11"/>
    <row r="711" customFormat="1" s="11"/>
    <row r="712" customFormat="1" s="11"/>
    <row r="713" customFormat="1" s="11"/>
    <row r="714" customFormat="1" s="11"/>
    <row r="715" customFormat="1" s="11"/>
    <row r="716" customFormat="1" s="11"/>
    <row r="717" ht="36.75" customFormat="1" customHeight="1" s="11"/>
    <row r="718" customFormat="1" s="11"/>
    <row r="719" customFormat="1" s="11"/>
    <row r="720" customFormat="1" s="11"/>
    <row r="721" customFormat="1" s="11"/>
    <row r="722" customFormat="1" s="11"/>
    <row r="723" customFormat="1" s="11"/>
    <row r="724" customFormat="1" s="11"/>
    <row r="725" customFormat="1" s="11"/>
    <row r="726" customFormat="1" s="11"/>
    <row r="727" customFormat="1" s="11"/>
    <row r="728" customFormat="1" s="11"/>
    <row r="729" customFormat="1" s="11"/>
    <row r="730" customFormat="1" s="11"/>
    <row r="731" customFormat="1" s="11"/>
    <row r="732" customFormat="1" s="11"/>
    <row r="733" customFormat="1" s="11"/>
    <row r="734" customFormat="1" s="11"/>
    <row r="735" customFormat="1" s="11"/>
    <row r="736" customFormat="1" s="11"/>
    <row r="737" customFormat="1" s="11"/>
    <row r="738" customFormat="1" s="11"/>
    <row r="739" customFormat="1" s="11"/>
    <row r="740" customFormat="1" s="11"/>
    <row r="741" customFormat="1" s="11"/>
    <row r="742" customFormat="1" s="11"/>
    <row r="743" customFormat="1" s="11"/>
    <row r="744" customFormat="1" s="11"/>
    <row r="745" customFormat="1" s="11"/>
    <row r="746" customFormat="1" s="11"/>
    <row r="747" customFormat="1" s="11"/>
    <row r="748" customFormat="1" s="11"/>
    <row r="749" customFormat="1" s="11"/>
    <row r="750" customFormat="1" s="11"/>
    <row r="751" customFormat="1" s="11"/>
    <row r="752" customFormat="1" s="11"/>
    <row r="753" customFormat="1" s="11"/>
    <row r="754" customFormat="1" s="11"/>
    <row r="755" customFormat="1" s="11"/>
    <row r="756" customFormat="1" s="11"/>
    <row r="757" customFormat="1" s="11"/>
    <row r="758" customFormat="1" s="11"/>
    <row r="759" customFormat="1" s="11"/>
    <row r="760" customFormat="1" s="11"/>
    <row r="761" customFormat="1" s="11"/>
    <row r="762" customFormat="1" s="11"/>
    <row r="763" customFormat="1" s="11"/>
    <row r="764" customFormat="1" s="11"/>
    <row r="765" customFormat="1" s="11"/>
    <row r="766" customFormat="1" s="11"/>
    <row r="767" customFormat="1" s="11"/>
    <row r="768" customFormat="1" s="11"/>
    <row r="769" customFormat="1" s="11"/>
    <row r="770" customFormat="1" s="11"/>
    <row r="771" customFormat="1" s="11"/>
    <row r="772" customFormat="1" s="11"/>
    <row r="773" customFormat="1" s="11"/>
    <row r="774" customFormat="1" s="11"/>
    <row r="775" customFormat="1" s="11"/>
    <row r="776" customFormat="1" s="11"/>
    <row r="777" customFormat="1" s="11"/>
    <row r="778" customFormat="1" s="11"/>
    <row r="779" customFormat="1" s="11"/>
    <row r="780" customFormat="1" s="11"/>
    <row r="781" customFormat="1" s="11"/>
    <row r="782" customFormat="1" s="11"/>
    <row r="783" customFormat="1" s="11"/>
    <row r="784" customFormat="1" s="11"/>
    <row r="785" customFormat="1" s="11"/>
    <row r="786" customFormat="1" s="11"/>
    <row r="787" customFormat="1" s="11"/>
    <row r="788" customFormat="1" s="11"/>
    <row r="789" customFormat="1" s="11"/>
    <row r="790" customFormat="1" s="11"/>
    <row r="791" customFormat="1" s="11"/>
    <row r="792" customFormat="1" s="11"/>
    <row r="793" customFormat="1" s="11"/>
    <row r="794" customFormat="1" s="11"/>
    <row r="795" customFormat="1" s="11"/>
    <row r="796" customFormat="1" s="11"/>
    <row r="797" customFormat="1" s="11"/>
    <row r="798" customFormat="1" s="11"/>
    <row r="799" customFormat="1" s="11"/>
    <row r="800" customFormat="1" s="11"/>
    <row r="801" customFormat="1" s="11"/>
    <row r="802" customFormat="1" s="11"/>
    <row r="803" customFormat="1" s="11"/>
    <row r="804" customFormat="1" s="11"/>
    <row r="805" customFormat="1" s="11"/>
    <row r="806" customFormat="1" s="11"/>
    <row r="807" customFormat="1" s="11"/>
    <row r="808" customFormat="1" s="11"/>
    <row r="809" customFormat="1" s="11"/>
    <row r="810" customFormat="1" s="11"/>
    <row r="811" customFormat="1" s="11"/>
    <row r="812" customFormat="1" s="11"/>
    <row r="813" customFormat="1" s="11"/>
    <row r="814" customFormat="1" s="11"/>
    <row r="815" customFormat="1" s="11"/>
    <row r="816" customFormat="1" s="11"/>
    <row r="817" customFormat="1" s="11"/>
    <row r="818" customFormat="1" s="11"/>
    <row r="819" customFormat="1" s="11"/>
    <row r="820" customFormat="1" s="11"/>
    <row r="821" customFormat="1" s="11"/>
    <row r="822" customFormat="1" s="11"/>
    <row r="823" customFormat="1" s="11"/>
    <row r="824" customFormat="1" s="11"/>
    <row r="825" customFormat="1" s="11"/>
    <row r="826" customFormat="1" s="11"/>
    <row r="827" customFormat="1" s="11"/>
    <row r="828" customFormat="1" s="11"/>
    <row r="829" customFormat="1" s="11"/>
    <row r="830" customFormat="1" s="11"/>
    <row r="831" customFormat="1" s="11"/>
    <row r="832" customFormat="1" s="11"/>
    <row r="833" customFormat="1" s="11"/>
    <row r="834" customFormat="1" s="11"/>
    <row r="835" customFormat="1" s="11"/>
    <row r="836" customFormat="1" s="11"/>
    <row r="837" customFormat="1" s="11"/>
    <row r="838" customFormat="1" s="11"/>
    <row r="839" customFormat="1" s="11"/>
    <row r="840" customFormat="1" s="11"/>
    <row r="841" customFormat="1" s="11"/>
    <row r="842" customFormat="1" s="11"/>
    <row r="843" customFormat="1" s="11"/>
    <row r="844" customFormat="1" s="11"/>
    <row r="845" customFormat="1" s="11"/>
    <row r="846" customFormat="1" s="11"/>
    <row r="847" customFormat="1" s="11"/>
    <row r="848" customFormat="1" s="11"/>
    <row r="849" customFormat="1" s="11"/>
    <row r="850" customFormat="1" s="11"/>
    <row r="851" customFormat="1" s="11"/>
    <row r="852" customFormat="1" s="11"/>
    <row r="853" customFormat="1" s="11"/>
    <row r="854" customFormat="1" s="11"/>
    <row r="855" customFormat="1" s="11"/>
    <row r="856" customFormat="1" s="11"/>
    <row r="857" customFormat="1" s="11"/>
    <row r="858" customFormat="1" s="11"/>
    <row r="859" customFormat="1" s="11"/>
    <row r="860" customFormat="1" s="11"/>
    <row r="861" customFormat="1" s="11"/>
    <row r="862" customFormat="1" s="11"/>
    <row r="863" customFormat="1" s="11"/>
    <row r="965" ht="72.75" customHeight="1"/>
    <row r="1033" customFormat="1" s="20"/>
    <row r="1046" customFormat="1" s="20"/>
    <row r="1146" customFormat="1" s="19"/>
    <row r="1300" ht="69.75" customHeight="1"/>
    <row r="1327" customFormat="1" s="2"/>
    <row r="1328" customFormat="1" s="2"/>
    <row r="1329" ht="30" customFormat="1" customHeight="1" s="2"/>
    <row r="1330" ht="30" customFormat="1" customHeight="1" s="2"/>
    <row r="1331" ht="48.75" customFormat="1" customHeight="1" s="2"/>
    <row r="1332" ht="30" customFormat="1" customHeight="1" s="2"/>
    <row r="1337" ht="47.25" customHeight="1"/>
    <row r="1338" customFormat="1" s="2"/>
    <row r="1339" customFormat="1" s="2"/>
    <row r="1340" customFormat="1" s="2"/>
    <row r="1341" ht="87" customFormat="1" customHeight="1" s="2"/>
    <row r="1342" customFormat="1" s="2"/>
    <row r="1343" customFormat="1" s="2"/>
    <row r="1344" customFormat="1" s="2"/>
    <row r="1345" customFormat="1" s="2"/>
    <row r="1346" customFormat="1" s="2"/>
    <row r="1347" customFormat="1" s="2"/>
    <row r="1348" customFormat="1" s="2"/>
    <row r="1349" customFormat="1" s="2"/>
    <row r="1350" customFormat="1" s="2"/>
    <row r="1351" customFormat="1" s="2"/>
    <row r="1352" customFormat="1" s="2"/>
    <row r="1353" customFormat="1" s="2"/>
    <row r="1354" customFormat="1" s="2"/>
    <row r="1355" customFormat="1" s="2"/>
    <row r="1356" customFormat="1" s="2"/>
    <row r="1357" ht="66.75" customFormat="1" customHeight="1" s="2"/>
    <row r="1358" customFormat="1" s="2"/>
    <row r="1359" customFormat="1" s="2"/>
    <row r="1360" customFormat="1" s="2"/>
    <row r="1361" customFormat="1" s="2"/>
    <row r="1362" customFormat="1" s="2"/>
    <row r="1363" customFormat="1" s="2"/>
    <row r="1364" ht="83.25" customFormat="1" customHeight="1" s="2"/>
    <row r="1365" customFormat="1" s="2"/>
    <row r="1366" customFormat="1" s="2"/>
    <row r="1367" ht="30" customFormat="1" customHeight="1" s="2"/>
    <row r="1369" ht="99.75" customFormat="1" customHeight="1" s="2"/>
    <row r="1370" ht="30" customFormat="1" customHeight="1" s="2"/>
    <row r="1371" ht="83.25" customFormat="1" customHeight="1" s="2"/>
    <row r="1372" ht="30" customFormat="1" customHeight="1" s="2"/>
    <row r="1376" customFormat="1" s="2"/>
    <row r="1377" ht="96.75" customFormat="1" customHeight="1" s="2"/>
    <row r="1378" ht="79.5" customFormat="1" customHeight="1" s="2"/>
    <row r="1379" ht="81.75" customFormat="1" customHeight="1" s="2"/>
    <row r="1380" ht="70.5" customFormat="1" customHeight="1" s="2"/>
    <row r="1381" customFormat="1" s="2"/>
    <row r="1382" customFormat="1" s="2"/>
    <row r="1383" customFormat="1" s="2"/>
    <row r="1386" ht="105.75" customFormat="1" customHeight="1" s="2"/>
    <row r="1387" customFormat="1" s="2"/>
    <row r="1388" customFormat="1" s="2"/>
    <row r="1389" customFormat="1" s="2"/>
    <row r="1390" customFormat="1" s="2"/>
    <row r="1391" customFormat="1" s="2"/>
    <row r="1392" customFormat="1" s="2"/>
    <row r="1393" customFormat="1" s="2"/>
    <row r="1395" customFormat="1" s="2"/>
    <row r="1396" customFormat="1" s="2"/>
    <row r="1397" customFormat="1" s="2"/>
    <row r="1398" customFormat="1" s="2"/>
    <row r="1399" customFormat="1" s="2"/>
    <row r="1400" customFormat="1" s="2"/>
    <row r="1401" customFormat="1" s="2"/>
    <row r="1402" customFormat="1" s="2"/>
    <row r="1403" customFormat="1" s="2"/>
    <row r="1404" customFormat="1" s="2"/>
    <row r="1405" customFormat="1" s="2"/>
    <row r="1406" customFormat="1" s="2"/>
    <row r="1407" customFormat="1" s="2"/>
    <row r="1408" customFormat="1" s="2"/>
    <row r="1409" customFormat="1" s="2"/>
    <row r="1410" customFormat="1" s="2"/>
    <row r="1411" customFormat="1" s="2"/>
    <row r="1412" customFormat="1" s="2"/>
    <row r="1413" customFormat="1" s="2"/>
    <row r="1414" customFormat="1" s="2"/>
    <row r="1415" customFormat="1" s="2"/>
    <row r="1416" customFormat="1" s="5"/>
    <row r="1417" customFormat="1" s="2"/>
    <row r="1418" customFormat="1" s="2"/>
    <row r="1419" ht="33" customFormat="1" customHeight="1" s="5"/>
    <row r="1420" customFormat="1" s="2"/>
    <row r="1421" customFormat="1" s="2"/>
    <row r="1422" customFormat="1" s="2"/>
    <row r="1423" customFormat="1" s="2"/>
    <row r="1424" customFormat="1" s="2"/>
    <row r="1425" customFormat="1" s="2"/>
    <row r="1426" customFormat="1" s="2"/>
    <row r="1427" customFormat="1" s="2"/>
  </sheetData>
  <dataValidations count="12">
    <dataValidation sqref="L2:L1427 M2:M1427 N2:N1427 O2:O1427 P2:P1427 Q2:Q1427 R2:R1427 S2:S1427 BS2:BS1427 CE2:CE1427 CN2:CN1427 CO2:CO1427 CS2:CS1427 CT2:CT1427 CU2:CU1427 CV2:CV1427 DC2:DC1427 DE2:DE1427 DL2:DL1427" showDropDown="0" showInputMessage="0" showErrorMessage="1" allowBlank="1" errorTitle="数据校验" error="输入值不符合该字段口径，请核对。" type="whole" operator="greaterThanOrEqual">
      <formula1>0</formula1>
    </dataValidation>
    <dataValidation sqref="T2:T1427 U2:U1427 DI2:DI1427 DJ2:DJ1427 DK2:DK1427 DM2:DM1427" showDropDown="0" showInputMessage="0" showErrorMessage="1" allowBlank="1" errorTitle="数据校验" error="输入值不符合该字段口径，请核对。" type="decimal" operator="greaterThanOrEqual">
      <formula1>0</formula1>
    </dataValidation>
    <dataValidation sqref="V2:V1427" showDropDown="0" showInputMessage="0" showErrorMessage="1" allowBlank="1" errorTitle="数据校验" error="输入值不符合该字段口径，请核对。" type="list">
      <formula1>"RMB,HKD,USD,Other"</formula1>
    </dataValidation>
    <dataValidation sqref="AO2:AO1427 AP2:AP1427 AQ2:AQ1427 AY2:AY1427 BC2:BC1427 BD2:BD1427 BG2:BG1427 CK2:CK1427 CY2:CY1427 DA2:DA1427 DD2:DD1427 DF2:DF1427" showDropDown="0" showInputMessage="0" showErrorMessage="1" allowBlank="1" errorTitle="数据校验" error="输入值不符合该字段口径，请核对。" type="decimal">
      <formula1>0</formula1>
      <formula2>1</formula2>
    </dataValidation>
    <dataValidation sqref="AT2:AT1427 BP2:BP1427 BU2:BU1427 BV2:BV1427 BW2:BW1427 BX2:BX1427 BY2:BY1427 CC2:CC1427 CD2:CD1427 CL2:CL1427 CQ2:CQ1427 CR2:CR1427" showDropDown="0" showInputMessage="0" showErrorMessage="1" allowBlank="1" errorTitle="数据校验" error="输入值不符合该字段口径，请核对。" type="date" operator="greaterThan">
      <formula1>1900-1-1</formula1>
    </dataValidation>
    <dataValidation sqref="BA2:BA1427 BJ2:BJ1427 BK2:BK1427 BL2:BL1427 BM2:BM1427" showDropDown="0" showInputMessage="0" showErrorMessage="1" allowBlank="1" errorTitle="数据校验" error="输入值不符合该字段口径，请核对。" type="whole">
      <formula1>0</formula1>
      <formula2>1</formula2>
    </dataValidation>
    <dataValidation sqref="BB2:BB1427" showDropDown="0" showInputMessage="0" showErrorMessage="1" allowBlank="1" errorTitle="数据校验" error="输入值不符合该字段口径，请核对。" type="list">
      <formula1>"Central state-owned,Local state-owned,Family,Individual,No controller,Other"</formula1>
    </dataValidation>
    <dataValidation sqref="BF2:BF1427" showDropDown="0" showInputMessage="0" showErrorMessage="1" allowBlank="1" errorTitle="数据校验" error="输入值不符合该字段口径，请核对。" type="list">
      <formula1>"Research,Prototype,Pilot,Commercial sales,Not applicable,Unclear"</formula1>
    </dataValidation>
    <dataValidation sqref="BH2:BH1427" showDropDown="0" showInputMessage="0" showErrorMessage="1" allowBlank="1" errorTitle="数据校验" error="输入值不符合该字段口径，请核对。" type="list">
      <formula1>"Main Board,GEM"</formula1>
    </dataValidation>
    <dataValidation sqref="BT2:BT1427" showDropDown="0" showInputMessage="0" showErrorMessage="1" allowBlank="1" errorTitle="数据校验" error="输入值不符合该字段口径，请核对。" type="list">
      <formula1>"IFRS,HKFRS,US GAAP,CAS,Other"</formula1>
    </dataValidation>
    <dataValidation sqref="CH2:CH1427" showDropDown="0" showInputMessage="0" showErrorMessage="1" allowBlank="1" errorTitle="数据校验" error="输入值不符合该字段口径，请核对。" type="list">
      <formula1>"Unqualified,Qualified,Adverse,Disclaimer,NA"</formula1>
    </dataValidation>
    <dataValidation sqref="DN2:DN1427" showDropDown="0" showInputMessage="0" showErrorMessage="1" allowBlank="1" errorTitle="数据校验" error="输入值不符合该字段口径，请核对。" type="list">
      <formula1>"Mechanism A,Mechanism B,Pre-reform"</formula1>
    </dataValidation>
  </dataValidations>
  <pageMargins left="0.4724409448818898" right="0.1574803149606299" top="1.220472440944882" bottom="0.47" header="0.3937007874015748" footer="0.1181102362204725"/>
  <pageSetup orientation="landscape" paperSize="9" scale="60"/>
  <headerFooter alignWithMargins="0">
    <oddHeader>&amp;C&amp;"Univers (W1),粗體"&amp;22 </oddHeader>
    <oddFooter>&amp;C&amp;"Times New Roman,標準"&amp;10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Penny Cheung</dc:creator>
  <dcterms:created xsi:type="dcterms:W3CDTF">1998-12-03T07:18:48Z</dcterms:created>
  <dcterms:modified xsi:type="dcterms:W3CDTF">2026-10-17T01:46:28Z</dcterms:modified>
  <cp:lastModifiedBy>ZHU Jiaqi</cp:lastModifiedBy>
  <cp:lastPrinted>2013-12-11T03:06:09Z</cp:lastPrinted>
</cp:coreProperties>
</file>

<file path=docProps/custom.xml><?xml version="1.0" encoding="utf-8"?>
<Properties xmlns:vt="http://schemas.openxmlformats.org/officeDocument/2006/docPropsVTypes" xmlns="http://schemas.openxmlformats.org/officeDocument/2006/custom-properties">
  <property name="SV_QUERY_LIST_4F35BF76-6C0D-4D9B-82B2-816C12CF3733" fmtid="{D5CDD505-2E9C-101B-9397-08002B2CF9AE}" pid="2">
    <vt:lpwstr>empty_477D106A-C0D6-4607-AEBD-E2C9D60EA279</vt:lpwstr>
  </property>
  <property name="SV_HIDDEN_GRID_QUERY_LIST_4F35BF76-6C0D-4D9B-82B2-816C12CF3733" fmtid="{D5CDD505-2E9C-101B-9397-08002B2CF9AE}" pid="3">
    <vt:lpwstr>empty_477D106A-C0D6-4607-AEBD-E2C9D60EA279</vt:lpwstr>
  </property>
</Properties>
</file>