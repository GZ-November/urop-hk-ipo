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5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DD/MM/YY"/>
    <numFmt numFmtId="178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8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12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40</v>
      </c>
      <c r="B2" s="47" t="inlineStr">
        <is>
          <t>6656.HK</t>
        </is>
      </c>
      <c r="C2" s="44" t="inlineStr">
        <is>
          <t>Sigenergy Technology Co., Ltd. - H Shares</t>
        </is>
      </c>
      <c r="D2" s="189" t="n">
        <v>46120</v>
      </c>
      <c r="E2" s="189" t="n">
        <v>46128</v>
      </c>
      <c r="F2" s="43" t="inlineStr">
        <is>
          <t>CITIC Securities (Hong Kong) Limited /
BNP Paribas Securities (Asia) Limited</t>
        </is>
      </c>
      <c r="G2" s="43" t="inlineStr">
        <is>
          <t>Ernst &amp; Young</t>
        </is>
      </c>
      <c r="H2" s="43" t="n"/>
      <c r="I2" s="131" t="n">
        <v>440069080</v>
      </c>
      <c r="J2" s="132" t="n">
        <v>4620660500</v>
      </c>
      <c r="K2" s="133" t="n">
        <v>324.2</v>
      </c>
      <c r="L2" t="n">
        <v>246796930</v>
      </c>
      <c r="M2" s="67" t="n">
        <v>13573900</v>
      </c>
      <c r="N2" t="n">
        <v>233223030</v>
      </c>
      <c r="O2" t="n">
        <v>233223030</v>
      </c>
      <c r="P2" t="n">
        <v>0</v>
      </c>
      <c r="Q2" t="n">
        <v>13573900</v>
      </c>
      <c r="R2" s="67" t="n">
        <v>12216500</v>
      </c>
      <c r="S2" s="67" t="n">
        <v>1357400</v>
      </c>
      <c r="T2" s="134" t="n">
        <v>324.2</v>
      </c>
      <c r="U2" s="134" t="n">
        <v>324.2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655979000</v>
      </c>
      <c r="AA2" s="117" t="n">
        <v>1626010000</v>
      </c>
      <c r="AB2" s="117" t="n">
        <v>8447914000</v>
      </c>
      <c r="AC2" s="117" t="n">
        <v>263805000</v>
      </c>
      <c r="AD2" s="117" t="n">
        <v>582032000</v>
      </c>
      <c r="AE2" s="117" t="n">
        <v>3787986000</v>
      </c>
      <c r="AF2" s="117" t="n">
        <v>392174000</v>
      </c>
      <c r="AG2" s="117" t="n">
        <v>1043978000</v>
      </c>
      <c r="AH2" s="117" t="n">
        <v>4659928000</v>
      </c>
      <c r="AI2" s="117" t="n">
        <v>58302000</v>
      </c>
      <c r="AJ2" s="117" t="n">
        <v>1329838000</v>
      </c>
      <c r="AK2" s="117" t="n">
        <v>9000512000</v>
      </c>
      <c r="AL2" s="117" t="n">
        <v>-373286000</v>
      </c>
      <c r="AM2" s="117" t="n">
        <v>55647000</v>
      </c>
      <c r="AN2" s="117" t="n">
        <v>3296226000</v>
      </c>
      <c r="AO2" s="117" t="n">
        <v>-373452000</v>
      </c>
      <c r="AP2" s="117" t="n">
        <v>83845000</v>
      </c>
      <c r="AQ2" s="117" t="n">
        <v>2918832000</v>
      </c>
      <c r="AR2" s="135" t="n">
        <v>0.0225</v>
      </c>
      <c r="AS2" s="135" t="n">
        <v>0.0225</v>
      </c>
      <c r="AT2" s="70" t="n">
        <v>0.15</v>
      </c>
      <c r="AU2" s="51" t="inlineStr">
        <is>
          <t>Renewable energy - distributed energy storage system (DESS) solutions</t>
        </is>
      </c>
      <c r="AV2" s="51" t="inlineStr">
        <is>
          <t>Main Board - Rule 8.05(3) market capitalisation/revenue test</t>
        </is>
      </c>
      <c r="AW2" s="136" t="n">
        <v>46022</v>
      </c>
      <c r="AX2" s="137" t="n">
        <v>-199990000</v>
      </c>
      <c r="AY2" s="117" t="n">
        <v>1109293000</v>
      </c>
      <c r="AZ2" s="117" t="n">
        <v>494028000</v>
      </c>
      <c r="BA2" s="117" t="n">
        <v>0</v>
      </c>
      <c r="BB2" s="138" t="n">
        <v>0.45</v>
      </c>
      <c r="BC2" s="139" t="n">
        <v>1</v>
      </c>
      <c r="BD2" s="80" t="n">
        <v>1</v>
      </c>
      <c r="BE2" s="161" t="n">
        <v>1</v>
      </c>
      <c r="BF2" s="161" t="n">
        <v>1</v>
      </c>
      <c r="BG2" s="161" t="inlineStr">
        <is>
          <t>NaN</t>
        </is>
      </c>
      <c r="BH2" s="161" t="n">
        <v>1</v>
      </c>
      <c r="BI2" s="161" t="n">
        <v>1</v>
      </c>
      <c r="BJ2" s="162" t="inlineStr">
        <is>
          <t>Shanghai Yusong; Jiefeng Technology; Zhuhai Meiheng; Guangzhou Huaxin; Andaman International; Jiaxing Yuzai; Suzhou V Fund; Jinan V Fund; Gongqingcheng Yunteng; Jiaxing Dingyun; Xiamen Xiaoyu; Hangzhou Yiyun; Xingxu Yaoneng; Xingxu New Energy; TTGG Ventures</t>
        </is>
      </c>
      <c r="BK2" s="163" t="n">
        <v>0.3958</v>
      </c>
      <c r="BL2" s="161" t="n">
        <v>1</v>
      </c>
      <c r="BM2" s="164" t="inlineStr">
        <is>
          <t>Series Seed (June 2022)</t>
        </is>
      </c>
      <c r="BN2" s="165" t="n">
        <v>3.77</v>
      </c>
      <c r="BO2" s="51" t="inlineStr">
        <is>
          <t>Individual (founder, Mr. Xu)</t>
        </is>
      </c>
      <c r="BP2" s="135" t="n">
        <v>0.4658</v>
      </c>
      <c r="BQ2" s="135" t="n">
        <v>0.4658</v>
      </c>
      <c r="BR2" s="137" t="n">
        <v>1720433000</v>
      </c>
      <c r="BS2" s="73" t="inlineStr">
        <is>
          <t>Commercialized - commenced commercial production and sales in May 2023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0</v>
      </c>
      <c r="CA2" s="60" t="inlineStr">
        <is>
          <t>101070</t>
        </is>
      </c>
      <c r="CB2" s="76" t="inlineStr">
        <is>
          <t>HSICS (Hang Seng Industry Classification System) 2026</t>
        </is>
      </c>
      <c r="CC2" s="140" t="n">
        <v>44705</v>
      </c>
      <c r="CD2" s="171" t="n">
        <v>3.9</v>
      </c>
      <c r="CE2" s="76" t="inlineStr">
        <is>
          <t>NA</t>
        </is>
      </c>
      <c r="CF2" s="89" t="inlineStr">
        <is>
          <t>Building 12-2, 678 Yunqiao Road, Pilot Free Trade Zone, 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9000512000</v>
      </c>
      <c r="CO2" s="64" t="n">
        <v>3296226000</v>
      </c>
      <c r="CP2" s="64" t="n">
        <v>2918832000</v>
      </c>
      <c r="CQ2" s="141" t="n">
        <v>46120</v>
      </c>
      <c r="CR2" s="141" t="n">
        <v>46125</v>
      </c>
      <c r="CS2" s="63" t="n">
        <v>139732341</v>
      </c>
      <c r="CT2" s="64" t="n">
        <v>4504853000</v>
      </c>
      <c r="CU2" s="64" t="n">
        <v>353107000</v>
      </c>
      <c r="CV2" s="59" t="inlineStr">
        <is>
          <t>Unqualified (true and fair view)</t>
        </is>
      </c>
      <c r="CW2" s="64" t="n">
        <v>210800000</v>
      </c>
      <c r="CX2" s="51" t="inlineStr">
        <is>
          <t>Aranda Investments Pte. Ltd.; Shanghai Lujiazui (Group) Co., Ltd. (GUOTAI JUNAN INVESTMENTS (HONG KONG) LIMITED OTC Swap); Goldman Sachs Asset Management (Hong Kong) Limited; HHLR Advisors, Ltd.; Hillhouse Investment Management, Ltd.; UBS Asset Management (Singapore) Ltd.; AXA Investment Managers UK Limited; CPE Energy Investment Limited; Lazurite Hime L.P.; Baring Asset Management (Asia) Limited; Charoen Pokphand Robot Limited; CPIC Investment Management (H.K.) Company Limited; Fullgoal Asset Management (HK) Limited; Fullgoal Fund Management Co., Ltd.; Greenwoods Asset Management Hong Kong Limited; Huadeng Technology Space Ventures Ltd; ICBC Wealth Management Co., Ltd.; Perseverance Asset Management International (Singapore) Pte. Ltd.; Scene Cloud Global Limited; Tropical Terrain Limited; 3W Fund Management Limited</t>
        </is>
      </c>
      <c r="CY2" s="142" t="n">
        <v>0.498</v>
      </c>
      <c r="CZ2" s="136" t="n">
        <v>46311</v>
      </c>
      <c r="DA2" s="143" t="n">
        <v>1102.05</v>
      </c>
      <c r="DB2" s="63" t="n">
        <v>202730</v>
      </c>
      <c r="DC2" s="63" t="n">
        <v>1495920500</v>
      </c>
      <c r="DD2" s="59" t="inlineStr">
        <is>
          <t>Subscription level 1,102.05 times</t>
        </is>
      </c>
      <c r="DE2" s="141" t="inlineStr">
        <is>
          <t>NA</t>
        </is>
      </c>
      <c r="DF2" s="141" t="n">
        <v>46127</v>
      </c>
      <c r="DG2" s="63" t="n">
        <v>13573900</v>
      </c>
      <c r="DH2" s="63" t="n">
        <v>1357400</v>
      </c>
      <c r="DI2" s="63" t="n">
        <v>12216500</v>
      </c>
      <c r="DJ2" s="63" t="n">
        <v>2036000</v>
      </c>
      <c r="DK2" s="169" t="n">
        <v>1</v>
      </c>
      <c r="DL2" s="59" t="inlineStr">
        <is>
          <t>No clawback triggered (Claw-back triggered: N/A); the final number of Offer Shares under the Hong Kong Public Offering (1,357,400) equals the initial number and represents 10.0% of the Global Offering.</t>
        </is>
      </c>
      <c r="DM2" s="144" t="n">
        <v>4189900000</v>
      </c>
      <c r="DN2" s="142" t="n">
        <v>0.2744</v>
      </c>
      <c r="DO2" s="51" t="n">
        <v>246796930</v>
      </c>
      <c r="DP2" s="142" t="n">
        <v>0.0276</v>
      </c>
      <c r="DQ2" s="59" t="inlineStr">
        <is>
          <t>Free float denominator = total issued shares upon Listing (before exercise of the Over-allotment Option) = 246,796,930; numerator = Offer Shares minus cornerstone allocation.</t>
        </is>
      </c>
      <c r="DR2" s="63" t="n">
        <v>246796930</v>
      </c>
      <c r="DS2" s="142" t="n">
        <v>-0.00808847</v>
      </c>
      <c r="DT2" s="80" t="n">
        <v>37</v>
      </c>
      <c r="DU2" s="142" t="n">
        <v>0.0198601</v>
      </c>
      <c r="DV2" s="144" t="n">
        <v>53851000000</v>
      </c>
      <c r="DW2" s="145" t="n">
        <v>659.5</v>
      </c>
      <c r="DX2" s="169" t="n">
        <v>1.034238</v>
      </c>
      <c r="DY2" s="172" t="n">
        <v>4551328670</v>
      </c>
      <c r="DZ2" s="146" t="n">
        <v>581</v>
      </c>
      <c r="EA2" s="146" t="n">
        <v>669</v>
      </c>
      <c r="EB2" s="146" t="n">
        <v>560.5</v>
      </c>
      <c r="EC2" s="63" t="n">
        <v>7713823</v>
      </c>
      <c r="ED2" s="169" t="n">
        <v>0.568283</v>
      </c>
      <c r="EE2" s="64" t="n">
        <v>4596550510</v>
      </c>
      <c r="EF2" s="60" t="inlineStr">
        <is>
          <t>Mechanism B</t>
        </is>
      </c>
      <c r="EG2" s="59" t="inlineStr">
        <is>
          <t>FINI (from 22/11/2023); 2025-08-04 pricing reform (Mechanism A/B; six-month cornerstone lock-up retained); this IPO: Mechanism B</t>
        </is>
      </c>
      <c r="EH2" t="inlineStr">
        <is>
          <t>思格新能源（上海）股份有限公司</t>
        </is>
      </c>
      <c r="EI2" s="174" t="inlineStr">
        <is>
          <t>Active</t>
        </is>
      </c>
      <c r="EJ2" s="175" t="n">
        <v>518.302</v>
      </c>
      <c r="EK2" s="176" t="n">
        <v>-0.21087</v>
      </c>
      <c r="EL2" s="176" t="n">
        <v>0.605278</v>
      </c>
      <c r="EM2" s="176" t="n">
        <v>-0.000198</v>
      </c>
      <c r="EN2" s="176" t="n">
        <v>-0.003119</v>
      </c>
      <c r="EO2" s="179" t="n">
        <v>0.7893</v>
      </c>
      <c r="EP2" s="179" t="n">
        <v>0.7916</v>
      </c>
      <c r="EQ2" s="178" t="n">
        <v>515837995.5</v>
      </c>
      <c r="ER2" s="175" t="n"/>
      <c r="ES2" s="176" t="n"/>
      <c r="ET2" s="176" t="n"/>
      <c r="EU2" s="176" t="n"/>
      <c r="EV2" s="176" t="n"/>
      <c r="EW2" s="179" t="n"/>
      <c r="EX2" s="179" t="n"/>
      <c r="EY2" s="178" t="n"/>
      <c r="EZ2" s="176" t="n"/>
      <c r="FA2" s="176" t="n"/>
      <c r="FB2" s="179" t="n"/>
      <c r="FC2" s="176" t="n"/>
      <c r="FD2" s="179" t="n"/>
      <c r="FE2" s="174" t="inlineStr">
        <is>
          <t>Standard</t>
        </is>
      </c>
      <c r="FF2" s="181" t="inlineStr">
        <is>
          <t>CLSA Limited</t>
        </is>
      </c>
      <c r="FG2" s="185" t="inlineStr">
        <is>
          <t>2026-05-13</t>
        </is>
      </c>
      <c r="FH2" s="183" t="n">
        <v>0</v>
      </c>
      <c r="FI2" s="178" t="n">
        <v>2036000</v>
      </c>
      <c r="FJ2" s="176" t="n"/>
      <c r="FK2" s="185" t="inlineStr">
        <is>
          <t>2026-05-13</t>
        </is>
      </c>
      <c r="FL2" s="178" t="n">
        <v>2036000</v>
      </c>
      <c r="FM2" s="176" t="n">
        <v>1</v>
      </c>
      <c r="FN2" s="176" t="n">
        <v>-0.052603</v>
      </c>
      <c r="FO2" s="176" t="n">
        <v>-0.321721</v>
      </c>
      <c r="FP2" s="176" t="n">
        <v>0.289579</v>
      </c>
      <c r="FQ2" s="176" t="n">
        <v>-0.140073</v>
      </c>
      <c r="FR2" s="179" t="n">
        <v>0.8675</v>
      </c>
      <c r="FS2" s="176" t="n">
        <v>-0.21087</v>
      </c>
      <c r="FT2" s="179" t="n">
        <v>0.7893</v>
      </c>
      <c r="FU2" s="176" t="n">
        <v>-0.55664</v>
      </c>
      <c r="FV2" s="179" t="n">
        <v>0.4679</v>
      </c>
      <c r="FW2" s="179" t="n">
        <v>0.467</v>
      </c>
      <c r="FX2" s="178" t="n">
        <v>241827954.35</v>
      </c>
      <c r="FY2" s="186" t="n"/>
      <c r="FZ2" s="183" t="n"/>
      <c r="GA2" s="176" t="n"/>
      <c r="GB2" s="176" t="n"/>
      <c r="GC2" s="185" t="inlineStr">
        <is>
          <t>2026-10-17</t>
        </is>
      </c>
      <c r="GD2" s="185" t="inlineStr">
        <is>
          <t>2027-04-17</t>
        </is>
      </c>
      <c r="GE2" s="176" t="n"/>
      <c r="GF2" s="176" t="n"/>
      <c r="GG2" s="179" t="n"/>
      <c r="GH2" s="181" t="inlineStr">
        <is>
          <t>CICC</t>
        </is>
      </c>
      <c r="GI2" s="183" t="n">
        <v>2</v>
      </c>
      <c r="GJ2" s="183" t="n">
        <v>0</v>
      </c>
      <c r="GK2" s="176" t="n">
        <v>0.025</v>
      </c>
      <c r="GL2" s="176" t="n">
        <v>0.01</v>
      </c>
      <c r="GM2" s="176" t="n">
        <v>0.035</v>
      </c>
      <c r="GN2" s="183" t="n"/>
      <c r="GO2" s="183" t="n">
        <v>0</v>
      </c>
      <c r="GP2" s="183" t="n">
        <v>0</v>
      </c>
      <c r="GQ2" s="183" t="n">
        <v>6</v>
      </c>
      <c r="GR2" s="183" t="n">
        <v>0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42</v>
      </c>
      <c r="B3" s="47" t="inlineStr">
        <is>
          <t>0068.HK</t>
        </is>
      </c>
      <c r="C3" s="44" t="inlineStr">
        <is>
          <t>Manycore Tech Inc.</t>
        </is>
      </c>
      <c r="D3" s="189" t="n">
        <v>46121</v>
      </c>
      <c r="E3" s="189" t="n">
        <v>46129</v>
      </c>
      <c r="F3" s="43" t="inlineStr">
        <is>
          <t>J.P. Morgan Securities (Far East) Limited/ 
CCB International Capital Limited</t>
        </is>
      </c>
      <c r="G3" s="43" t="inlineStr">
        <is>
          <t>KPMG</t>
        </is>
      </c>
      <c r="H3" s="43" t="n"/>
      <c r="I3" s="131" t="n">
        <v>122392440</v>
      </c>
      <c r="J3" s="132" t="n">
        <v>1285109190</v>
      </c>
      <c r="K3" s="133" t="n">
        <v>7.62</v>
      </c>
      <c r="L3" t="n">
        <v>1700106840</v>
      </c>
      <c r="M3" s="67" t="n">
        <v>160619000</v>
      </c>
      <c r="N3" t="n">
        <v>1539487840</v>
      </c>
      <c r="O3" t="n">
        <v>1539487840</v>
      </c>
      <c r="P3" t="n">
        <v>0</v>
      </c>
      <c r="Q3" t="n">
        <v>160619000</v>
      </c>
      <c r="R3" s="67" t="n">
        <v>144557000</v>
      </c>
      <c r="S3" s="67" t="n">
        <v>16062000</v>
      </c>
      <c r="T3" s="134" t="n">
        <v>7.62</v>
      </c>
      <c r="U3" s="134" t="n">
        <v>6.72</v>
      </c>
      <c r="V3" s="169" t="n">
        <v>0.062762</v>
      </c>
      <c r="W3" s="169" t="n">
        <v>0.125523</v>
      </c>
      <c r="X3" s="170" t="inlineStr">
        <is>
          <t>At high</t>
        </is>
      </c>
      <c r="Y3" s="26" t="inlineStr">
        <is>
          <t>RMB</t>
        </is>
      </c>
      <c r="Z3" s="137" t="n">
        <v>766084000</v>
      </c>
      <c r="AA3" s="137" t="n">
        <v>616198000</v>
      </c>
      <c r="AB3" s="137" t="n">
        <v>550796000</v>
      </c>
      <c r="AC3" s="137" t="n">
        <v>-3328016000</v>
      </c>
      <c r="AD3" s="137" t="n">
        <v>-3858035000</v>
      </c>
      <c r="AE3" s="137" t="n">
        <v>-4183858000</v>
      </c>
      <c r="AF3" s="137" t="n">
        <v>4094100000</v>
      </c>
      <c r="AG3" s="137" t="n">
        <v>4474233000</v>
      </c>
      <c r="AH3" s="137" t="n">
        <v>4734654000</v>
      </c>
      <c r="AI3" s="137" t="n">
        <v>663540000</v>
      </c>
      <c r="AJ3" s="137" t="n">
        <v>754830000</v>
      </c>
      <c r="AK3" s="137" t="n">
        <v>819994000</v>
      </c>
      <c r="AL3" s="137" t="n">
        <v>-646097000</v>
      </c>
      <c r="AM3" s="137" t="n">
        <v>-513472000</v>
      </c>
      <c r="AN3" s="137" t="n">
        <v>-427905000</v>
      </c>
      <c r="AO3" s="137" t="n">
        <v>-646097000</v>
      </c>
      <c r="AP3" s="137" t="n">
        <v>-513472000</v>
      </c>
      <c r="AQ3" s="137" t="n">
        <v>-427905000</v>
      </c>
      <c r="AR3" s="135" t="n">
        <v>0.04</v>
      </c>
      <c r="AS3" s="135" t="n">
        <v>0.04</v>
      </c>
      <c r="AT3" s="70" t="n">
        <v>0.15</v>
      </c>
      <c r="AU3" s="51" t="inlineStr">
        <is>
          <t>Cloud-native spatial design software (spatial design software industry)</t>
        </is>
      </c>
      <c r="AV3" s="51" t="inlineStr">
        <is>
          <t>Main Board of the Stock Exchange</t>
        </is>
      </c>
      <c r="AW3" s="136" t="n">
        <v>46022</v>
      </c>
      <c r="AX3" s="137" t="n">
        <v>-19217000</v>
      </c>
      <c r="AY3" s="117" t="n">
        <v>356927000</v>
      </c>
      <c r="AZ3" s="117" t="n">
        <v>290940000</v>
      </c>
      <c r="BA3" s="117" t="n">
        <v>0</v>
      </c>
      <c r="BB3" s="138" t="n">
        <v>0.091</v>
      </c>
      <c r="BC3" s="139" t="n">
        <v>1</v>
      </c>
      <c r="BD3" s="80" t="n">
        <v>1</v>
      </c>
      <c r="BE3" s="161" t="n">
        <v>1</v>
      </c>
      <c r="BF3" s="161" t="n">
        <v>1</v>
      </c>
      <c r="BG3" s="161" t="n">
        <v>1</v>
      </c>
      <c r="BH3" s="161" t="n">
        <v>1</v>
      </c>
      <c r="BI3" s="161" t="n">
        <v>1</v>
      </c>
      <c r="BJ3" s="162" t="inlineStr">
        <is>
          <t>GGV Capital V L.P.; GGV Capital V Entrepreneurs Fund L.P.; Shanghai Yuanyan Enterprise Management Consulting Partnership (Limited Partnership); Shunwei Growth III Limited; Astrend Opportunity III Alpha Limited; IDG Technology Venture Investment IV, L.P.; IDG Technology Venture Investment V, L.P.; New Gultar Limited; HH SUM-I Holdings Limited; MPC III L.P.; MPC III-A L.P.; Coatue PE Asia 36 LLC; Coatue PE Asia 73 LLC; HES VENTURES I, INC.; HEARST VENTURES, INC.; QINGTING INVESTMENTS PTE. LTD.; Linear Venture, Ltd.; Mountain Glacier Investments Ltd.; Planetree Partners I, L.P.; EXC Investment LLC; Planetree EXC Investment LLC; Aquanauts 3820 III L.P.</t>
        </is>
      </c>
      <c r="BK3" s="163" t="n">
        <v>0.656</v>
      </c>
      <c r="BL3" s="161" t="n">
        <v>1</v>
      </c>
      <c r="BM3" s="164" t="inlineStr">
        <is>
          <t>Series A</t>
        </is>
      </c>
      <c r="BN3" s="165" t="n">
        <v>12.32</v>
      </c>
      <c r="BO3" s="51" t="inlineStr">
        <is>
          <t>None (no controlling shareholder)</t>
        </is>
      </c>
      <c r="BP3" s="135" t="inlineStr">
        <is>
          <t>NaN</t>
        </is>
      </c>
      <c r="BQ3" s="135" t="inlineStr">
        <is>
          <t>NaN</t>
        </is>
      </c>
      <c r="BR3" s="137" t="n">
        <v>4103552000</v>
      </c>
      <c r="BS3" s="73" t="inlineStr">
        <is>
          <t>NA</t>
        </is>
      </c>
      <c r="BT3" s="142" t="n">
        <v>0</v>
      </c>
      <c r="BU3" s="60" t="inlineStr">
        <is>
          <t>Main Board</t>
        </is>
      </c>
      <c r="BV3" s="89" t="inlineStr">
        <is>
          <t>Ordinary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41484</v>
      </c>
      <c r="CD3" s="171" t="n">
        <v>12.72</v>
      </c>
      <c r="CE3" s="76" t="inlineStr">
        <is>
          <t>NA</t>
        </is>
      </c>
      <c r="CF3" s="89" t="inlineStr">
        <is>
          <t>Room 1920, 19/F, Lee Garden One, 33 Hysan Avenue, Causeway Bay, Hong Kong</t>
        </is>
      </c>
      <c r="CG3" s="91" t="n">
        <v>1000</v>
      </c>
      <c r="CH3" s="60" t="inlineStr">
        <is>
          <t>IFRS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819994000</v>
      </c>
      <c r="CO3" s="64" t="n">
        <v>-427905000</v>
      </c>
      <c r="CP3" s="64" t="n">
        <v>-427905000</v>
      </c>
      <c r="CQ3" s="141" t="n">
        <v>46121</v>
      </c>
      <c r="CR3" s="141" t="n">
        <v>46126</v>
      </c>
      <c r="CS3" s="63" t="n">
        <v>1700106840</v>
      </c>
      <c r="CT3" s="64" t="n">
        <v>674288000</v>
      </c>
      <c r="CU3" s="64" t="n">
        <v>35300000</v>
      </c>
      <c r="CV3" s="59" t="inlineStr">
        <is>
          <t>Unqualified — true and fair view</t>
        </is>
      </c>
      <c r="CW3" s="64" t="n">
        <v>127600000</v>
      </c>
      <c r="CX3" s="51" t="inlineStr">
        <is>
          <t>Taikang Life Insurance Co., Ltd; Sunshine Life Insurance Corporation Limited; GF Fund Management Co., Ltd.; GF International Investment Management Limited; REDWOOD ELITE LIMITED; Mirae Asset Securities Co., Ltd.; RIME Capital Limited; Hesai Hong Kong Limited; Guohui (HK) Holdings Co., Limited; CR Construction Group Holdings Limited</t>
        </is>
      </c>
      <c r="CY3" s="142" t="n">
        <v>0.3714</v>
      </c>
      <c r="CZ3" s="136" t="n">
        <v>46312</v>
      </c>
      <c r="DA3" s="143" t="n">
        <v>1590.56</v>
      </c>
      <c r="DB3" s="63" t="n">
        <v>240700</v>
      </c>
      <c r="DC3" s="63" t="n">
        <v>25547639500</v>
      </c>
      <c r="DD3" s="59" t="inlineStr">
        <is>
          <t>Subscription level 1,590.56 times</t>
        </is>
      </c>
      <c r="DE3" s="141" t="n">
        <v>46127</v>
      </c>
      <c r="DF3" s="141" t="n">
        <v>46128</v>
      </c>
      <c r="DG3" s="63" t="n">
        <v>160619000</v>
      </c>
      <c r="DH3" s="63" t="n">
        <v>16062000</v>
      </c>
      <c r="DI3" s="63" t="n">
        <v>144557000</v>
      </c>
      <c r="DJ3" s="63" t="n">
        <v>24092500</v>
      </c>
      <c r="DK3" s="169" t="n">
        <v>1</v>
      </c>
      <c r="DL3" s="59" t="inlineStr">
        <is>
          <t>Reallocation: No. No. of Offer Shares reallocated from the International Offering: 0. Final no. of Offer Shares under the Hong Kong Public Offering: 16,062,000, being 10% of the Global Offering before exercise of the Over-allotment Option.</t>
        </is>
      </c>
      <c r="DM3" s="144" t="n">
        <v>1092000000</v>
      </c>
      <c r="DN3" s="142" t="n">
        <v>0.3534</v>
      </c>
      <c r="DO3" s="51" t="n">
        <v>1700106840</v>
      </c>
      <c r="DP3" s="142" t="n">
        <v>0.0594</v>
      </c>
      <c r="DQ3" s="59" t="inlineStr">
        <is>
          <t>Free float denominator = total issued shares upon listing (col_CZ); numerator = offer shares minus cornerstone allocation</t>
        </is>
      </c>
      <c r="DR3" s="63" t="n">
        <v>1700106840</v>
      </c>
      <c r="DS3" s="142" t="n">
        <v>0.00526962</v>
      </c>
      <c r="DT3" s="80" t="n">
        <v>34</v>
      </c>
      <c r="DU3" s="142" t="n">
        <v>0.0207798</v>
      </c>
      <c r="DV3" s="144" t="n">
        <v>53942000000</v>
      </c>
      <c r="DW3" s="145" t="n">
        <v>18.6</v>
      </c>
      <c r="DX3" s="169" t="n">
        <v>1.440945</v>
      </c>
      <c r="DY3" s="172" t="n">
        <v>1763596620</v>
      </c>
      <c r="DZ3" s="146" t="n">
        <v>20.7</v>
      </c>
      <c r="EA3" s="146" t="n">
        <v>21.86</v>
      </c>
      <c r="EB3" s="146" t="n">
        <v>16.5</v>
      </c>
      <c r="EC3" s="63" t="n">
        <v>134488211</v>
      </c>
      <c r="ED3" s="169" t="n">
        <v>0.8373119999999999</v>
      </c>
      <c r="EE3" s="64" t="n">
        <v>2590288990</v>
      </c>
      <c r="EF3" s="60" t="inlineStr">
        <is>
          <t>Mechanism B</t>
        </is>
      </c>
      <c r="EG3" s="59" t="inlineStr">
        <is>
          <t>FINI (from 22/11/2023); 2025-08-04 pricing reform (Mechanism A/B; six-month cornerstone lock-up retained); this IPO: Mechanism B</t>
        </is>
      </c>
      <c r="EH3" t="inlineStr">
        <is>
          <t>群核科技</t>
        </is>
      </c>
      <c r="EI3" s="174" t="inlineStr">
        <is>
          <t>Active</t>
        </is>
      </c>
      <c r="EJ3" s="175" t="n">
        <v>19.8</v>
      </c>
      <c r="EK3" s="176" t="n">
        <v>0.064516</v>
      </c>
      <c r="EL3" s="176" t="n">
        <v>1.598425</v>
      </c>
      <c r="EM3" s="176" t="n">
        <v>-0.007553</v>
      </c>
      <c r="EN3" s="176" t="n">
        <v>-0.020136</v>
      </c>
      <c r="EO3" s="179" t="n">
        <v>1.0726</v>
      </c>
      <c r="EP3" s="179" t="n">
        <v>1.0864</v>
      </c>
      <c r="EQ3" s="178" t="n">
        <v>879982349.5</v>
      </c>
      <c r="ER3" s="175" t="n"/>
      <c r="ES3" s="176" t="n"/>
      <c r="ET3" s="176" t="n"/>
      <c r="EU3" s="176" t="n"/>
      <c r="EV3" s="176" t="n"/>
      <c r="EW3" s="179" t="n"/>
      <c r="EX3" s="179" t="n"/>
      <c r="EY3" s="178" t="n"/>
      <c r="EZ3" s="176" t="n"/>
      <c r="FA3" s="176" t="n"/>
      <c r="FB3" s="179" t="n"/>
      <c r="FC3" s="176" t="n"/>
      <c r="FD3" s="179" t="n"/>
      <c r="FE3" s="174" t="inlineStr">
        <is>
          <t>Standard</t>
        </is>
      </c>
      <c r="FF3" s="181" t="n"/>
      <c r="FG3" s="185" t="n"/>
      <c r="FH3" s="183" t="n"/>
      <c r="FI3" s="178" t="n"/>
      <c r="FJ3" s="176" t="n"/>
      <c r="FK3" s="185" t="inlineStr">
        <is>
          <t>2026-04-20</t>
        </is>
      </c>
      <c r="FL3" s="178" t="n">
        <v>24092500</v>
      </c>
      <c r="FM3" s="176" t="n">
        <v>1</v>
      </c>
      <c r="FN3" s="176" t="n"/>
      <c r="FO3" s="176" t="n"/>
      <c r="FP3" s="176" t="n"/>
      <c r="FQ3" s="176" t="n">
        <v>0.633333</v>
      </c>
      <c r="FR3" s="179" t="n">
        <v>1.6488</v>
      </c>
      <c r="FS3" s="176" t="n">
        <v>0.064516</v>
      </c>
      <c r="FT3" s="179" t="n">
        <v>1.0726</v>
      </c>
      <c r="FU3" s="176" t="n">
        <v>-0.565591</v>
      </c>
      <c r="FV3" s="179" t="n">
        <v>0.4627</v>
      </c>
      <c r="FW3" s="179" t="n">
        <v>0.4738</v>
      </c>
      <c r="FX3" s="178" t="n">
        <v>336767281.13</v>
      </c>
      <c r="FY3" s="186" t="n"/>
      <c r="FZ3" s="183" t="n"/>
      <c r="GA3" s="176" t="n"/>
      <c r="GB3" s="176" t="n"/>
      <c r="GC3" s="185" t="n"/>
      <c r="GD3" s="185" t="n"/>
      <c r="GE3" s="176" t="n"/>
      <c r="GF3" s="176" t="n"/>
      <c r="GG3" s="179" t="n"/>
      <c r="GH3" s="181" t="inlineStr">
        <is>
          <t>CICC</t>
        </is>
      </c>
      <c r="GI3" s="183" t="n">
        <v>2</v>
      </c>
      <c r="GJ3" s="183" t="n">
        <v>0</v>
      </c>
      <c r="GK3" s="176" t="n">
        <v>0.025</v>
      </c>
      <c r="GL3" s="176" t="n">
        <v>0.01</v>
      </c>
      <c r="GM3" s="176" t="n">
        <v>0.035</v>
      </c>
      <c r="GN3" s="183" t="n"/>
      <c r="GO3" s="183" t="n">
        <v>0</v>
      </c>
      <c r="GP3" s="183" t="n">
        <v>0</v>
      </c>
      <c r="GQ3" s="183" t="n">
        <v>6</v>
      </c>
      <c r="GR3" s="183" t="n">
        <v>0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41</v>
      </c>
      <c r="B4" s="47" t="inlineStr">
        <is>
          <t>3277.HK</t>
        </is>
      </c>
      <c r="C4" s="44" t="inlineStr">
        <is>
          <t>Gpixel Changchun Microelectronics Inc. - H Shares</t>
        </is>
      </c>
      <c r="D4" s="189" t="n">
        <v>46121</v>
      </c>
      <c r="E4" s="189" t="n">
        <v>46129</v>
      </c>
      <c r="F4" s="43" t="inlineStr">
        <is>
          <t>CITIC Securities (Hong Kong) Limited/
Guotai Junan Capital Limited</t>
        </is>
      </c>
      <c r="G4" s="43" t="inlineStr">
        <is>
          <t>Ernst &amp; Young</t>
        </is>
      </c>
      <c r="H4" s="43" t="n"/>
      <c r="I4" s="131" t="n">
        <v>260396460</v>
      </c>
      <c r="J4" s="132" t="n">
        <v>2734124944</v>
      </c>
      <c r="K4" s="133" t="n">
        <v>39.88</v>
      </c>
      <c r="L4" s="81" t="n">
        <v>435294200</v>
      </c>
      <c r="M4" s="82" t="n">
        <v>65294200</v>
      </c>
      <c r="N4" s="81" t="n">
        <v>370000000</v>
      </c>
      <c r="O4" s="81" t="n">
        <v>370000000</v>
      </c>
      <c r="P4" s="81" t="n">
        <v>0</v>
      </c>
      <c r="Q4" s="81" t="n">
        <v>65294200</v>
      </c>
      <c r="R4" s="82" t="n">
        <v>58764700</v>
      </c>
      <c r="S4" s="82" t="n">
        <v>6529500</v>
      </c>
      <c r="T4" s="147" t="n">
        <v>39.88</v>
      </c>
      <c r="U4" s="147" t="n">
        <v>39.88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1313888000</v>
      </c>
      <c r="AA4" s="137" t="n">
        <v>1491080000</v>
      </c>
      <c r="AB4" s="137" t="n">
        <v>2087058000</v>
      </c>
      <c r="AC4" s="137" t="n">
        <v>963148000</v>
      </c>
      <c r="AD4" s="137" t="n">
        <v>1212010000</v>
      </c>
      <c r="AE4" s="137" t="n">
        <v>1571750000</v>
      </c>
      <c r="AF4" s="137" t="n">
        <v>350740000</v>
      </c>
      <c r="AG4" s="137" t="n">
        <v>279070000</v>
      </c>
      <c r="AH4" s="137" t="n">
        <v>515308000</v>
      </c>
      <c r="AI4" s="137" t="n">
        <v>604835000</v>
      </c>
      <c r="AJ4" s="137" t="n">
        <v>673048000</v>
      </c>
      <c r="AK4" s="137" t="n">
        <v>856513000</v>
      </c>
      <c r="AL4" s="137" t="n">
        <v>190491000</v>
      </c>
      <c r="AM4" s="137" t="n">
        <v>220836000</v>
      </c>
      <c r="AN4" s="137" t="n">
        <v>324121000</v>
      </c>
      <c r="AO4" s="137" t="n">
        <v>169847000</v>
      </c>
      <c r="AP4" s="137" t="n">
        <v>196982000</v>
      </c>
      <c r="AQ4" s="137" t="n">
        <v>293146000</v>
      </c>
      <c r="AR4" s="135" t="n">
        <v>0.02</v>
      </c>
      <c r="AS4" s="135" t="n">
        <v>0.02</v>
      </c>
      <c r="AT4" s="84" t="n">
        <v>0.15</v>
      </c>
      <c r="AU4" s="51" t="inlineStr">
        <is>
          <t>CMOS image sensor design and sales (semiconductor industry)</t>
        </is>
      </c>
      <c r="AV4" s="51" t="inlineStr">
        <is>
          <t>Main Board</t>
        </is>
      </c>
      <c r="AW4" s="136" t="n">
        <v>46022</v>
      </c>
      <c r="AX4" s="137" t="n">
        <v>466346000</v>
      </c>
      <c r="AY4" s="117" t="n">
        <v>236305000</v>
      </c>
      <c r="AZ4" s="117" t="n">
        <v>186168000</v>
      </c>
      <c r="BA4" s="117" t="n">
        <v>0</v>
      </c>
      <c r="BB4" s="138" t="n">
        <v>0.407</v>
      </c>
      <c r="BC4" s="139" t="n">
        <v>1</v>
      </c>
      <c r="BD4" s="80" t="n">
        <v>1</v>
      </c>
      <c r="BE4" s="161" t="n">
        <v>1</v>
      </c>
      <c r="BF4" s="161" t="n">
        <v>1</v>
      </c>
      <c r="BG4" s="161" t="inlineStr">
        <is>
          <t>NaN</t>
        </is>
      </c>
      <c r="BH4" s="161" t="n">
        <v>1</v>
      </c>
      <c r="BI4" s="161" t="n">
        <v>1</v>
      </c>
      <c r="BJ4" s="162" t="inlineStr">
        <is>
          <t>Zhuhai Qixin; Gaoling Yurun; Xianjin Zhizao; Guoce Xiangchi; Xiamen Yuanfeng; Huashun Guangzhou; Shenzhen Jiusi; Juyuan Xincheng; QIN Hao; Wuhu Tuochen; Suzhou Fangguang; Yibin Chendao; Shengyu Huatian; Zhongke Chuangxing; Changzhou Fangguang; Pingyang Yuanxin; Donghu Guolong; Zhongke Xiandao; Ningbo Yuxi; Zhongke Ketou; Thriving Capital; Jilin Yuanheng</t>
        </is>
      </c>
      <c r="BK4" s="163" t="n">
        <v>0.1084</v>
      </c>
      <c r="BL4" s="161" t="inlineStr">
        <is>
          <t>NaN</t>
        </is>
      </c>
      <c r="BM4" s="164" t="inlineStr">
        <is>
          <t>Pre-IPO Investments (June 2022)</t>
        </is>
      </c>
      <c r="BN4" s="165" t="n">
        <v>3.83</v>
      </c>
      <c r="BO4" s="51" t="inlineStr">
        <is>
          <t>Natural person</t>
        </is>
      </c>
      <c r="BP4" s="135" t="n">
        <v>0.421</v>
      </c>
      <c r="BQ4" s="135" t="n">
        <v>0.421</v>
      </c>
      <c r="BR4" s="137" t="n">
        <v>6322000</v>
      </c>
      <c r="BS4" s="73" t="inlineStr">
        <is>
          <t>NA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41155</v>
      </c>
      <c r="CD4" s="171" t="n">
        <v>13.62</v>
      </c>
      <c r="CE4" s="76" t="inlineStr">
        <is>
          <t>NA</t>
        </is>
      </c>
      <c r="CF4" s="89" t="inlineStr">
        <is>
          <t>Headquarters and Principal Place of Business in the PRC: Office Buildings 1 and 5, Phase I, Optoelectronic Information Industrial Park, No. 7691, Ziyou Road, Changchun Economic and Technological Development Zone, Jilin Province, PRC</t>
        </is>
      </c>
      <c r="CG4" s="91" t="n">
        <v>1000</v>
      </c>
      <c r="CH4" s="60" t="inlineStr">
        <is>
          <t>HKFRS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856513000</v>
      </c>
      <c r="CO4" s="64" t="n">
        <v>324121000</v>
      </c>
      <c r="CP4" s="64" t="n">
        <v>293146000</v>
      </c>
      <c r="CQ4" s="141" t="n">
        <v>46121</v>
      </c>
      <c r="CR4" s="141" t="n">
        <v>46126</v>
      </c>
      <c r="CS4" s="63" t="n">
        <v>291138500</v>
      </c>
      <c r="CT4" s="64" t="n">
        <v>573281000</v>
      </c>
      <c r="CU4" s="64" t="n">
        <v>24500000</v>
      </c>
      <c r="CV4" s="59" t="inlineStr">
        <is>
          <t>Unqualified</t>
        </is>
      </c>
      <c r="CW4" s="64" t="n">
        <v>100400000</v>
      </c>
      <c r="CX4" s="51" t="inlineStr">
        <is>
          <t>CPE Peepal; HHLRA; UBS AM Singapore; Arc Avenue; Boyu; Fullgoal; GF Fund; Greenwoods; Mirae HK; Perseverance Asset Management; Yield Royal Investment; 3W Fund; Eastern Bell Capital VIII; ICBC Wealth; Protium Capital Limited; Source Code Capital; WT Asset Management; E Fund; China AMC; Cithara Fund; Panjing Fund; Value Partners; China Orient Multi-Strategy Master Fund; CMSIM</t>
        </is>
      </c>
      <c r="CY4" s="142" t="n">
        <v>0.5</v>
      </c>
      <c r="CZ4" s="136" t="n">
        <v>46312</v>
      </c>
      <c r="DA4" s="143" t="n">
        <v>1138.21</v>
      </c>
      <c r="DB4" s="63" t="n">
        <v>266501</v>
      </c>
      <c r="DC4" s="63" t="n">
        <v>7431943800</v>
      </c>
      <c r="DD4" s="59" t="inlineStr">
        <is>
          <t>Subscription level 1,138.21 times</t>
        </is>
      </c>
      <c r="DE4" s="141" t="inlineStr">
        <is>
          <t>NA</t>
        </is>
      </c>
      <c r="DF4" s="141" t="n">
        <v>46128</v>
      </c>
      <c r="DG4" s="63" t="n">
        <v>65294200</v>
      </c>
      <c r="DH4" s="63" t="n">
        <v>6529500</v>
      </c>
      <c r="DI4" s="63" t="n">
        <v>58764700</v>
      </c>
      <c r="DJ4" s="63" t="n">
        <v>9794100</v>
      </c>
      <c r="DK4" s="169" t="n">
        <v>1</v>
      </c>
      <c r="DL4" s="59" t="inlineStr">
        <is>
          <t>No clawback triggered (Claw-back triggered: No); the final number of Offer Shares under the Hong Kong Public Offering (6,529,500) equals the initial number and represents 10.00% of the Global Offering, with no reallocation from the International Offering.</t>
        </is>
      </c>
      <c r="DM4" s="144" t="n">
        <v>2503600000</v>
      </c>
      <c r="DN4" s="142" t="n">
        <v>0.1829</v>
      </c>
      <c r="DO4" s="51" t="n">
        <v>435294200</v>
      </c>
      <c r="DP4" s="142" t="n">
        <v>0.075</v>
      </c>
      <c r="DQ4" s="59" t="inlineStr">
        <is>
          <t>Free float excludes H Shares held by Cornerstone Investors upon Listing (six-month lock-up); denominator = total issued shares upon Listing (before exercise of the Over-allotment Option) = 435,294,200.</t>
        </is>
      </c>
      <c r="DR4" s="63" t="n">
        <v>435294200</v>
      </c>
      <c r="DS4" s="142" t="n">
        <v>0.00526962</v>
      </c>
      <c r="DT4" s="80" t="n">
        <v>34</v>
      </c>
      <c r="DU4" s="142" t="n">
        <v>0.0207798</v>
      </c>
      <c r="DV4" s="144" t="n">
        <v>53942000000</v>
      </c>
      <c r="DW4" s="145" t="n">
        <v>70</v>
      </c>
      <c r="DX4" s="169" t="n">
        <v>0.755266</v>
      </c>
      <c r="DY4" s="172" t="n">
        <v>1966661304</v>
      </c>
      <c r="DZ4" s="146" t="n">
        <v>72</v>
      </c>
      <c r="EA4" s="146" t="n">
        <v>85</v>
      </c>
      <c r="EB4" s="146" t="n">
        <v>66.65000000000001</v>
      </c>
      <c r="EC4" s="63" t="n">
        <v>28022939</v>
      </c>
      <c r="ED4" s="169" t="n">
        <v>0.42918</v>
      </c>
      <c r="EE4" s="64" t="n">
        <v>2010048990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长春长光辰芯微电子股份有限公司</t>
        </is>
      </c>
      <c r="EI4" s="174" t="inlineStr">
        <is>
          <t>Active</t>
        </is>
      </c>
      <c r="EJ4" s="175" t="n">
        <v>81.363</v>
      </c>
      <c r="EK4" s="176" t="n">
        <v>0.167114</v>
      </c>
      <c r="EL4" s="176" t="n">
        <v>1.048595</v>
      </c>
      <c r="EM4" s="176" t="n">
        <v>-0.007553</v>
      </c>
      <c r="EN4" s="176" t="n">
        <v>-0.020136</v>
      </c>
      <c r="EO4" s="179" t="n">
        <v>1.176</v>
      </c>
      <c r="EP4" s="179" t="n">
        <v>1.1911</v>
      </c>
      <c r="EQ4" s="178" t="n">
        <v>414496380.5</v>
      </c>
      <c r="ER4" s="175" t="n"/>
      <c r="ES4" s="176" t="n"/>
      <c r="ET4" s="176" t="n"/>
      <c r="EU4" s="176" t="n"/>
      <c r="EV4" s="176" t="n"/>
      <c r="EW4" s="179" t="n"/>
      <c r="EX4" s="179" t="n"/>
      <c r="EY4" s="178" t="n"/>
      <c r="EZ4" s="176" t="n"/>
      <c r="FA4" s="176" t="n"/>
      <c r="FB4" s="179" t="n"/>
      <c r="FC4" s="176" t="n"/>
      <c r="FD4" s="179" t="n"/>
      <c r="FE4" s="174" t="inlineStr">
        <is>
          <t>Standard</t>
        </is>
      </c>
      <c r="FF4" s="181" t="n"/>
      <c r="FG4" s="185" t="n"/>
      <c r="FH4" s="183" t="n"/>
      <c r="FI4" s="178" t="n"/>
      <c r="FJ4" s="176" t="n"/>
      <c r="FK4" s="185" t="n"/>
      <c r="FL4" s="178" t="n">
        <v>9794100</v>
      </c>
      <c r="FM4" s="176" t="n">
        <v>1</v>
      </c>
      <c r="FN4" s="176" t="n"/>
      <c r="FO4" s="176" t="n"/>
      <c r="FP4" s="176" t="n"/>
      <c r="FQ4" s="176" t="n">
        <v>0.154204</v>
      </c>
      <c r="FR4" s="179" t="n">
        <v>1.1651</v>
      </c>
      <c r="FS4" s="176" t="n">
        <v>0.167114</v>
      </c>
      <c r="FT4" s="179" t="n">
        <v>1.176</v>
      </c>
      <c r="FU4" s="176" t="n">
        <v>-0.160845</v>
      </c>
      <c r="FV4" s="179" t="n">
        <v>0.8938</v>
      </c>
      <c r="FW4" s="179" t="n">
        <v>0.9153</v>
      </c>
      <c r="FX4" s="178" t="n">
        <v>208595203.71</v>
      </c>
      <c r="FY4" s="186" t="n"/>
      <c r="FZ4" s="183" t="n"/>
      <c r="GA4" s="176" t="n"/>
      <c r="GB4" s="176" t="n"/>
      <c r="GC4" s="185" t="inlineStr">
        <is>
          <t>2026-10-18</t>
        </is>
      </c>
      <c r="GD4" s="185" t="inlineStr">
        <is>
          <t>2027-04-17</t>
        </is>
      </c>
      <c r="GE4" s="176" t="n"/>
      <c r="GF4" s="176" t="n"/>
      <c r="GG4" s="179" t="n"/>
      <c r="GH4" s="181" t="inlineStr">
        <is>
          <t>CICC</t>
        </is>
      </c>
      <c r="GI4" s="183" t="n">
        <v>2</v>
      </c>
      <c r="GJ4" s="183" t="n">
        <v>0</v>
      </c>
      <c r="GK4" s="176" t="n">
        <v>0.025</v>
      </c>
      <c r="GL4" s="176" t="n">
        <v>0.01</v>
      </c>
      <c r="GM4" s="176" t="n">
        <v>0.035</v>
      </c>
      <c r="GN4" s="183" t="n"/>
      <c r="GO4" s="183" t="n">
        <v>0</v>
      </c>
      <c r="GP4" s="183" t="n">
        <v>0</v>
      </c>
      <c r="GQ4" s="183" t="n">
        <v>6</v>
      </c>
      <c r="GR4" s="183" t="n">
        <v>0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44</v>
      </c>
      <c r="B5" s="47" t="inlineStr">
        <is>
          <t>2476.HK</t>
        </is>
      </c>
      <c r="C5" s="44" t="inlineStr">
        <is>
          <t>Victory Giant Technology (HuiZhou) Co., Ltd. - H Shares</t>
        </is>
      </c>
      <c r="D5" s="189" t="n">
        <v>46125</v>
      </c>
      <c r="E5" s="189" t="n">
        <v>46133</v>
      </c>
      <c r="F5" s="43" t="inlineStr">
        <is>
          <t>J.P. Morgan Securities (Far East) Limited /
China Securities (International) Corporate Finance Company Limited /
GF Capital (Hong Kong) Limited</t>
        </is>
      </c>
      <c r="G5" s="43" t="inlineStr">
        <is>
          <t>BDO Limited</t>
        </is>
      </c>
      <c r="H5" s="43" t="n"/>
      <c r="I5" s="131" t="n">
        <v>1749307824</v>
      </c>
      <c r="J5" s="132" t="n">
        <v>21385239876</v>
      </c>
      <c r="K5" s="133" t="n">
        <v>209.88</v>
      </c>
      <c r="L5" s="81" t="n">
        <v>955905313</v>
      </c>
      <c r="M5" s="82" t="n">
        <v>83348000</v>
      </c>
      <c r="N5" s="81" t="n">
        <v>872557313</v>
      </c>
      <c r="O5" s="81" t="n">
        <v>872557313</v>
      </c>
      <c r="P5" s="81" t="n">
        <v>0</v>
      </c>
      <c r="Q5" s="81" t="n">
        <v>83348000</v>
      </c>
      <c r="R5" s="82" t="n">
        <v>75013200</v>
      </c>
      <c r="S5" s="82" t="n">
        <v>8334800</v>
      </c>
      <c r="T5" s="147" t="n">
        <v>209.88</v>
      </c>
      <c r="U5" s="147" t="inlineStr">
        <is>
          <t>NaN</t>
        </is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17383616000</v>
      </c>
      <c r="AA5" s="137" t="n">
        <v>19175313000</v>
      </c>
      <c r="AB5" s="137" t="n">
        <v>35244489000</v>
      </c>
      <c r="AC5" s="137" t="n">
        <v>7625730000</v>
      </c>
      <c r="AD5" s="137" t="n">
        <v>8927933000</v>
      </c>
      <c r="AE5" s="137" t="n">
        <v>16617608000</v>
      </c>
      <c r="AF5" s="137" t="n">
        <v>9757886000</v>
      </c>
      <c r="AG5" s="137" t="n">
        <v>10247380000</v>
      </c>
      <c r="AH5" s="137" t="n">
        <v>18626881000</v>
      </c>
      <c r="AI5" s="137" t="n">
        <v>7931248000</v>
      </c>
      <c r="AJ5" s="137" t="n">
        <v>10731469000</v>
      </c>
      <c r="AK5" s="137" t="n">
        <v>19292313000</v>
      </c>
      <c r="AL5" s="137" t="n">
        <v>749214000</v>
      </c>
      <c r="AM5" s="137" t="n">
        <v>1311823000</v>
      </c>
      <c r="AN5" s="137" t="n">
        <v>5021716000</v>
      </c>
      <c r="AO5" s="137" t="n">
        <v>671346000</v>
      </c>
      <c r="AP5" s="137" t="n">
        <v>1154431000</v>
      </c>
      <c r="AQ5" s="137" t="n">
        <v>4311988000</v>
      </c>
      <c r="AR5" s="135" t="n">
        <v>0.008</v>
      </c>
      <c r="AS5" s="135" t="n">
        <v>0.008</v>
      </c>
      <c r="AT5" s="84" t="n">
        <v>0.15</v>
      </c>
      <c r="AU5" s="51" t="inlineStr">
        <is>
          <t>Printed circuit board (PCB) manufacturing - research and development, manufacturing and sales of high-precision multilayer PCBs, HDIs and FPCs</t>
        </is>
      </c>
      <c r="AV5" s="51" t="inlineStr">
        <is>
          <t>Main Board - Chapter 19A of the Listing Rules (PRC issuer with other listed shares)</t>
        </is>
      </c>
      <c r="AW5" s="136" t="n">
        <v>46022</v>
      </c>
      <c r="AX5" s="137" t="n">
        <v>4620074000</v>
      </c>
      <c r="AY5" s="117" t="n">
        <v>3206572000</v>
      </c>
      <c r="AZ5" s="117" t="n">
        <v>777643000</v>
      </c>
      <c r="BA5" s="117" t="n">
        <v>0</v>
      </c>
      <c r="BB5" s="138" t="n">
        <v>0.51</v>
      </c>
      <c r="BC5" s="139" t="n">
        <v>1</v>
      </c>
      <c r="BD5" s="80" t="n">
        <v>1</v>
      </c>
      <c r="BE5" s="161" t="n">
        <v>1</v>
      </c>
      <c r="BF5" s="161" t="n">
        <v>1</v>
      </c>
      <c r="BG5" s="161" t="inlineStr">
        <is>
          <t>NaN</t>
        </is>
      </c>
      <c r="BH5" s="161" t="inlineStr">
        <is>
          <t>NaN</t>
        </is>
      </c>
      <c r="BI5" s="161" t="inlineStr">
        <is>
          <t>NaN</t>
        </is>
      </c>
      <c r="BJ5" s="162" t="inlineStr">
        <is>
          <t>Oriental Fortune (Wuhu) Equity Investment Fund (Limited Partnership); Guoke Ruihua Venture Capital Enterprise; Oriental Fortune (Wuhu) No. 2 Equity Investment Fund (Limited Partnership); Huizhou Kaichuang Venture Capital Partnership (Limited Partnership); Jiaxing Shidai Jingxuan Venture Capital Partnership (Limited Partnership)</t>
        </is>
      </c>
      <c r="BK5" s="163" t="inlineStr">
        <is>
          <t>NaN</t>
        </is>
      </c>
      <c r="BL5" s="161" t="inlineStr">
        <is>
          <t>NaN</t>
        </is>
      </c>
      <c r="BM5" s="164" t="inlineStr">
        <is>
          <t>2011 institutional investor introduction</t>
        </is>
      </c>
      <c r="BN5" s="165" t="inlineStr">
        <is>
          <t>NaN</t>
        </is>
      </c>
      <c r="BO5" s="51" t="inlineStr">
        <is>
          <t>Individual (natural person) - Mr. Chen Tao</t>
        </is>
      </c>
      <c r="BP5" s="135" t="n">
        <v>0.2825</v>
      </c>
      <c r="BQ5" s="135" t="n">
        <v>0.2825</v>
      </c>
      <c r="BR5" s="137" t="n">
        <v>6445696000</v>
      </c>
      <c r="BS5" s="73" t="inlineStr">
        <is>
          <t>Commercialized (mass production)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1</v>
      </c>
      <c r="BX5" s="77" t="n">
        <v>0</v>
      </c>
      <c r="BY5" s="77" t="n">
        <v>0</v>
      </c>
      <c r="BZ5" s="78" t="n">
        <v>0</v>
      </c>
      <c r="CA5" s="60" t="inlineStr">
        <is>
          <t>101025</t>
        </is>
      </c>
      <c r="CB5" s="76" t="inlineStr">
        <is>
          <t>HSICS (Hang Seng Industry Classification System) 2026</t>
        </is>
      </c>
      <c r="CC5" s="140" t="n">
        <v>38926</v>
      </c>
      <c r="CD5" s="171" t="n">
        <v>19.73</v>
      </c>
      <c r="CE5" s="76" t="inlineStr">
        <is>
          <t>NA</t>
        </is>
      </c>
      <c r="CF5" s="89" t="inlineStr">
        <is>
          <t>Hangcheng Technology Park, Xinqiao Village, Danshui Town, Huiyang District, Huizhou City, Guangdong Province,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19292313000</v>
      </c>
      <c r="CO5" s="64" t="n">
        <v>5021716000</v>
      </c>
      <c r="CP5" s="64" t="n">
        <v>4311988000</v>
      </c>
      <c r="CQ5" s="141" t="n">
        <v>46125</v>
      </c>
      <c r="CR5" s="141" t="n">
        <v>46128</v>
      </c>
      <c r="CS5" s="63" t="n">
        <v>83348000</v>
      </c>
      <c r="CT5" s="64" t="n">
        <v>6795424000</v>
      </c>
      <c r="CU5" s="64" t="n">
        <v>6388985000</v>
      </c>
      <c r="CV5" s="59" t="inlineStr">
        <is>
          <t>Unqualified opinion (true and fair view)</t>
        </is>
      </c>
      <c r="CW5" s="64" t="n">
        <v>264000000</v>
      </c>
      <c r="CX5" s="51" t="inlineStr">
        <is>
          <t>CPE Rosewood Investment Limited; Janchor Partners Pan-Asian Master Fund; New Alternative Limited; New Golden Future Limited; Deliante Holdings Co., Ltd.; Hong Kong Mason Electronics Co., Ltd.; Morgan Stanley &amp; Co. International plc; Foresight Global Superior Choice SPC - Global Superior Choice Fund 1 SP; Foresight Global Superior Choice SPC - Vision Fund 1 SP; Foresight Global Superior Choice SPC - Horizon Fund 1 SP; HHLR Advisors, Ltd.; Pinpoint Asset Management Limited; Sunshine Life Insurance Corporation Limited; Tanwan Inc.; Tropical Terrain Limited; Yong Rong (HK) Asset Management Limited; Huizhou Huilian Investment Partnership (Limited Partnership); Greenwoods Asset Management Hong Kong Limited; Bosera Asset Management (International) Co., Limited; Cloudview Capital Limited; CNCB (Hong Kong) Investment Limited; Mega Prime Development Limited; Poly Platinum Enterprises Limited; Golden K2 Falcon Open-ended Fund Company; Infore Funds Series 1 Open-ended Fund Company - Infore Global Equity Fund; Metazone Link (HK) Limited; MY Asian Opportunities Master Fund, L.P.; Ovata Capital Management Limited; SR Wealth Securities Limited; Ruihua (International) Investment Limited; Tianhong Asset Management Co., Ltd.; Ye Guofu; CloudAlpha Capital Management Limited; Everbright Wealth Management Co., Ltd.; Jump Trading Pacific Pte. Ltd.; Luhua Daosheng (Beijing) Enterprise Management &amp; Development Co., Ltd.; Mirae Asset Securities Co., Ltd.; Panjing Harbourview Investment Fund; Wind Sabre Fund SPC on behalf of Wind Sabre Opportunities Fund SP; Black Dragon AP SPV1; HQ TELECOM SINGAPORE PTE. LTD.</t>
        </is>
      </c>
      <c r="CY5" s="142" t="n">
        <v>0.3883</v>
      </c>
      <c r="CZ5" s="136" t="n">
        <v>46316</v>
      </c>
      <c r="DA5" s="143" t="n">
        <v>431.15</v>
      </c>
      <c r="DB5" s="63" t="n">
        <v>250606</v>
      </c>
      <c r="DC5" s="63" t="n">
        <v>3234220300</v>
      </c>
      <c r="DD5" s="59" t="inlineStr">
        <is>
          <t>Subscription level 431.15 times</t>
        </is>
      </c>
      <c r="DE5" s="141" t="n">
        <v>46129</v>
      </c>
      <c r="DF5" s="141" t="n">
        <v>46132</v>
      </c>
      <c r="DG5" s="63" t="n">
        <v>95850000</v>
      </c>
      <c r="DH5" s="63" t="n">
        <v>8334800</v>
      </c>
      <c r="DI5" s="63" t="n">
        <v>87515200</v>
      </c>
      <c r="DJ5" s="63" t="n">
        <v>14377500</v>
      </c>
      <c r="DK5" s="169" t="n">
        <v>1</v>
      </c>
      <c r="DL5" s="59" t="inlineStr">
        <is>
          <t>No claw-back triggered (Claw-back triggered: N/A). 351,400 under-subscribed Overseas Employee Reserved Shares were reallocated to the Hong Kong Public Offering.</t>
        </is>
      </c>
      <c r="DM5" s="144" t="n">
        <v>19889400000</v>
      </c>
      <c r="DN5" s="142" t="n">
        <v>0.0985</v>
      </c>
      <c r="DO5" s="51" t="n">
        <v>968407313</v>
      </c>
      <c r="DP5" s="142" t="n">
        <v>0.0605</v>
      </c>
      <c r="DQ5" s="59" t="inlineStr">
        <is>
          <t>Free float denominator = total issued shares upon listing (col_CZ); numerator = offer shares minus cornerstone allocation</t>
        </is>
      </c>
      <c r="DR5" s="63" t="n">
        <v>968407313</v>
      </c>
      <c r="DS5" s="142" t="n">
        <v>-0.00255629</v>
      </c>
      <c r="DT5" s="80" t="n">
        <v>30</v>
      </c>
      <c r="DU5" s="142" t="n">
        <v>0.0224024</v>
      </c>
      <c r="DV5" s="144" t="n">
        <v>53942000000</v>
      </c>
      <c r="DW5" s="145" t="n">
        <v>315</v>
      </c>
      <c r="DX5" s="169" t="n">
        <v>0.500858</v>
      </c>
      <c r="DY5" s="172" t="n">
        <v>10075752000</v>
      </c>
      <c r="DZ5" s="146" t="n">
        <v>330</v>
      </c>
      <c r="EA5" s="146" t="n">
        <v>336.2</v>
      </c>
      <c r="EB5" s="146" t="n">
        <v>302</v>
      </c>
      <c r="EC5" s="63" t="n">
        <v>33822392</v>
      </c>
      <c r="ED5" s="169" t="n">
        <v>0.352868</v>
      </c>
      <c r="EE5" s="64" t="n">
        <v>10784221200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胜宏科技（惠州）股份有限公司</t>
        </is>
      </c>
      <c r="EI5" s="174" t="inlineStr">
        <is>
          <t>Active</t>
        </is>
      </c>
      <c r="EJ5" s="175" t="n">
        <v>371.2</v>
      </c>
      <c r="EK5" s="176" t="n">
        <v>0.178413</v>
      </c>
      <c r="EL5" s="176" t="n">
        <v>0.76863</v>
      </c>
      <c r="EM5" s="176" t="n">
        <v>-0.026036</v>
      </c>
      <c r="EN5" s="176" t="n">
        <v>-0.040312</v>
      </c>
      <c r="EO5" s="179" t="n">
        <v>1.2099</v>
      </c>
      <c r="EP5" s="179" t="n">
        <v>1.2279</v>
      </c>
      <c r="EQ5" s="178" t="n">
        <v>2066770985</v>
      </c>
      <c r="ER5" s="175" t="n"/>
      <c r="ES5" s="176" t="n"/>
      <c r="ET5" s="176" t="n"/>
      <c r="EU5" s="176" t="n"/>
      <c r="EV5" s="176" t="n"/>
      <c r="EW5" s="179" t="n"/>
      <c r="EX5" s="179" t="n"/>
      <c r="EY5" s="178" t="n"/>
      <c r="EZ5" s="176" t="n"/>
      <c r="FA5" s="176" t="n"/>
      <c r="FB5" s="179" t="n"/>
      <c r="FC5" s="176" t="n"/>
      <c r="FD5" s="179" t="n"/>
      <c r="FE5" s="174" t="inlineStr">
        <is>
          <t>Standard</t>
        </is>
      </c>
      <c r="FF5" s="181" t="n"/>
      <c r="FG5" s="185" t="n"/>
      <c r="FH5" s="183" t="n"/>
      <c r="FI5" s="178" t="n"/>
      <c r="FJ5" s="176" t="n"/>
      <c r="FK5" s="185" t="inlineStr">
        <is>
          <t>2026-04-22</t>
        </is>
      </c>
      <c r="FL5" s="178" t="n">
        <v>14377500</v>
      </c>
      <c r="FM5" s="176" t="n">
        <v>1</v>
      </c>
      <c r="FN5" s="176" t="n"/>
      <c r="FO5" s="176" t="n"/>
      <c r="FP5" s="176" t="n"/>
      <c r="FQ5" s="176" t="n">
        <v>-0.025397</v>
      </c>
      <c r="FR5" s="179" t="n">
        <v>0.9957</v>
      </c>
      <c r="FS5" s="176" t="n">
        <v>0.178413</v>
      </c>
      <c r="FT5" s="179" t="n">
        <v>1.2099</v>
      </c>
      <c r="FU5" s="176" t="n">
        <v>-0.27746</v>
      </c>
      <c r="FV5" s="179" t="n">
        <v>0.7615</v>
      </c>
      <c r="FW5" s="179" t="n">
        <v>0.7596000000000001</v>
      </c>
      <c r="FX5" s="178" t="n">
        <v>1861466041.94</v>
      </c>
      <c r="FY5" s="186" t="n"/>
      <c r="FZ5" s="183" t="n"/>
      <c r="GA5" s="176" t="n"/>
      <c r="GB5" s="176" t="n"/>
      <c r="GC5" s="185" t="inlineStr">
        <is>
          <t>2026-10-22</t>
        </is>
      </c>
      <c r="GD5" s="185" t="n"/>
      <c r="GE5" s="176" t="n"/>
      <c r="GF5" s="176" t="n"/>
      <c r="GG5" s="179" t="n"/>
      <c r="GH5" s="181" t="inlineStr">
        <is>
          <t>CICC</t>
        </is>
      </c>
      <c r="GI5" s="183" t="n">
        <v>2</v>
      </c>
      <c r="GJ5" s="183" t="n">
        <v>0</v>
      </c>
      <c r="GK5" s="176" t="n">
        <v>0.025</v>
      </c>
      <c r="GL5" s="176" t="n">
        <v>0.01</v>
      </c>
      <c r="GM5" s="176" t="n">
        <v>0.035</v>
      </c>
      <c r="GN5" s="183" t="n"/>
      <c r="GO5" s="183" t="n">
        <v>0</v>
      </c>
      <c r="GP5" s="183" t="n">
        <v>0</v>
      </c>
      <c r="GQ5" s="183" t="n">
        <v>6</v>
      </c>
      <c r="GR5" s="183" t="n">
        <v>0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45</v>
      </c>
      <c r="B6" s="47" t="inlineStr">
        <is>
          <t>3296.HK</t>
        </is>
      </c>
      <c r="C6" s="44" t="inlineStr">
        <is>
          <t>Huaqin Co., Ltd. - H Shares</t>
        </is>
      </c>
      <c r="D6" s="189" t="n">
        <v>46127</v>
      </c>
      <c r="E6" s="189" t="n">
        <v>46135</v>
      </c>
      <c r="F6" s="43" t="inlineStr">
        <is>
          <t>China International Capital Corporation Hong Kong Securities Limited / 
Merrill Lynch (Asia Pacific) Limited</t>
        </is>
      </c>
      <c r="G6" s="43" t="inlineStr">
        <is>
          <t>BDO Limited</t>
        </is>
      </c>
      <c r="H6" s="43" t="n"/>
      <c r="I6" s="131" t="n">
        <v>454925730</v>
      </c>
      <c r="J6" s="132" t="n">
        <v>4776646350</v>
      </c>
      <c r="K6" s="133" t="n">
        <v>77.7</v>
      </c>
      <c r="L6" s="81" t="n">
        <v>1074280544</v>
      </c>
      <c r="M6" s="82" t="n">
        <v>58548200</v>
      </c>
      <c r="N6" s="81" t="n">
        <v>1015732344</v>
      </c>
      <c r="O6" s="81" t="n">
        <v>1015732344</v>
      </c>
      <c r="P6" s="81" t="n">
        <v>0</v>
      </c>
      <c r="Q6" s="81" t="n">
        <v>58548200</v>
      </c>
      <c r="R6" s="82" t="n">
        <v>52693300</v>
      </c>
      <c r="S6" s="82" t="n">
        <v>5854900</v>
      </c>
      <c r="T6" s="147" t="n">
        <v>77.7</v>
      </c>
      <c r="U6" s="147" t="inlineStr">
        <is>
          <t>NaN</t>
        </is>
      </c>
      <c r="V6" s="169" t="n">
        <v>0</v>
      </c>
      <c r="W6" s="169" t="n">
        <v>0</v>
      </c>
      <c r="X6" s="170" t="inlineStr">
        <is>
          <t>Fixed price</t>
        </is>
      </c>
      <c r="Y6" s="26" t="inlineStr">
        <is>
          <t>RMB</t>
        </is>
      </c>
      <c r="Z6" s="137" t="n">
        <v>51509636000</v>
      </c>
      <c r="AA6" s="137" t="n">
        <v>76296823000</v>
      </c>
      <c r="AB6" s="137" t="n">
        <v>96205628000</v>
      </c>
      <c r="AC6" s="137" t="n">
        <v>20843047000</v>
      </c>
      <c r="AD6" s="137" t="n">
        <v>22924060000</v>
      </c>
      <c r="AE6" s="137" t="n">
        <v>26345328000</v>
      </c>
      <c r="AF6" s="137" t="n">
        <v>30666589000</v>
      </c>
      <c r="AG6" s="137" t="n">
        <v>53372763000</v>
      </c>
      <c r="AH6" s="137" t="n">
        <v>69860300000</v>
      </c>
      <c r="AI6" s="137" t="n">
        <v>85338484000</v>
      </c>
      <c r="AJ6" s="137" t="n">
        <v>109877987000</v>
      </c>
      <c r="AK6" s="137" t="n">
        <v>171436927000</v>
      </c>
      <c r="AL6" s="137" t="n">
        <v>2835217000</v>
      </c>
      <c r="AM6" s="137" t="n">
        <v>3037064000</v>
      </c>
      <c r="AN6" s="137" t="n">
        <v>4475933000</v>
      </c>
      <c r="AO6" s="137" t="n">
        <v>2657010000</v>
      </c>
      <c r="AP6" s="137" t="n">
        <v>2916351000</v>
      </c>
      <c r="AQ6" s="137" t="n">
        <v>4131575000</v>
      </c>
      <c r="AR6" s="135" t="n">
        <v>0.003</v>
      </c>
      <c r="AS6" s="135" t="n">
        <v>0.003</v>
      </c>
      <c r="AT6" s="84" t="n">
        <v>0.15</v>
      </c>
      <c r="AU6" s="51" t="inlineStr">
        <is>
          <t>Smart product ODM platform (design, development, manufacture and sale of smart products)</t>
        </is>
      </c>
      <c r="AV6" s="51" t="inlineStr">
        <is>
          <t>Main Board of the Hong Kong Stock Exchange as a PRC issuer (Chapter 19A of the Listing Rules)</t>
        </is>
      </c>
      <c r="AW6" s="136" t="n">
        <v>46022</v>
      </c>
      <c r="AX6" s="137" t="n">
        <v>-223312000</v>
      </c>
      <c r="AY6" s="117" t="n">
        <v>10270248000</v>
      </c>
      <c r="AZ6" s="117" t="n">
        <v>6363453000</v>
      </c>
      <c r="BA6" s="117" t="n">
        <v>13492000</v>
      </c>
      <c r="BB6" s="138" t="n">
        <v>0.541</v>
      </c>
      <c r="BC6" s="139" t="n">
        <v>1</v>
      </c>
      <c r="BD6" s="80" t="inlineStr">
        <is>
          <t>NaN</t>
        </is>
      </c>
      <c r="BE6" s="161" t="inlineStr">
        <is>
          <t>NaN</t>
        </is>
      </c>
      <c r="BF6" s="161" t="inlineStr">
        <is>
          <t>NaN</t>
        </is>
      </c>
      <c r="BG6" s="161" t="inlineStr">
        <is>
          <t>NaN</t>
        </is>
      </c>
      <c r="BH6" s="161" t="inlineStr">
        <is>
          <t>NaN</t>
        </is>
      </c>
      <c r="BI6" s="161" t="inlineStr">
        <is>
          <t>NaN</t>
        </is>
      </c>
      <c r="BJ6" s="162" t="inlineStr">
        <is>
          <t>NA</t>
        </is>
      </c>
      <c r="BK6" s="163" t="inlineStr">
        <is>
          <t>NaN</t>
        </is>
      </c>
      <c r="BL6" s="161" t="inlineStr">
        <is>
          <t>NaN</t>
        </is>
      </c>
      <c r="BM6" s="164" t="inlineStr">
        <is>
          <t>NA</t>
        </is>
      </c>
      <c r="BN6" s="165" t="inlineStr">
        <is>
          <t>NaN</t>
        </is>
      </c>
      <c r="BO6" s="51" t="inlineStr">
        <is>
          <t>Natural person (Mr. Qiu Wensheng, founder and controlling shareholder)</t>
        </is>
      </c>
      <c r="BP6" s="135" t="n">
        <v>0.4101</v>
      </c>
      <c r="BQ6" s="135" t="n">
        <v>0.4101</v>
      </c>
      <c r="BR6" s="137" t="n">
        <v>20018095000</v>
      </c>
      <c r="BS6" s="73" t="inlineStr">
        <is>
          <t>Mass production and commercialization</t>
        </is>
      </c>
      <c r="BT6" s="142" t="n">
        <v>0</v>
      </c>
      <c r="BU6" s="60" t="inlineStr">
        <is>
          <t>Main Board</t>
        </is>
      </c>
      <c r="BV6" s="89" t="inlineStr">
        <is>
          <t>H Shares</t>
        </is>
      </c>
      <c r="BW6" s="61" t="n">
        <v>1</v>
      </c>
      <c r="BX6" s="77" t="n">
        <v>0</v>
      </c>
      <c r="BY6" s="77" t="n">
        <v>0</v>
      </c>
      <c r="BZ6" s="78" t="n">
        <v>0</v>
      </c>
      <c r="CA6" s="60" t="inlineStr">
        <is>
          <t>701010</t>
        </is>
      </c>
      <c r="CB6" s="76" t="inlineStr">
        <is>
          <t>HSICS (Hang Seng Industry Classification System) 2026</t>
        </is>
      </c>
      <c r="CC6" s="140" t="n">
        <v>38593</v>
      </c>
      <c r="CD6" s="171" t="n">
        <v>20.65</v>
      </c>
      <c r="CE6" s="76" t="inlineStr">
        <is>
          <t>PRC</t>
        </is>
      </c>
      <c r="CF6" s="89" t="inlineStr">
        <is>
          <t>No. 699, Lvke Road, Pudong New District, Shanghai, PRC</t>
        </is>
      </c>
      <c r="CG6" s="91" t="n">
        <v>1000</v>
      </c>
      <c r="CH6" s="60" t="inlineStr">
        <is>
          <t>IFRS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171436927000</v>
      </c>
      <c r="CO6" s="64" t="n">
        <v>4475933000</v>
      </c>
      <c r="CP6" s="64" t="n">
        <v>4131575000</v>
      </c>
      <c r="CQ6" s="141" t="n">
        <v>46127</v>
      </c>
      <c r="CR6" s="141" t="n">
        <v>46132</v>
      </c>
      <c r="CS6" s="63" t="n">
        <v>58548200</v>
      </c>
      <c r="CT6" s="64" t="n">
        <v>13230496000</v>
      </c>
      <c r="CU6" s="64" t="n">
        <v>2932100000</v>
      </c>
      <c r="CV6" s="59" t="inlineStr">
        <is>
          <t>Unqualified (true and fair view)</t>
        </is>
      </c>
      <c r="CW6" s="64" t="n">
        <v>86100000</v>
      </c>
      <c r="CX6" s="51" t="inlineStr">
        <is>
          <t>JPMAMAPL; UBS AM Singapore; Shanghai Gaoyi and CICC FT (in connection with Gaoyi OTC Swaps); Perseverance Asset Management; Cloud Map; Taikang Life; 3W Fund; New China Asset Management; Everbright Wealth; IvyRock; Aurora SF (in connection with the Arrangement); KIL; OmniVision HK; Green Better; Hongxing International; Ingenic Semiconductor HK; Awinic Technology Limited; JinYi Capital (acting for and on behalf of Structured Credit SP Fund)</t>
        </is>
      </c>
      <c r="CY6" s="142" t="n">
        <v>0.4996</v>
      </c>
      <c r="CZ6" s="136" t="n">
        <v>46318</v>
      </c>
      <c r="DA6" s="143" t="n">
        <v>531.33</v>
      </c>
      <c r="DB6" s="63" t="n">
        <v>140150</v>
      </c>
      <c r="DC6" s="63" t="n">
        <v>3110912600</v>
      </c>
      <c r="DD6" s="59" t="inlineStr">
        <is>
          <t>Subscription level 531.33 times</t>
        </is>
      </c>
      <c r="DE6" s="141" t="n">
        <v>46133</v>
      </c>
      <c r="DF6" s="141" t="n">
        <v>46134</v>
      </c>
      <c r="DG6" s="63" t="n">
        <v>58548200</v>
      </c>
      <c r="DH6" s="63" t="n">
        <v>5854900</v>
      </c>
      <c r="DI6" s="63" t="n">
        <v>52693300</v>
      </c>
      <c r="DJ6" s="63" t="n">
        <v>8782200</v>
      </c>
      <c r="DK6" s="169" t="n">
        <v>1</v>
      </c>
      <c r="DL6" s="59" t="inlineStr">
        <is>
          <t>Claw-back triggered: N/A; No. of Offer Shares initially available under the Hong Kong Public Offering 5,854,900; No. of Offer Shares reallocated from the International Offering (reallocation) 0; final Hong Kong Public Offering shares 5,854,900 (10% of the Global Offering before exercise of the Over-allotment Option); no clawback was triggered (Mechanism B, no reallocation).</t>
        </is>
      </c>
      <c r="DM6" s="144" t="n">
        <v>4463100000</v>
      </c>
      <c r="DN6" s="142" t="n">
        <v>0.0545</v>
      </c>
      <c r="DO6" s="51" t="n">
        <v>1074280544</v>
      </c>
      <c r="DP6" s="142" t="n">
        <v>0.0273</v>
      </c>
      <c r="DQ6" s="59" t="inlineStr">
        <is>
          <t>Free float denominator = total issued shares upon listing (col_CZ); numerator = offer shares minus cornerstone allocation</t>
        </is>
      </c>
      <c r="DR6" s="63" t="n">
        <v>1074280544</v>
      </c>
      <c r="DS6" s="142" t="n">
        <v>0.00604897</v>
      </c>
      <c r="DT6" s="80" t="n">
        <v>28</v>
      </c>
      <c r="DU6" s="142" t="n">
        <v>0.0230976</v>
      </c>
      <c r="DV6" s="144" t="n">
        <v>53942000000</v>
      </c>
      <c r="DW6" s="145" t="n">
        <v>88</v>
      </c>
      <c r="DX6" s="169" t="n">
        <v>0.132561</v>
      </c>
      <c r="DY6" s="172" t="n">
        <v>603046460</v>
      </c>
      <c r="DZ6" s="146" t="n">
        <v>87.55</v>
      </c>
      <c r="EA6" s="146" t="n">
        <v>90.95</v>
      </c>
      <c r="EB6" s="146" t="n">
        <v>85</v>
      </c>
      <c r="EC6" s="63" t="n">
        <v>24599398</v>
      </c>
      <c r="ED6" s="169" t="n">
        <v>0.420156</v>
      </c>
      <c r="EE6" s="64" t="n">
        <v>2148880990</v>
      </c>
      <c r="EF6" s="60" t="inlineStr">
        <is>
          <t>Mechanism B</t>
        </is>
      </c>
      <c r="EG6" s="59" t="inlineStr">
        <is>
          <t>FINI (from 22/11/2023); 2025-08-04 pricing reform (Mechanism A/B; six-month cornerstone lock-up retained); this IPO: Mechanism B</t>
        </is>
      </c>
      <c r="EH6" t="inlineStr">
        <is>
          <t>华勤技术股份有限公司</t>
        </is>
      </c>
      <c r="EI6" s="174" t="inlineStr">
        <is>
          <t>Active</t>
        </is>
      </c>
      <c r="EJ6" s="175" t="n">
        <v>73.376</v>
      </c>
      <c r="EK6" s="176" t="n">
        <v>0.185856</v>
      </c>
      <c r="EL6" s="176" t="n">
        <v>0.343054</v>
      </c>
      <c r="EM6" s="176" t="n">
        <v>-0.0204</v>
      </c>
      <c r="EN6" s="176" t="n">
        <v>-0.019858</v>
      </c>
      <c r="EO6" s="179" t="n">
        <v>1.2106</v>
      </c>
      <c r="EP6" s="179" t="n">
        <v>1.2099</v>
      </c>
      <c r="EQ6" s="178" t="n">
        <v>328769050</v>
      </c>
      <c r="ER6" s="175" t="n"/>
      <c r="ES6" s="176" t="n"/>
      <c r="ET6" s="176" t="n"/>
      <c r="EU6" s="176" t="n"/>
      <c r="EV6" s="176" t="n"/>
      <c r="EW6" s="179" t="n"/>
      <c r="EX6" s="179" t="n"/>
      <c r="EY6" s="178" t="n"/>
      <c r="EZ6" s="176" t="n"/>
      <c r="FA6" s="176" t="n"/>
      <c r="FB6" s="179" t="n"/>
      <c r="FC6" s="176" t="n"/>
      <c r="FD6" s="179" t="n"/>
      <c r="FE6" s="174" t="inlineStr">
        <is>
          <t>Standard</t>
        </is>
      </c>
      <c r="FF6" s="181" t="inlineStr">
        <is>
          <t>China International Capital Corporation Hong Kong Securities Limited</t>
        </is>
      </c>
      <c r="FG6" s="185" t="inlineStr">
        <is>
          <t>2026-05-20</t>
        </is>
      </c>
      <c r="FH6" s="183" t="n">
        <v>0</v>
      </c>
      <c r="FI6" s="178" t="n">
        <v>8782200</v>
      </c>
      <c r="FJ6" s="176" t="n"/>
      <c r="FK6" s="185" t="inlineStr">
        <is>
          <t>2026-05-20</t>
        </is>
      </c>
      <c r="FL6" s="178" t="n">
        <v>8782200</v>
      </c>
      <c r="FM6" s="176" t="n">
        <v>1</v>
      </c>
      <c r="FN6" s="176" t="n">
        <v>-0.039522</v>
      </c>
      <c r="FO6" s="176" t="n">
        <v>0.028394</v>
      </c>
      <c r="FP6" s="176" t="n">
        <v>0.792596</v>
      </c>
      <c r="FQ6" s="176" t="n">
        <v>-0.002311</v>
      </c>
      <c r="FR6" s="179" t="n">
        <v>0.9902</v>
      </c>
      <c r="FS6" s="176" t="n">
        <v>0.185856</v>
      </c>
      <c r="FT6" s="179" t="n">
        <v>1.2106</v>
      </c>
      <c r="FU6" s="176" t="n">
        <v>0.12079</v>
      </c>
      <c r="FV6" s="179" t="n">
        <v>1.1521</v>
      </c>
      <c r="FW6" s="179" t="n">
        <v>1.1606</v>
      </c>
      <c r="FX6" s="178" t="n">
        <v>275218610.97</v>
      </c>
      <c r="FY6" s="186" t="n"/>
      <c r="FZ6" s="183" t="n"/>
      <c r="GA6" s="176" t="n"/>
      <c r="GB6" s="176" t="n"/>
      <c r="GC6" s="185" t="inlineStr">
        <is>
          <t>2026-10-24</t>
        </is>
      </c>
      <c r="GD6" s="185" t="inlineStr">
        <is>
          <t>2027-04-24</t>
        </is>
      </c>
      <c r="GE6" s="176" t="n"/>
      <c r="GF6" s="176" t="n"/>
      <c r="GG6" s="179" t="n"/>
      <c r="GH6" s="181" t="inlineStr">
        <is>
          <t>CICC</t>
        </is>
      </c>
      <c r="GI6" s="183" t="n">
        <v>2</v>
      </c>
      <c r="GJ6" s="183" t="n">
        <v>0</v>
      </c>
      <c r="GK6" s="176" t="n">
        <v>0.025</v>
      </c>
      <c r="GL6" s="176" t="n">
        <v>0.01</v>
      </c>
      <c r="GM6" s="176" t="n">
        <v>0.035</v>
      </c>
      <c r="GN6" s="183" t="n"/>
      <c r="GO6" s="183" t="n">
        <v>0</v>
      </c>
      <c r="GP6" s="183" t="n">
        <v>0</v>
      </c>
      <c r="GQ6" s="183" t="n">
        <v>6</v>
      </c>
      <c r="GR6" s="183" t="n">
        <v>0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46</v>
      </c>
      <c r="B7" s="47" t="inlineStr">
        <is>
          <t>1879.HK</t>
        </is>
      </c>
      <c r="C7" s="44" t="inlineStr">
        <is>
          <t>Shanghai Xizhi Technology Co., Ltd. - P - H Shares</t>
        </is>
      </c>
      <c r="D7" s="189" t="n">
        <v>46132</v>
      </c>
      <c r="E7" s="189" t="n">
        <v>46140</v>
      </c>
      <c r="F7" s="43" t="inlineStr">
        <is>
          <t>China International Capital Corporation Hong Kong Securities Limited / 
Haitong International Capital Limited</t>
        </is>
      </c>
      <c r="G7" s="43" t="inlineStr">
        <is>
          <t>PricewaterhouseCoopers</t>
        </is>
      </c>
      <c r="H7" s="43" t="n"/>
      <c r="I7" s="131" t="n">
        <v>505458876</v>
      </c>
      <c r="J7" s="132" t="n">
        <v>2400916608</v>
      </c>
      <c r="K7" s="133" t="n">
        <v>183.2</v>
      </c>
      <c r="L7" s="81" t="n">
        <v>91968097</v>
      </c>
      <c r="M7" s="82" t="n">
        <v>13795215</v>
      </c>
      <c r="N7" s="81" t="n">
        <v>78172882</v>
      </c>
      <c r="O7" s="81" t="n">
        <v>78172882</v>
      </c>
      <c r="P7" s="81" t="n">
        <v>0</v>
      </c>
      <c r="Q7" s="81" t="n">
        <v>13795215</v>
      </c>
      <c r="R7" s="82" t="n">
        <v>13105440</v>
      </c>
      <c r="S7" s="82" t="n">
        <v>689775</v>
      </c>
      <c r="T7" s="147" t="n">
        <v>183.2</v>
      </c>
      <c r="U7" s="147" t="n">
        <v>166.6</v>
      </c>
      <c r="V7" s="169" t="n">
        <v>0.047456</v>
      </c>
      <c r="W7" s="169" t="n">
        <v>0.094911</v>
      </c>
      <c r="X7" s="170" t="inlineStr">
        <is>
          <t>At high</t>
        </is>
      </c>
      <c r="Y7" s="26" t="inlineStr">
        <is>
          <t>RMB</t>
        </is>
      </c>
      <c r="Z7" s="137" t="n">
        <v>870179000</v>
      </c>
      <c r="AA7" s="137" t="n">
        <v>1183203000</v>
      </c>
      <c r="AB7" s="137" t="n">
        <v>1137832000</v>
      </c>
      <c r="AC7" s="137" t="n">
        <v>-2427018000</v>
      </c>
      <c r="AD7" s="137" t="n">
        <v>-3052873000</v>
      </c>
      <c r="AE7" s="137" t="n">
        <v>-4247852000</v>
      </c>
      <c r="AF7" s="137" t="n">
        <v>3297197000</v>
      </c>
      <c r="AG7" s="137" t="n">
        <v>4236076000</v>
      </c>
      <c r="AH7" s="137" t="n">
        <v>5385684000</v>
      </c>
      <c r="AI7" s="137" t="n">
        <v>38235000</v>
      </c>
      <c r="AJ7" s="137" t="n">
        <v>60191000</v>
      </c>
      <c r="AK7" s="137" t="n">
        <v>106368000</v>
      </c>
      <c r="AL7" s="137" t="n">
        <v>-413376000</v>
      </c>
      <c r="AM7" s="137" t="n">
        <v>-735280000</v>
      </c>
      <c r="AN7" s="137" t="n">
        <v>-1342376000</v>
      </c>
      <c r="AO7" s="137" t="n">
        <v>-413503000</v>
      </c>
      <c r="AP7" s="137" t="n">
        <v>-735280000</v>
      </c>
      <c r="AQ7" s="137" t="n">
        <v>-1342376000</v>
      </c>
      <c r="AR7" s="135" t="n">
        <v>0.016</v>
      </c>
      <c r="AS7" s="135" t="n">
        <v>0.016</v>
      </c>
      <c r="AT7" s="84" t="n">
        <v>0.15</v>
      </c>
      <c r="AU7" s="51" t="inlineStr">
        <is>
          <t>Optoelectronic computing - optical interconnect and optical computing products and solutions</t>
        </is>
      </c>
      <c r="AV7" s="51" t="inlineStr">
        <is>
          <t>Chapter 18C of the Listing Rules (Specialist Technology Company - Pre-Commercial Company)</t>
        </is>
      </c>
      <c r="AW7" s="136" t="n">
        <v>46022</v>
      </c>
      <c r="AX7" s="137" t="n">
        <v>-361099000</v>
      </c>
      <c r="AY7" s="117" t="n">
        <v>209058000</v>
      </c>
      <c r="AZ7" s="117" t="n">
        <v>479041000</v>
      </c>
      <c r="BA7" s="117" t="n">
        <v>0</v>
      </c>
      <c r="BB7" s="138" t="n">
        <v>0.789</v>
      </c>
      <c r="BC7" s="139" t="n">
        <v>1</v>
      </c>
      <c r="BD7" s="80" t="n">
        <v>1</v>
      </c>
      <c r="BE7" s="161" t="n">
        <v>1</v>
      </c>
      <c r="BF7" s="161" t="n">
        <v>1</v>
      </c>
      <c r="BG7" s="161" t="n">
        <v>1</v>
      </c>
      <c r="BH7" s="161" t="n">
        <v>1</v>
      </c>
      <c r="BI7" s="161" t="n">
        <v>1</v>
      </c>
      <c r="BJ7" s="162" t="inlineStr">
        <is>
          <t>MPC V L.P. and MPC V-A L.P.; Tencent Mobility Limited; Shanghai CM Digital Transformation Investment Fund, L.P.; Hangzhou Yihong Equity Investment Partnership (Limited Partnership); Shanghai Guofu Linghang Investment Partnership (Limited Partnership); CICC Culture and Consumption Industry Equity Investment Fund (Xiamen) Partnership (Limited Partnership); Vertex Ventures China IV, L.P.; Beijing Casstar Key &amp; Core Technology Venture Capital Investment L.P.; Shaanxi Advanced OEIC Technologies L.P.; Xiamen Yaheng Venture Capital Fund Partnership (Limited Partnership); Lumina Orbis (HK) Limited; Lumistar VI, L.P.; Shanghai Pudong Pilot Zone Investment Fund (Limited Partnership)</t>
        </is>
      </c>
      <c r="BK7" s="163" t="n">
        <v>0.3002</v>
      </c>
      <c r="BL7" s="161" t="n">
        <v>1</v>
      </c>
      <c r="BM7" s="164" t="inlineStr">
        <is>
          <t>Series A</t>
        </is>
      </c>
      <c r="BN7" s="165" t="n">
        <v>8</v>
      </c>
      <c r="BO7" s="51" t="inlineStr">
        <is>
          <t>Individual (Dr. Shen Yichen, founder and Single Largest Shareholder)</t>
        </is>
      </c>
      <c r="BP7" s="135" t="n">
        <v>0.2096</v>
      </c>
      <c r="BQ7" s="135" t="n">
        <v>0.2955</v>
      </c>
      <c r="BR7" s="137" t="n">
        <v>4950851000</v>
      </c>
      <c r="BS7" s="73" t="inlineStr">
        <is>
          <t>Pre-Commercial Company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0</v>
      </c>
      <c r="BZ7" s="78" t="n">
        <v>1</v>
      </c>
      <c r="CA7" s="60" t="inlineStr">
        <is>
          <t>703020</t>
        </is>
      </c>
      <c r="CB7" s="76" t="inlineStr">
        <is>
          <t>HSICS (Hang Seng Industry Classification System) 2026</t>
        </is>
      </c>
      <c r="CC7" s="140" t="n">
        <v>43158</v>
      </c>
      <c r="CD7" s="171" t="n">
        <v>8.16</v>
      </c>
      <c r="CE7" s="76" t="inlineStr">
        <is>
          <t>NA</t>
        </is>
      </c>
      <c r="CF7" s="89" t="inlineStr">
        <is>
          <t>Shanghai,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106368000</v>
      </c>
      <c r="CO7" s="64" t="n">
        <v>-1342376000</v>
      </c>
      <c r="CP7" s="64" t="n">
        <v>-1342376000</v>
      </c>
      <c r="CQ7" s="141" t="n">
        <v>46132</v>
      </c>
      <c r="CR7" s="141" t="n">
        <v>46135</v>
      </c>
      <c r="CS7" s="63" t="n">
        <v>74781296</v>
      </c>
      <c r="CT7" s="64" t="n">
        <v>41468000</v>
      </c>
      <c r="CU7" s="64" t="n">
        <v>184262000</v>
      </c>
      <c r="CV7" s="59" t="inlineStr">
        <is>
          <t>Unqualified opinion (true and fair view)</t>
        </is>
      </c>
      <c r="CW7" s="64" t="n">
        <v>145800000</v>
      </c>
      <c r="CX7" s="51" t="inlineStr">
        <is>
          <t>Alibaba Investment Limited; GIC Private Limited; Baillie Gifford Overseas Limited and Baillie Gifford &amp; Co; BlackRock, Inc. (BlackRock Funds); FIL Investment Management (Hong Kong) Limited (Fidelity International); Schroder Investment Management (Singapore) Ltd, Schroder Investment Management (Hong Kong) Limited and Schroder Investment Management Limited (Schroders); Taibai Investments Pte. Ltd. (Temasek); Shanghai CM Digital Transformation Investment Fund, L.P. (CM Shanghai Fund); HHLR Advisors, Ltd. (HHLRA Funds); UBS Asset Management (Singapore) Ltd.; 3W Fund Management Limited; Aspex Master Fund; CPE Fir Investment Limited; Greenwoods Asset Management Hong Kong Limited and Shanghai Greenwoods Asset Management Co., Ltd.; GF Fund Management Co., Ltd. and GF International Investment Management Limited; Lenovo Group Limited; Mirae Asset Securities (HK) Limited; ZTE (H.K.) Limited; ICBC Wealth Management Co., Ltd.; Ping An of China Asset Management (Hong Kong) Company Limited</t>
        </is>
      </c>
      <c r="CY7" s="142" t="n">
        <v>0.6506</v>
      </c>
      <c r="CZ7" s="136" t="n">
        <v>46323</v>
      </c>
      <c r="DA7" s="143" t="n">
        <v>5784.7</v>
      </c>
      <c r="DB7" s="63" t="n">
        <v>378085</v>
      </c>
      <c r="DC7" s="63" t="n">
        <v>3990144405</v>
      </c>
      <c r="DD7" s="59" t="inlineStr">
        <is>
          <t>Subscription level 5,784.70 times</t>
        </is>
      </c>
      <c r="DE7" s="141" t="n">
        <v>46136</v>
      </c>
      <c r="DF7" s="141" t="n">
        <v>46139</v>
      </c>
      <c r="DG7" s="63" t="n">
        <v>13795215</v>
      </c>
      <c r="DH7" s="63" t="n">
        <v>2759055</v>
      </c>
      <c r="DI7" s="63" t="n">
        <v>11036160</v>
      </c>
      <c r="DJ7" s="63" t="n">
        <v>2069280</v>
      </c>
      <c r="DK7" s="169" t="n">
        <v>1</v>
      </c>
      <c r="DL7" s="59" t="inlineStr">
        <is>
          <t>Claw-back triggered; 2,069,280 Offer Shares reallocated from the International Offering to the Hong Kong Public Offering; final Hong Kong Public Offering is 2,759,055 Shares, 20.00% of the Global Offering (Over-allotment Option not exercised)</t>
        </is>
      </c>
      <c r="DM7" s="144" t="n">
        <v>2376900000</v>
      </c>
      <c r="DN7" s="142" t="n">
        <v>0.6225000000000001</v>
      </c>
      <c r="DO7" s="51" t="n">
        <v>91968097</v>
      </c>
      <c r="DP7" s="142" t="n">
        <v>0.0524</v>
      </c>
      <c r="DQ7" s="59" t="inlineStr">
        <is>
          <t>Free float denominator = total issued shares upon listing (col_CZ); numerator = offer shares minus cornerstone allocation</t>
        </is>
      </c>
      <c r="DR7" s="63" t="n">
        <v>91968097</v>
      </c>
      <c r="DS7" s="142" t="n">
        <v>0.01127976</v>
      </c>
      <c r="DT7" s="80" t="n">
        <v>31</v>
      </c>
      <c r="DU7" s="142" t="n">
        <v>0.0255143</v>
      </c>
      <c r="DV7" s="144" t="n">
        <v>53904000000</v>
      </c>
      <c r="DW7" s="145" t="n">
        <v>886</v>
      </c>
      <c r="DX7" s="169" t="n">
        <v>3.836245</v>
      </c>
      <c r="DY7" s="172" t="n">
        <v>9695277102</v>
      </c>
      <c r="DZ7" s="146" t="n">
        <v>880</v>
      </c>
      <c r="EA7" s="146" t="n">
        <v>996</v>
      </c>
      <c r="EB7" s="146" t="n">
        <v>807</v>
      </c>
      <c r="EC7" s="63" t="n">
        <v>9260310</v>
      </c>
      <c r="ED7" s="169" t="n">
        <v>0.67127</v>
      </c>
      <c r="EE7" s="64" t="n">
        <v>7871806700</v>
      </c>
      <c r="EF7" s="60" t="inlineStr">
        <is>
          <t>Mechanism A</t>
        </is>
      </c>
      <c r="EG7" s="59" t="inlineStr">
        <is>
          <t>FINI (from 22/11/2023); 2025-08-04 pricing reform (Mechanism A/B; six-month cornerstone lock-up retained); this IPO: Mechanism A</t>
        </is>
      </c>
      <c r="EH7" t="inlineStr">
        <is>
          <t>上海曦智科技股份有限公司</t>
        </is>
      </c>
      <c r="EI7" s="174" t="inlineStr">
        <is>
          <t>Active</t>
        </is>
      </c>
      <c r="EJ7" s="175" t="n">
        <v>682.5</v>
      </c>
      <c r="EK7" s="176" t="n">
        <v>-0.229684</v>
      </c>
      <c r="EL7" s="176" t="n">
        <v>2.725437</v>
      </c>
      <c r="EM7" s="176" t="n">
        <v>-0.01369</v>
      </c>
      <c r="EN7" s="176" t="n">
        <v>0.016652</v>
      </c>
      <c r="EO7" s="179" t="n">
        <v>0.781</v>
      </c>
      <c r="EP7" s="179" t="n">
        <v>0.7577</v>
      </c>
      <c r="EQ7" s="178" t="n">
        <v>912188210</v>
      </c>
      <c r="ER7" s="175" t="n"/>
      <c r="ES7" s="176" t="n"/>
      <c r="ET7" s="176" t="n"/>
      <c r="EU7" s="176" t="n"/>
      <c r="EV7" s="176" t="n"/>
      <c r="EW7" s="179" t="n"/>
      <c r="EX7" s="179" t="n"/>
      <c r="EY7" s="178" t="n"/>
      <c r="EZ7" s="176" t="n"/>
      <c r="FA7" s="176" t="n"/>
      <c r="FB7" s="179" t="n"/>
      <c r="FC7" s="176" t="n"/>
      <c r="FD7" s="179" t="n"/>
      <c r="FE7" s="174" t="inlineStr">
        <is>
          <t>18C (Specialist Tech)</t>
        </is>
      </c>
      <c r="FF7" s="181" t="n"/>
      <c r="FG7" s="185" t="n"/>
      <c r="FH7" s="183" t="n"/>
      <c r="FI7" s="178" t="n"/>
      <c r="FJ7" s="176" t="n"/>
      <c r="FK7" s="185" t="n"/>
      <c r="FL7" s="178" t="n">
        <v>2069280</v>
      </c>
      <c r="FM7" s="176" t="n">
        <v>1</v>
      </c>
      <c r="FN7" s="176" t="n"/>
      <c r="FO7" s="176" t="n"/>
      <c r="FP7" s="176" t="n"/>
      <c r="FQ7" s="176" t="n">
        <v>0.059255</v>
      </c>
      <c r="FR7" s="179" t="n">
        <v>1.0503</v>
      </c>
      <c r="FS7" s="176" t="n">
        <v>-0.229684</v>
      </c>
      <c r="FT7" s="179" t="n">
        <v>0.781</v>
      </c>
      <c r="FU7" s="176" t="n">
        <v>-0.699323</v>
      </c>
      <c r="FV7" s="179" t="n">
        <v>0.3051</v>
      </c>
      <c r="FW7" s="179" t="n">
        <v>0.3068</v>
      </c>
      <c r="FX7" s="178" t="n">
        <v>380891048.39</v>
      </c>
      <c r="FY7" s="186" t="n"/>
      <c r="FZ7" s="183" t="n"/>
      <c r="GA7" s="176" t="n"/>
      <c r="GB7" s="176" t="n"/>
      <c r="GC7" s="185" t="inlineStr">
        <is>
          <t>2028-04-29</t>
        </is>
      </c>
      <c r="GD7" s="185" t="n"/>
      <c r="GE7" s="176" t="n"/>
      <c r="GF7" s="176" t="n"/>
      <c r="GG7" s="179" t="n"/>
      <c r="GH7" s="181" t="inlineStr">
        <is>
          <t>CICC</t>
        </is>
      </c>
      <c r="GI7" s="183" t="n">
        <v>2</v>
      </c>
      <c r="GJ7" s="183" t="n">
        <v>0</v>
      </c>
      <c r="GK7" s="176" t="n">
        <v>0.025</v>
      </c>
      <c r="GL7" s="176" t="n">
        <v>0.01</v>
      </c>
      <c r="GM7" s="176" t="n">
        <v>0.035</v>
      </c>
      <c r="GN7" s="183" t="n"/>
      <c r="GO7" s="183" t="n">
        <v>0</v>
      </c>
      <c r="GP7" s="183" t="n">
        <v>0</v>
      </c>
      <c r="GQ7" s="183" t="n">
        <v>6</v>
      </c>
      <c r="GR7" s="183" t="n">
        <v>0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47</v>
      </c>
      <c r="B8" s="47" t="inlineStr">
        <is>
          <t>2493.HK</t>
        </is>
      </c>
      <c r="C8" s="44" t="inlineStr">
        <is>
          <t>Mabwell (Shanghai) Bioscience Co., Ltd. - B - H Shares</t>
        </is>
      </c>
      <c r="D8" s="189" t="n">
        <v>46132</v>
      </c>
      <c r="E8" s="189" t="n">
        <v>46140</v>
      </c>
      <c r="F8" s="43" t="inlineStr">
        <is>
          <t>CITIC Securities (Hong Kong) Limited / 
Haitong International Capital Limited</t>
        </is>
      </c>
      <c r="G8" s="43" t="inlineStr">
        <is>
          <t>Ernst &amp; Young</t>
        </is>
      </c>
      <c r="H8" s="43" t="n"/>
      <c r="I8" s="131" t="n">
        <v>130272848</v>
      </c>
      <c r="J8" s="148" t="n">
        <v>1172405880</v>
      </c>
      <c r="K8" s="133" t="n">
        <v>27.64</v>
      </c>
      <c r="L8" t="n">
        <v>446730200</v>
      </c>
      <c r="M8" s="67" t="n">
        <v>47130200</v>
      </c>
      <c r="N8" t="n">
        <v>399600000</v>
      </c>
      <c r="O8" t="n">
        <v>399600000</v>
      </c>
      <c r="P8" t="n">
        <v>0</v>
      </c>
      <c r="Q8" t="n">
        <v>47130200</v>
      </c>
      <c r="R8" s="67" t="n">
        <v>42417000</v>
      </c>
      <c r="S8" s="67" t="n">
        <v>4713200</v>
      </c>
      <c r="T8" s="147" t="n">
        <v>30.71</v>
      </c>
      <c r="U8" s="147" t="n">
        <v>27.64</v>
      </c>
      <c r="V8" s="169" t="n">
        <v>-0.052614</v>
      </c>
      <c r="W8" s="169" t="n">
        <v>0.105227</v>
      </c>
      <c r="X8" s="170" t="inlineStr">
        <is>
          <t>At low</t>
        </is>
      </c>
      <c r="Y8" s="26" t="inlineStr">
        <is>
          <t>RMB</t>
        </is>
      </c>
      <c r="Z8" s="137" t="inlineStr">
        <is>
          <t>NaN</t>
        </is>
      </c>
      <c r="AA8" s="137" t="n">
        <v>4275508000</v>
      </c>
      <c r="AB8" s="137" t="n">
        <v>4555841000</v>
      </c>
      <c r="AC8" s="137" t="inlineStr">
        <is>
          <t>NaN</t>
        </is>
      </c>
      <c r="AD8" s="137" t="n">
        <v>1555779000</v>
      </c>
      <c r="AE8" s="137" t="n">
        <v>533002000</v>
      </c>
      <c r="AF8" s="137" t="inlineStr">
        <is>
          <t>NaN</t>
        </is>
      </c>
      <c r="AG8" s="137" t="n">
        <v>2719729000</v>
      </c>
      <c r="AH8" s="137" t="n">
        <v>4022839000</v>
      </c>
      <c r="AI8" s="137" t="inlineStr">
        <is>
          <t>NaN</t>
        </is>
      </c>
      <c r="AJ8" s="137" t="n">
        <v>199622000</v>
      </c>
      <c r="AK8" s="137" t="n">
        <v>658694000</v>
      </c>
      <c r="AL8" s="137" t="inlineStr">
        <is>
          <t>NaN</t>
        </is>
      </c>
      <c r="AM8" s="137" t="n">
        <v>-1047471000</v>
      </c>
      <c r="AN8" s="137" t="n">
        <v>-956394000</v>
      </c>
      <c r="AO8" s="137" t="inlineStr">
        <is>
          <t>NaN</t>
        </is>
      </c>
      <c r="AP8" s="137" t="n">
        <v>-1046564000</v>
      </c>
      <c r="AQ8" s="137" t="n">
        <v>-972258000</v>
      </c>
      <c r="AR8" s="142" t="n">
        <v>0.027</v>
      </c>
      <c r="AS8" s="142" t="n">
        <v>0.027</v>
      </c>
      <c r="AT8" s="84" t="inlineStr">
        <is>
          <t>NaN</t>
        </is>
      </c>
      <c r="AU8" s="51" t="inlineStr">
        <is>
          <t>Pharmaceutical / biopharmaceutical (innovative drug research, development and commercialization)</t>
        </is>
      </c>
      <c r="AV8" s="51" t="inlineStr">
        <is>
          <t>Chapter 18A of the Listing Rules (Main Board)</t>
        </is>
      </c>
      <c r="AW8" s="136" t="n">
        <v>46022</v>
      </c>
      <c r="AX8" s="137" t="n">
        <v>-290223000</v>
      </c>
      <c r="AY8" s="117" t="n">
        <v>1526339000</v>
      </c>
      <c r="AZ8" s="117" t="n">
        <v>976961000</v>
      </c>
      <c r="BA8" s="117" t="n">
        <v>0</v>
      </c>
      <c r="BB8" s="138" t="n">
        <v>0.876</v>
      </c>
      <c r="BC8" s="139" t="n">
        <v>1</v>
      </c>
      <c r="BD8" s="80" t="n">
        <v>1</v>
      </c>
      <c r="BE8" s="161" t="n">
        <v>1</v>
      </c>
      <c r="BF8" s="161" t="n">
        <v>1</v>
      </c>
      <c r="BG8" s="161" t="n">
        <v>1</v>
      </c>
      <c r="BH8" s="161" t="n">
        <v>1</v>
      </c>
      <c r="BI8" s="161" t="n">
        <v>1</v>
      </c>
      <c r="BJ8" s="162" t="inlineStr">
        <is>
          <t>Junhua No. 1 Fund; E Fund; Suzhou Yongyu Equity Investment Partnership (Limited Partnership); Shenzhen Fuhai Stock Toubang No. 7 Investment Enterprise (Limited Partnership); Haitong Innovation Capital Management Co., Ltd.; Xiamen Hengyao Xingye Investment Partnership Enterprise (Limited Partnership); Shanghai Xuchao Investment Partnership Enterprise (Limited Partnership); Anhui Hezhuang High-Tech Achievement Fund Partnership (Limited Partnership); Ganzhou Development No. 1 Investment Fund Partnership (Limited Partnership); Wuhu Xinde No. 1 Investment Center (Limited Partnership); Zhuhai Huajin Fengying No. 2 Equity Investment Fund Partnership (Limited Partnership); Shenzhen Zhongkai Fusheng Investment Center (Limited Partnership); Shenzhen Xinxi Huirui Investment Partnership (Limited Partnership); Rui Feng Capital Co., Ltd.; Ningbo Gaoling Equity Investment Partnership (Limited Partnership); Suzhou Ruihua Investment Partnership (Limited Partnership); Small and Medium Enterprise Development Fund (Shenzhen Nanshan Limited Partnership); Shenzhen Jiushang Investment Center (Limited Partnership)</t>
        </is>
      </c>
      <c r="BK8" s="163" t="n">
        <v>0.0501</v>
      </c>
      <c r="BL8" s="161" t="n">
        <v>1</v>
      </c>
      <c r="BM8" s="164" t="inlineStr">
        <is>
          <t>Pre-IPO financing (March 2020)</t>
        </is>
      </c>
      <c r="BN8" s="165" t="n">
        <v>6.1</v>
      </c>
      <c r="BO8" s="51" t="inlineStr">
        <is>
          <t>Individual founders / controlling shareholders (Mr. Tang Chunshan and Ms. Chen Shanna)</t>
        </is>
      </c>
      <c r="BP8" s="135" t="n">
        <v>0.3791</v>
      </c>
      <c r="BQ8" s="135" t="n">
        <v>0.3791</v>
      </c>
      <c r="BR8" s="137" t="n">
        <v>3029873000</v>
      </c>
      <c r="BS8" s="51" t="inlineStr">
        <is>
          <t>Commercialized (4 commercialized products); 10 drug candidates (1 in NDA stage, 8 in clinical stage, 1 in preclinical stage)</t>
        </is>
      </c>
      <c r="BT8" s="142" t="n">
        <v>0</v>
      </c>
      <c r="BU8" s="60" t="inlineStr">
        <is>
          <t>Main Board</t>
        </is>
      </c>
      <c r="BV8" s="89" t="inlineStr">
        <is>
          <t>H Shares</t>
        </is>
      </c>
      <c r="BW8" s="61" t="n">
        <v>1</v>
      </c>
      <c r="BX8" s="77" t="n">
        <v>0</v>
      </c>
      <c r="BY8" s="77" t="n">
        <v>1</v>
      </c>
      <c r="BZ8" s="78" t="n">
        <v>0</v>
      </c>
      <c r="CA8" s="60" t="inlineStr">
        <is>
          <t>281020</t>
        </is>
      </c>
      <c r="CB8" s="76" t="inlineStr">
        <is>
          <t>HSICS (Hang Seng Industry Classification System) 2026</t>
        </is>
      </c>
      <c r="CC8" s="140" t="n">
        <v>42867</v>
      </c>
      <c r="CD8" s="171" t="n">
        <v>8.960000000000001</v>
      </c>
      <c r="CE8" s="76" t="inlineStr">
        <is>
          <t>PRC</t>
        </is>
      </c>
      <c r="CF8" s="89" t="inlineStr">
        <is>
          <t>Shanghai, PRC</t>
        </is>
      </c>
      <c r="CG8" s="91" t="n">
        <v>1000</v>
      </c>
      <c r="CH8" s="60" t="inlineStr">
        <is>
          <t>HKFRSs (Hong Kong Financial Reporting Standards)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658694000</v>
      </c>
      <c r="CO8" s="64" t="n">
        <v>-956394000</v>
      </c>
      <c r="CP8" s="64" t="n">
        <v>-972258000</v>
      </c>
      <c r="CQ8" s="141" t="n">
        <v>46132</v>
      </c>
      <c r="CR8" s="141" t="n">
        <v>46135</v>
      </c>
      <c r="CS8" s="63" t="n">
        <v>47130200</v>
      </c>
      <c r="CT8" s="64" t="n">
        <v>596371000</v>
      </c>
      <c r="CU8" s="64" t="n">
        <v>157711000</v>
      </c>
      <c r="CV8" s="59" t="inlineStr">
        <is>
          <t>Unqualified opinion (true and fair view)</t>
        </is>
      </c>
      <c r="CW8" s="64" t="n">
        <v>119400000</v>
      </c>
      <c r="CX8" s="51" t="inlineStr">
        <is>
          <t>Junshi Hong Kong Limited; Sanjin International Co., Ltd.; Guohui (HK) Holdings Co., Limited; Charm Harvest International Limited; WuXi Biologics HealthCare Venture; Splendid Zhonghe (Tianjin) Investment Management Co., Ltd. (Zhonghe Capital)</t>
        </is>
      </c>
      <c r="CY8" s="142" t="n">
        <v>0.3187</v>
      </c>
      <c r="CZ8" s="136" t="n">
        <v>46323</v>
      </c>
      <c r="DA8" s="143" t="n">
        <v>481.71</v>
      </c>
      <c r="DB8" s="63" t="n">
        <v>126378</v>
      </c>
      <c r="DC8" s="63" t="n">
        <v>2270397600</v>
      </c>
      <c r="DD8" s="59" t="inlineStr">
        <is>
          <t>Subscription level 481.71 times</t>
        </is>
      </c>
      <c r="DE8" s="141" t="n">
        <v>46136</v>
      </c>
      <c r="DF8" s="141" t="n">
        <v>46139</v>
      </c>
      <c r="DG8" s="63" t="n">
        <v>47130200</v>
      </c>
      <c r="DH8" s="63" t="n">
        <v>4713200</v>
      </c>
      <c r="DI8" s="63" t="n">
        <v>42417000</v>
      </c>
      <c r="DJ8" s="63" t="n">
        <v>0</v>
      </c>
      <c r="DK8" s="169" t="n">
        <v>0</v>
      </c>
      <c r="DL8" s="59" t="inlineStr">
        <is>
          <t>Reallocation: No; no Offer Shares reallocated from the International Offering (0 shares); final Hong Kong Public Offering remains 4,713,200 H Shares.</t>
        </is>
      </c>
      <c r="DM8" s="144" t="n">
        <v>1189000000</v>
      </c>
      <c r="DN8" s="142" t="n">
        <v>0.1011</v>
      </c>
      <c r="DO8" s="51" t="n">
        <v>446730200</v>
      </c>
      <c r="DP8" s="142" t="n">
        <v>0.07190000000000001</v>
      </c>
      <c r="DQ8" s="59" t="inlineStr">
        <is>
          <t>Free float denominator = total issued share capital of the Company upon Listing (446,730,200 Shares, excluding treasury shares); numerator = Global Offering Offer Shares (47,130,200) minus cornerstone allocation (15,020,600) = 32,109,600 H Shares; H Shares held by Cornerstone Investors (including CHIL) are excluded from free float.</t>
        </is>
      </c>
      <c r="DR8" s="63" t="n">
        <v>446730200</v>
      </c>
      <c r="DS8" s="142" t="n">
        <v>0.01127976</v>
      </c>
      <c r="DT8" s="80" t="n">
        <v>31</v>
      </c>
      <c r="DU8" s="142" t="n">
        <v>0.0255143</v>
      </c>
      <c r="DV8" s="144" t="n">
        <v>53904000000</v>
      </c>
      <c r="DW8" s="145" t="n">
        <v>27.8</v>
      </c>
      <c r="DX8" s="169" t="n">
        <v>0.005789</v>
      </c>
      <c r="DY8" s="172" t="n">
        <v>7540832</v>
      </c>
      <c r="DZ8" s="146" t="n">
        <v>28.3</v>
      </c>
      <c r="EA8" s="146" t="n">
        <v>29.9</v>
      </c>
      <c r="EB8" s="146" t="n">
        <v>26.44</v>
      </c>
      <c r="EC8" s="63" t="n">
        <v>15006462</v>
      </c>
      <c r="ED8" s="169" t="n">
        <v>0.318404</v>
      </c>
      <c r="EE8" s="64" t="n">
        <v>424939900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迈威（上海）生物科技股份有限公司</t>
        </is>
      </c>
      <c r="EI8" s="174" t="inlineStr">
        <is>
          <t>Active</t>
        </is>
      </c>
      <c r="EJ8" s="175" t="n">
        <v>23.56</v>
      </c>
      <c r="EK8" s="176" t="n">
        <v>-0.152518</v>
      </c>
      <c r="EL8" s="176" t="n">
        <v>-0.147612</v>
      </c>
      <c r="EM8" s="176" t="n">
        <v>-0.01369</v>
      </c>
      <c r="EN8" s="176" t="n">
        <v>0.016652</v>
      </c>
      <c r="EO8" s="179" t="n">
        <v>0.8592</v>
      </c>
      <c r="EP8" s="179" t="n">
        <v>0.8336</v>
      </c>
      <c r="EQ8" s="178" t="n">
        <v>57862425</v>
      </c>
      <c r="ER8" s="175" t="n"/>
      <c r="ES8" s="176" t="n"/>
      <c r="ET8" s="176" t="n"/>
      <c r="EU8" s="176" t="n"/>
      <c r="EV8" s="176" t="n"/>
      <c r="EW8" s="179" t="n"/>
      <c r="EX8" s="179" t="n"/>
      <c r="EY8" s="178" t="n"/>
      <c r="EZ8" s="176" t="n"/>
      <c r="FA8" s="176" t="n"/>
      <c r="FB8" s="179" t="n"/>
      <c r="FC8" s="176" t="n"/>
      <c r="FD8" s="179" t="n"/>
      <c r="FE8" s="174" t="inlineStr">
        <is>
          <t>18A (Biotech / B-tag)</t>
        </is>
      </c>
      <c r="FF8" s="181" t="n"/>
      <c r="FG8" s="185" t="n"/>
      <c r="FH8" s="183" t="n"/>
      <c r="FI8" s="178" t="n"/>
      <c r="FJ8" s="176" t="n"/>
      <c r="FK8" s="185" t="inlineStr">
        <is>
          <t>2026-04-28</t>
        </is>
      </c>
      <c r="FL8" s="178" t="n"/>
      <c r="FM8" s="176" t="n"/>
      <c r="FN8" s="176" t="n"/>
      <c r="FO8" s="176" t="n"/>
      <c r="FP8" s="176" t="n"/>
      <c r="FQ8" s="176" t="n">
        <v>-0.020144</v>
      </c>
      <c r="FR8" s="179" t="n">
        <v>0.9716</v>
      </c>
      <c r="FS8" s="176" t="n">
        <v>-0.152518</v>
      </c>
      <c r="FT8" s="179" t="n">
        <v>0.8592</v>
      </c>
      <c r="FU8" s="176" t="n">
        <v>-0.238129</v>
      </c>
      <c r="FV8" s="179" t="n">
        <v>0.773</v>
      </c>
      <c r="FW8" s="179" t="n">
        <v>0.7774</v>
      </c>
      <c r="FX8" s="178" t="n">
        <v>32148467.74</v>
      </c>
      <c r="FY8" s="186" t="n"/>
      <c r="FZ8" s="183" t="n"/>
      <c r="GA8" s="176" t="n"/>
      <c r="GB8" s="176" t="n"/>
      <c r="GC8" s="185" t="inlineStr">
        <is>
          <t>2026-10-29</t>
        </is>
      </c>
      <c r="GD8" s="185" t="inlineStr">
        <is>
          <t>2027-04-28</t>
        </is>
      </c>
      <c r="GE8" s="176" t="n"/>
      <c r="GF8" s="176" t="n"/>
      <c r="GG8" s="179" t="n"/>
      <c r="GH8" s="181" t="inlineStr">
        <is>
          <t>CICC</t>
        </is>
      </c>
      <c r="GI8" s="183" t="n">
        <v>2</v>
      </c>
      <c r="GJ8" s="183" t="n">
        <v>0</v>
      </c>
      <c r="GK8" s="176" t="n">
        <v>0.025</v>
      </c>
      <c r="GL8" s="176" t="n">
        <v>0.01</v>
      </c>
      <c r="GM8" s="176" t="n">
        <v>0.035</v>
      </c>
      <c r="GN8" s="183" t="n"/>
      <c r="GO8" s="183" t="n">
        <v>0</v>
      </c>
      <c r="GP8" s="183" t="n">
        <v>0</v>
      </c>
      <c r="GQ8" s="183" t="n">
        <v>6</v>
      </c>
      <c r="GR8" s="183" t="n">
        <v>0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48</v>
      </c>
      <c r="B9" s="47" t="inlineStr">
        <is>
          <t>6810.HK</t>
        </is>
      </c>
      <c r="C9" s="44" t="inlineStr">
        <is>
          <t>Shanghai Sunmi Technology Co., Ltd. - W - H Shares</t>
        </is>
      </c>
      <c r="D9" s="189" t="n">
        <v>46133</v>
      </c>
      <c r="E9" s="189" t="n">
        <v>46141</v>
      </c>
      <c r="F9" s="43" t="inlineStr">
        <is>
          <t>Deutsche Securities Asia Limited / 
CITIC Securities (Hong Kong) Limited / 
ABCI Capital Limited</t>
        </is>
      </c>
      <c r="G9" s="43" t="inlineStr">
        <is>
          <t>Deloitte Touche Tohmatsu</t>
        </is>
      </c>
      <c r="H9" s="43" t="n"/>
      <c r="I9" s="131" t="n">
        <v>105970722</v>
      </c>
      <c r="J9" s="148" t="n">
        <v>953731526</v>
      </c>
      <c r="K9" s="133" t="n">
        <v>24.86</v>
      </c>
      <c r="L9" t="n">
        <v>402626800</v>
      </c>
      <c r="M9" s="67" t="n">
        <v>42626800</v>
      </c>
      <c r="N9" t="n">
        <v>360000000</v>
      </c>
      <c r="O9" t="n">
        <v>360000000</v>
      </c>
      <c r="P9" t="n">
        <v>0</v>
      </c>
      <c r="Q9" t="n">
        <v>42626800</v>
      </c>
      <c r="R9" s="67" t="n">
        <v>38364100</v>
      </c>
      <c r="S9" s="67" t="n">
        <v>4262700</v>
      </c>
      <c r="T9" s="147" t="n">
        <v>24.86</v>
      </c>
      <c r="U9" s="147" t="n">
        <v>24.86</v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3461520000</v>
      </c>
      <c r="AA9" s="137" t="n">
        <v>4403272000</v>
      </c>
      <c r="AB9" s="137" t="n">
        <v>5352419000</v>
      </c>
      <c r="AC9" s="137" t="n">
        <v>1775520000</v>
      </c>
      <c r="AD9" s="137" t="n">
        <v>1839747000</v>
      </c>
      <c r="AE9" s="137" t="n">
        <v>2092497000</v>
      </c>
      <c r="AF9" s="137" t="n">
        <v>1686000000</v>
      </c>
      <c r="AG9" s="137" t="n">
        <v>2563525000</v>
      </c>
      <c r="AH9" s="137" t="n">
        <v>3259922000</v>
      </c>
      <c r="AI9" s="137" t="n">
        <v>3070569000</v>
      </c>
      <c r="AJ9" s="137" t="n">
        <v>3456377000</v>
      </c>
      <c r="AK9" s="137" t="n">
        <v>3811858000</v>
      </c>
      <c r="AL9" s="137" t="n">
        <v>100315000</v>
      </c>
      <c r="AM9" s="137" t="n">
        <v>207209000</v>
      </c>
      <c r="AN9" s="137" t="n">
        <v>237571000</v>
      </c>
      <c r="AO9" s="137" t="n">
        <v>101228000</v>
      </c>
      <c r="AP9" s="137" t="n">
        <v>181043000</v>
      </c>
      <c r="AQ9" s="137" t="n">
        <v>222601000</v>
      </c>
      <c r="AR9" s="142" t="n">
        <v>0.0275</v>
      </c>
      <c r="AS9" s="142" t="n">
        <v>0.0275</v>
      </c>
      <c r="AT9" s="84" t="inlineStr">
        <is>
          <t>NaN</t>
        </is>
      </c>
      <c r="AU9" s="51" t="inlineStr">
        <is>
          <t>Business Internet of Things (BIoT) solution provider</t>
        </is>
      </c>
      <c r="AV9" s="51" t="inlineStr">
        <is>
          <t>Main Board — PRC issuer (Chapter 19A) with WVR structure (Chapter 8A); eligibility under Rule 8.05/8A.06</t>
        </is>
      </c>
      <c r="AW9" s="136" t="n">
        <v>46022</v>
      </c>
      <c r="AX9" s="137" t="n">
        <v>209814000</v>
      </c>
      <c r="AY9" s="117" t="n">
        <v>1470895000</v>
      </c>
      <c r="AZ9" s="117" t="n">
        <v>422767000</v>
      </c>
      <c r="BA9" s="117" t="n">
        <v>0</v>
      </c>
      <c r="BB9" s="138" t="n">
        <v>0.38</v>
      </c>
      <c r="BC9" s="139" t="n">
        <v>1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n">
        <v>1</v>
      </c>
      <c r="BJ9" s="162" t="inlineStr">
        <is>
          <t>Baolong Investment; Shenzhen Capital Group; Jinxing Venture; Hantao Consulting; Guangyi Investment; Yunxin Venture; Nongyin Wenying; Shanshang Investment</t>
        </is>
      </c>
      <c r="BK9" s="163" t="n">
        <v>0.5713</v>
      </c>
      <c r="BL9" s="161" t="n">
        <v>1</v>
      </c>
      <c r="BM9" s="164" t="inlineStr">
        <is>
          <t>Baolong Investment (January 26, 2014)</t>
        </is>
      </c>
      <c r="BN9" s="165" t="n">
        <v>12.23</v>
      </c>
      <c r="BO9" s="51" t="inlineStr">
        <is>
          <t>Individual / natural person (Mr. Lin Zhe)</t>
        </is>
      </c>
      <c r="BP9" s="135" t="n">
        <v>0.3473</v>
      </c>
      <c r="BQ9" s="135" t="n">
        <v>0.7963</v>
      </c>
      <c r="BR9" s="137" t="n">
        <v>1509788000</v>
      </c>
      <c r="BS9" s="51" t="inlineStr">
        <is>
          <t>Large-scale commercialization (mass production, revenue-generating)</t>
        </is>
      </c>
      <c r="BT9" s="142" t="n">
        <v>0</v>
      </c>
      <c r="BU9" s="60" t="inlineStr">
        <is>
          <t>Main Board</t>
        </is>
      </c>
      <c r="BV9" s="89" t="inlineStr">
        <is>
          <t>H Shares (Class B Ordinary Shares)</t>
        </is>
      </c>
      <c r="BW9" s="61" t="n">
        <v>0</v>
      </c>
      <c r="BX9" s="77" t="n">
        <v>1</v>
      </c>
      <c r="BY9" s="77" t="n">
        <v>0</v>
      </c>
      <c r="BZ9" s="78" t="n">
        <v>0</v>
      </c>
      <c r="CA9" s="60" t="inlineStr">
        <is>
          <t>701020</t>
        </is>
      </c>
      <c r="CB9" s="76" t="inlineStr">
        <is>
          <t>HSICS (Hang Seng Industry Classification System) 2026</t>
        </is>
      </c>
      <c r="CC9" s="140" t="n">
        <v>41619</v>
      </c>
      <c r="CD9" s="171" t="n">
        <v>12.38</v>
      </c>
      <c r="CE9" s="76" t="inlineStr">
        <is>
          <t>NA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3811858000</v>
      </c>
      <c r="CO9" s="64" t="n">
        <v>237571000</v>
      </c>
      <c r="CP9" s="64" t="n">
        <v>222601000</v>
      </c>
      <c r="CQ9" s="141" t="n">
        <v>46133</v>
      </c>
      <c r="CR9" s="141" t="n">
        <v>46136</v>
      </c>
      <c r="CS9" s="63" t="n">
        <v>304042524</v>
      </c>
      <c r="CT9" s="64" t="n">
        <v>1192946000</v>
      </c>
      <c r="CU9" s="64" t="n">
        <v>66379000</v>
      </c>
      <c r="CV9" s="59" t="inlineStr">
        <is>
          <t>Unqualified opinion (true and fair view)</t>
        </is>
      </c>
      <c r="CW9" s="64" t="n">
        <v>150980000</v>
      </c>
      <c r="CX9" s="51" t="inlineStr">
        <is>
          <t>China Orient Enhanced Income Fund; XINWUTANG CO., LIMITED</t>
        </is>
      </c>
      <c r="CY9" s="142" t="n">
        <v>0.2703</v>
      </c>
      <c r="CZ9" s="136" t="n">
        <v>46324</v>
      </c>
      <c r="DA9" s="143" t="n">
        <v>2003.16</v>
      </c>
      <c r="DB9" s="63" t="n">
        <v>204939</v>
      </c>
      <c r="DC9" s="63" t="n">
        <v>8538879300</v>
      </c>
      <c r="DD9" s="59" t="inlineStr">
        <is>
          <t>Subscription level 2,003.16 times</t>
        </is>
      </c>
      <c r="DE9" s="141" t="inlineStr">
        <is>
          <t>NA</t>
        </is>
      </c>
      <c r="DF9" s="141" t="n">
        <v>46140</v>
      </c>
      <c r="DG9" s="63" t="n">
        <v>42626800</v>
      </c>
      <c r="DH9" s="63" t="n">
        <v>4262700</v>
      </c>
      <c r="DI9" s="63" t="n">
        <v>38364100</v>
      </c>
      <c r="DJ9" s="63" t="n">
        <v>0</v>
      </c>
      <c r="DK9" s="169" t="n">
        <v>0</v>
      </c>
      <c r="DL9" s="59" t="inlineStr">
        <is>
          <t>No claw-back triggered (Claw-back triggered: N/A); no Offer Shares reallocated from the International Offering to the Hong Kong Public Offering (N/A); final Hong Kong Public Offering remains 4,262,700 H Shares, being 10.00% of the Global Offering</t>
        </is>
      </c>
      <c r="DM9" s="144" t="n">
        <v>922000000</v>
      </c>
      <c r="DN9" s="142" t="n">
        <v>0.5414</v>
      </c>
      <c r="DO9" s="51" t="n">
        <v>304042524</v>
      </c>
      <c r="DP9" s="142" t="n">
        <v>0.1023</v>
      </c>
      <c r="DQ9" s="59" t="inlineStr">
        <is>
          <t>Free float denominator = total number of H Shares of the Company upon Listing (304,042,524); numerator = Global Offering Offer Shares (42,626,800) minus Cornerstone Investor allocation (11,520,800) = 31,106,000 H Shares. H Shares held by Cornerstone Investors (6-month lock-up) and all Shares subject to the PRC Company Law one-year transfer restriction are excluded from the free float.</t>
        </is>
      </c>
      <c r="DR9" s="63" t="n">
        <v>304042524</v>
      </c>
      <c r="DS9" s="142" t="n">
        <v>0.01289701</v>
      </c>
      <c r="DT9" s="80" t="n">
        <v>31</v>
      </c>
      <c r="DU9" s="142" t="n">
        <v>0.0243577</v>
      </c>
      <c r="DV9" s="144" t="n">
        <v>53904000000</v>
      </c>
      <c r="DW9" s="145" t="n">
        <v>84.8</v>
      </c>
      <c r="DX9" s="169" t="n">
        <v>2.411102</v>
      </c>
      <c r="DY9" s="172" t="n">
        <v>2555050392</v>
      </c>
      <c r="DZ9" s="146" t="n">
        <v>97.5</v>
      </c>
      <c r="EA9" s="146" t="n">
        <v>99.8</v>
      </c>
      <c r="EB9" s="146" t="n">
        <v>80.65000000000001</v>
      </c>
      <c r="EC9" s="63" t="n">
        <v>11753398</v>
      </c>
      <c r="ED9" s="169" t="n">
        <v>0.275728</v>
      </c>
      <c r="EE9" s="64" t="n">
        <v>1092451900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上海商米科技集团股份有限公司</t>
        </is>
      </c>
      <c r="EI9" s="174" t="inlineStr">
        <is>
          <t>Active</t>
        </is>
      </c>
      <c r="EJ9" s="175" t="n">
        <v>74</v>
      </c>
      <c r="EK9" s="176" t="n">
        <v>-0.127358</v>
      </c>
      <c r="EL9" s="176" t="n">
        <v>1.976669</v>
      </c>
      <c r="EM9" s="176" t="n">
        <v>-0.042344</v>
      </c>
      <c r="EN9" s="176" t="n">
        <v>-0.004367</v>
      </c>
      <c r="EO9" s="179" t="n">
        <v>0.9112</v>
      </c>
      <c r="EP9" s="179" t="n">
        <v>0.8764999999999999</v>
      </c>
      <c r="EQ9" s="178" t="n">
        <v>81057920</v>
      </c>
      <c r="ER9" s="175" t="n"/>
      <c r="ES9" s="176" t="n"/>
      <c r="ET9" s="176" t="n"/>
      <c r="EU9" s="176" t="n"/>
      <c r="EV9" s="176" t="n"/>
      <c r="EW9" s="179" t="n"/>
      <c r="EX9" s="179" t="n"/>
      <c r="EY9" s="178" t="n"/>
      <c r="EZ9" s="176" t="n"/>
      <c r="FA9" s="176" t="n"/>
      <c r="FB9" s="179" t="n"/>
      <c r="FC9" s="176" t="n"/>
      <c r="FD9" s="179" t="n"/>
      <c r="FE9" s="174" t="inlineStr">
        <is>
          <t>Standard</t>
        </is>
      </c>
      <c r="FF9" s="181" t="n"/>
      <c r="FG9" s="185" t="n"/>
      <c r="FH9" s="183" t="n"/>
      <c r="FI9" s="178" t="n"/>
      <c r="FJ9" s="176" t="n">
        <v>0.5414</v>
      </c>
      <c r="FK9" s="185" t="inlineStr">
        <is>
          <t>2026-04-29</t>
        </is>
      </c>
      <c r="FL9" s="178" t="n"/>
      <c r="FM9" s="176" t="n"/>
      <c r="FN9" s="176" t="n"/>
      <c r="FO9" s="176" t="n"/>
      <c r="FP9" s="176" t="n"/>
      <c r="FQ9" s="176" t="n">
        <v>-0.08844299999999999</v>
      </c>
      <c r="FR9" s="179" t="n">
        <v>0.908</v>
      </c>
      <c r="FS9" s="176" t="n">
        <v>-0.127358</v>
      </c>
      <c r="FT9" s="179" t="n">
        <v>0.9112</v>
      </c>
      <c r="FU9" s="176" t="n">
        <v>-0.330189</v>
      </c>
      <c r="FV9" s="179" t="n">
        <v>0.6777</v>
      </c>
      <c r="FW9" s="179" t="n">
        <v>0.676</v>
      </c>
      <c r="FX9" s="178" t="n">
        <v>49484266.13</v>
      </c>
      <c r="FY9" s="186" t="n"/>
      <c r="FZ9" s="183" t="n"/>
      <c r="GA9" s="176" t="n"/>
      <c r="GB9" s="176" t="n"/>
      <c r="GC9" s="185" t="inlineStr">
        <is>
          <t>2026-10-30</t>
        </is>
      </c>
      <c r="GD9" s="185" t="inlineStr">
        <is>
          <t>2027-04-29</t>
        </is>
      </c>
      <c r="GE9" s="176" t="n"/>
      <c r="GF9" s="176" t="n"/>
      <c r="GG9" s="179" t="n"/>
      <c r="GH9" s="181" t="inlineStr">
        <is>
          <t>CICC</t>
        </is>
      </c>
      <c r="GI9" s="183" t="n">
        <v>2</v>
      </c>
      <c r="GJ9" s="183" t="n">
        <v>0</v>
      </c>
      <c r="GK9" s="176" t="n">
        <v>0.025</v>
      </c>
      <c r="GL9" s="176" t="n">
        <v>0.01</v>
      </c>
      <c r="GM9" s="176" t="n">
        <v>0.035</v>
      </c>
      <c r="GN9" s="183" t="n"/>
      <c r="GO9" s="183" t="n">
        <v>0</v>
      </c>
      <c r="GP9" s="183" t="n">
        <v>0</v>
      </c>
      <c r="GQ9" s="183" t="n">
        <v>6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49</v>
      </c>
      <c r="B10" s="47" t="inlineStr">
        <is>
          <t>1609.HK</t>
        </is>
      </c>
      <c r="C10" s="44" t="inlineStr">
        <is>
          <t>Star Sports Medicine Co., Ltd. - H Shares</t>
        </is>
      </c>
      <c r="D10" s="189" t="n">
        <v>46136</v>
      </c>
      <c r="E10" s="189" t="n">
        <v>46147</v>
      </c>
      <c r="F10" s="43" t="inlineStr">
        <is>
          <t>CITIC Securities (Hong Kong) Limited / 
CCB International Capital Limited</t>
        </is>
      </c>
      <c r="G10" s="43" t="inlineStr">
        <is>
          <t>Ernst &amp; Young</t>
        </is>
      </c>
      <c r="H10" s="43" t="n"/>
      <c r="I10" s="131" t="n">
        <v>82956700</v>
      </c>
      <c r="J10" s="148" t="n">
        <v>746595525</v>
      </c>
      <c r="K10" s="133" t="n">
        <v>98.5</v>
      </c>
      <c r="L10" t="n">
        <v>54831344</v>
      </c>
      <c r="M10" s="67" t="n">
        <v>8421850</v>
      </c>
      <c r="N10" t="n">
        <v>46409494</v>
      </c>
      <c r="O10" t="n">
        <v>46409494</v>
      </c>
      <c r="P10" t="n">
        <v>0</v>
      </c>
      <c r="Q10" t="n">
        <v>8421850</v>
      </c>
      <c r="R10" s="67" t="n">
        <v>7579650</v>
      </c>
      <c r="S10" s="67" t="n">
        <v>842200</v>
      </c>
      <c r="T10" s="147" t="n">
        <v>98.5</v>
      </c>
      <c r="U10" s="147" t="n">
        <v>98.5</v>
      </c>
      <c r="V10" s="169" t="n">
        <v>0</v>
      </c>
      <c r="W10" s="169" t="n">
        <v>0</v>
      </c>
      <c r="X10" s="170" t="inlineStr">
        <is>
          <t>Fixed price</t>
        </is>
      </c>
      <c r="Y10" s="26" t="inlineStr">
        <is>
          <t>RMB</t>
        </is>
      </c>
      <c r="Z10" s="137" t="n">
        <v>451278000</v>
      </c>
      <c r="AA10" s="137" t="n">
        <v>617334000</v>
      </c>
      <c r="AB10" s="137" t="n">
        <v>764081000</v>
      </c>
      <c r="AC10" s="137" t="n">
        <v>374768000</v>
      </c>
      <c r="AD10" s="137" t="n">
        <v>471240000</v>
      </c>
      <c r="AE10" s="137" t="n">
        <v>609417000</v>
      </c>
      <c r="AF10" s="137" t="n">
        <v>76510000</v>
      </c>
      <c r="AG10" s="137" t="n">
        <v>146094000</v>
      </c>
      <c r="AH10" s="137" t="n">
        <v>154664000</v>
      </c>
      <c r="AI10" s="137" t="n">
        <v>238542000</v>
      </c>
      <c r="AJ10" s="137" t="n">
        <v>327119000</v>
      </c>
      <c r="AK10" s="137" t="n">
        <v>402751000</v>
      </c>
      <c r="AL10" s="137" t="n">
        <v>64322000</v>
      </c>
      <c r="AM10" s="137" t="n">
        <v>107568000</v>
      </c>
      <c r="AN10" s="137" t="n">
        <v>154168000</v>
      </c>
      <c r="AO10" s="137" t="n">
        <v>57112000</v>
      </c>
      <c r="AP10" s="137" t="n">
        <v>95389000</v>
      </c>
      <c r="AQ10" s="137" t="n">
        <v>136970000</v>
      </c>
      <c r="AR10" s="142" t="n">
        <v>0.03</v>
      </c>
      <c r="AS10" s="142" t="n">
        <v>0.03</v>
      </c>
      <c r="AT10" s="84" t="n">
        <v>0</v>
      </c>
      <c r="AU10" s="51" t="inlineStr">
        <is>
          <t>Medical devices - sports medicine implants, surgical equipment and associated medical consumables</t>
        </is>
      </c>
      <c r="AV10" s="51" t="inlineStr">
        <is>
          <t>Main Board</t>
        </is>
      </c>
      <c r="AW10" s="136" t="n">
        <v>46022</v>
      </c>
      <c r="AX10" s="137" t="n">
        <v>157116000</v>
      </c>
      <c r="AY10" s="117" t="n">
        <v>116846000</v>
      </c>
      <c r="AZ10" s="117" t="n">
        <v>47503000</v>
      </c>
      <c r="BA10" s="117" t="n">
        <v>0</v>
      </c>
      <c r="BB10" s="138" t="n">
        <v>0.577</v>
      </c>
      <c r="BC10" s="139" t="n">
        <v>1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inlineStr">
        <is>
          <t>NaN</t>
        </is>
      </c>
      <c r="BI10" s="161" t="n">
        <v>1</v>
      </c>
      <c r="BJ10" s="162" t="inlineStr">
        <is>
          <t>BEST ALIVE LIMITED; Suzhou Junlian Xinkang Venture Investment (Limited Partnership); Xiamen Defu Yuean Investment Partnership Enterprise (Limited Partnership); Ningbo Meishan Bonded Port Qianyi Equity Investment Partnership Enterprise (Limited Partnership); OAP IV (HK) Limited; 3W Rivus Fund; Beijing Yahui Jinlin Venture Capital Partnership (Limited Partnership); Beijing Jianxing Healthcare Industry Equity Investment Partnership (Limited Partnership); Galaxy Yuanhui Investment Co., Ltd; Langma No. 61 (Shenzhen) Entrepreneurship Investment Center (Limited Partnership); Langma No. 62 (Shenzhen) Entrepreneurship Investment Center (Limited Partnership); Ningbo Xianda Venture Investment Partnership Enterprise (Limited Partnership); Taizhou Sida Venture Capital Partnership (Limited Partnership); Khorgos Dadao Venture Capital Co., Ltd.</t>
        </is>
      </c>
      <c r="BK10" s="163" t="n">
        <v>0.5362</v>
      </c>
      <c r="BL10" s="161" t="n">
        <v>1</v>
      </c>
      <c r="BM10" s="164" t="inlineStr">
        <is>
          <t>Series A</t>
        </is>
      </c>
      <c r="BN10" s="165" t="n">
        <v>6.08</v>
      </c>
      <c r="BO10" s="51" t="inlineStr">
        <is>
          <t>Individual (Mr. Dong Wenxing)</t>
        </is>
      </c>
      <c r="BP10" s="135" t="n">
        <v>0.351</v>
      </c>
      <c r="BQ10" s="135" t="n">
        <v>0.351</v>
      </c>
      <c r="BR10" s="137" t="n">
        <v>32624000</v>
      </c>
      <c r="BS10" s="51" t="inlineStr">
        <is>
          <t>Commercialized</t>
        </is>
      </c>
      <c r="BT10" s="142" t="n">
        <v>0</v>
      </c>
      <c r="BU10" s="60" t="inlineStr">
        <is>
          <t>Main Board</t>
        </is>
      </c>
      <c r="BV10" s="89" t="inlineStr">
        <is>
          <t>H Shares (ordinary shares)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282010</t>
        </is>
      </c>
      <c r="CB10" s="76" t="inlineStr">
        <is>
          <t>HSICS (Hang Seng Industry Classification System) 2026</t>
        </is>
      </c>
      <c r="CC10" s="140" t="n">
        <v>42947</v>
      </c>
      <c r="CD10" s="171" t="n">
        <v>8.76</v>
      </c>
      <c r="CE10" s="76" t="inlineStr">
        <is>
          <t>NA</t>
        </is>
      </c>
      <c r="CF10" s="89" t="inlineStr">
        <is>
          <t>Beijing, PRC</t>
        </is>
      </c>
      <c r="CG10" s="91" t="n">
        <v>1000</v>
      </c>
      <c r="CH10" s="60" t="inlineStr">
        <is>
          <t>IFRS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402751000</v>
      </c>
      <c r="CO10" s="64" t="n">
        <v>154168000</v>
      </c>
      <c r="CP10" s="64" t="n">
        <v>136970000</v>
      </c>
      <c r="CQ10" s="141" t="n">
        <v>46136</v>
      </c>
      <c r="CR10" s="141" t="n">
        <v>46141</v>
      </c>
      <c r="CS10" s="63" t="n">
        <v>54831344</v>
      </c>
      <c r="CT10" s="64" t="n">
        <v>298619000</v>
      </c>
      <c r="CU10" s="64" t="n">
        <v>34235000</v>
      </c>
      <c r="CV10" s="59" t="inlineStr">
        <is>
          <t>True and fair view (unqualified opinion)</t>
        </is>
      </c>
      <c r="CW10" s="64" t="n">
        <v>71200000</v>
      </c>
      <c r="CX10" s="51" t="inlineStr">
        <is>
          <t>JSC International Investment Fund SPC - Shenghai SP; OAP IV (HK) Limited; Greater Bay Area Development Fund Management Limited (for the Managed Account of Mega Prime Development Limited); Greater Bay Area Development Fund Management Limited (for the Managed Account of Poly Platinum Enterprises Limited)</t>
        </is>
      </c>
      <c r="CY10" s="142" t="n">
        <v>0.3471</v>
      </c>
      <c r="CZ10" s="136" t="n">
        <v>46331</v>
      </c>
      <c r="DA10" s="143" t="n">
        <v>7823.13</v>
      </c>
      <c r="DB10" s="63" t="n">
        <v>300735</v>
      </c>
      <c r="DC10" s="63" t="n">
        <v>6588640500</v>
      </c>
      <c r="DD10" s="59" t="inlineStr">
        <is>
          <t>Subscription level 7,823.13 times</t>
        </is>
      </c>
      <c r="DE10" s="141" t="inlineStr">
        <is>
          <t>NA</t>
        </is>
      </c>
      <c r="DF10" s="141" t="n">
        <v>46146</v>
      </c>
      <c r="DG10" s="63" t="n">
        <v>8421850</v>
      </c>
      <c r="DH10" s="63" t="n">
        <v>842200</v>
      </c>
      <c r="DI10" s="63" t="n">
        <v>7579650</v>
      </c>
      <c r="DJ10" s="63" t="n">
        <v>0</v>
      </c>
      <c r="DK10" s="169" t="n">
        <v>0</v>
      </c>
      <c r="DL10" s="59" t="inlineStr">
        <is>
          <t>No clawback/reallocation: Claw-back triggered N/A; no Offer Shares reallocated from the International Offering; final Hong Kong Public Offering size 842,200 (10.00% of the Global Offering); International Offering retained 7,579,650 (90.00%).</t>
        </is>
      </c>
      <c r="DM10" s="144" t="n">
        <v>758400000</v>
      </c>
      <c r="DN10" s="142" t="n">
        <v>0.5212</v>
      </c>
      <c r="DO10" s="51" t="n">
        <v>54831344</v>
      </c>
      <c r="DP10" s="142" t="n">
        <v>0.1003</v>
      </c>
      <c r="DQ10" s="59" t="inlineStr">
        <is>
          <t>Free float numerator = Global Offering Shares (col_CS) less cornerstone allocation (col_CK x col_CS) = 8,421,850 - 2,922,900 = 5,498,950 H Shares not subject to disposal restrictions; denominator = total issued Shares upon Listing (54,831,344). Excludes Controlling Shareholders and Pre-IPO Investors (12-month PRC lock-up) and Cornerstone Investors (6-month lock-up).</t>
        </is>
      </c>
      <c r="DR10" s="63" t="n">
        <v>54831344</v>
      </c>
      <c r="DS10" s="142" t="n">
        <v>0.06286187999999999</v>
      </c>
      <c r="DT10" s="80" t="n">
        <v>32</v>
      </c>
      <c r="DU10" s="142" t="n">
        <v>0.0248577</v>
      </c>
      <c r="DV10" s="144" t="n">
        <v>53828000000</v>
      </c>
      <c r="DW10" s="145" t="n">
        <v>215</v>
      </c>
      <c r="DX10" s="169" t="n">
        <v>1.182741</v>
      </c>
      <c r="DY10" s="172" t="n">
        <v>981145525</v>
      </c>
      <c r="DZ10" s="146" t="n">
        <v>288</v>
      </c>
      <c r="EA10" s="146" t="n">
        <v>299</v>
      </c>
      <c r="EB10" s="146" t="n">
        <v>202</v>
      </c>
      <c r="EC10" s="63" t="n">
        <v>3241729</v>
      </c>
      <c r="ED10" s="169" t="n">
        <v>0.384919</v>
      </c>
      <c r="EE10" s="64" t="n">
        <v>917980200</v>
      </c>
      <c r="EF10" s="60" t="inlineStr">
        <is>
          <t>Mechanism A</t>
        </is>
      </c>
      <c r="EG10" s="59" t="inlineStr">
        <is>
          <t>FINI (from 22/11/2023); 2025-08-04 pricing reform (Mechanism A/B; six-month cornerstone lock-up retained); this IPO: Mechanism A</t>
        </is>
      </c>
      <c r="EH10" t="inlineStr">
        <is>
          <t>北京天星医疗股份有限公司</t>
        </is>
      </c>
      <c r="EI10" s="174" t="inlineStr">
        <is>
          <t>Active</t>
        </is>
      </c>
      <c r="EJ10" s="175" t="n">
        <v>194.4</v>
      </c>
      <c r="EK10" s="176" t="n">
        <v>-0.095814</v>
      </c>
      <c r="EL10" s="176" t="n">
        <v>0.973604</v>
      </c>
      <c r="EM10" s="176" t="n">
        <v>0.005395</v>
      </c>
      <c r="EN10" s="176" t="n">
        <v>0.054689</v>
      </c>
      <c r="EO10" s="179" t="n">
        <v>0.8993</v>
      </c>
      <c r="EP10" s="179" t="n">
        <v>0.8573</v>
      </c>
      <c r="EQ10" s="178" t="n">
        <v>68730765</v>
      </c>
      <c r="ER10" s="175" t="n"/>
      <c r="ES10" s="176" t="n"/>
      <c r="ET10" s="176" t="n"/>
      <c r="EU10" s="176" t="n"/>
      <c r="EV10" s="176" t="n"/>
      <c r="EW10" s="179" t="n"/>
      <c r="EX10" s="179" t="n"/>
      <c r="EY10" s="178" t="n"/>
      <c r="EZ10" s="176" t="n"/>
      <c r="FA10" s="176" t="n"/>
      <c r="FB10" s="179" t="n"/>
      <c r="FC10" s="176" t="n"/>
      <c r="FD10" s="179" t="n"/>
      <c r="FE10" s="174" t="inlineStr">
        <is>
          <t>Standard</t>
        </is>
      </c>
      <c r="FF10" s="181" t="n"/>
      <c r="FG10" s="185" t="n"/>
      <c r="FH10" s="183" t="n"/>
      <c r="FI10" s="178" t="n"/>
      <c r="FJ10" s="176" t="n"/>
      <c r="FK10" s="185" t="inlineStr">
        <is>
          <t>2026-05-05</t>
        </is>
      </c>
      <c r="FL10" s="178" t="n"/>
      <c r="FM10" s="176" t="n"/>
      <c r="FN10" s="176" t="n"/>
      <c r="FO10" s="176" t="n"/>
      <c r="FP10" s="176" t="n"/>
      <c r="FQ10" s="176" t="n">
        <v>-0.06511599999999999</v>
      </c>
      <c r="FR10" s="179" t="n">
        <v>0.9169</v>
      </c>
      <c r="FS10" s="176" t="n">
        <v>-0.095814</v>
      </c>
      <c r="FT10" s="179" t="n">
        <v>0.8993</v>
      </c>
      <c r="FU10" s="176" t="n">
        <v>-0.42093</v>
      </c>
      <c r="FV10" s="179" t="n">
        <v>0.5787</v>
      </c>
      <c r="FW10" s="179" t="n">
        <v>0.5787</v>
      </c>
      <c r="FX10" s="178" t="n">
        <v>27078337.5</v>
      </c>
      <c r="FY10" s="186" t="n"/>
      <c r="FZ10" s="183" t="n"/>
      <c r="GA10" s="176" t="n"/>
      <c r="GB10" s="176" t="n"/>
      <c r="GC10" s="185" t="inlineStr">
        <is>
          <t>2026-11-06</t>
        </is>
      </c>
      <c r="GD10" s="185" t="inlineStr">
        <is>
          <t>2027-05-05</t>
        </is>
      </c>
      <c r="GE10" s="176" t="n"/>
      <c r="GF10" s="176" t="n"/>
      <c r="GG10" s="179" t="n"/>
      <c r="GH10" s="181" t="inlineStr">
        <is>
          <t>CICC</t>
        </is>
      </c>
      <c r="GI10" s="183" t="n">
        <v>2</v>
      </c>
      <c r="GJ10" s="183" t="n">
        <v>0</v>
      </c>
      <c r="GK10" s="176" t="n">
        <v>0.025</v>
      </c>
      <c r="GL10" s="176" t="n">
        <v>0.01</v>
      </c>
      <c r="GM10" s="176" t="n">
        <v>0.035</v>
      </c>
      <c r="GN10" s="183" t="n"/>
      <c r="GO10" s="183" t="n">
        <v>0</v>
      </c>
      <c r="GP10" s="183" t="n">
        <v>0</v>
      </c>
      <c r="GQ10" s="183" t="n">
        <v>6</v>
      </c>
      <c r="GR10" s="183" t="n">
        <v>0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50</v>
      </c>
      <c r="B11" s="47" t="inlineStr">
        <is>
          <t>1187.HK</t>
        </is>
      </c>
      <c r="C11" s="44" t="inlineStr">
        <is>
          <t>Cofoe Medical Technology Co., Ltd. - H Shares</t>
        </is>
      </c>
      <c r="D11" s="189" t="n">
        <v>46139</v>
      </c>
      <c r="E11" s="189" t="n">
        <v>46148</v>
      </c>
      <c r="F11" s="43" t="inlineStr">
        <is>
          <t>Huatai Financial Holdings (Hong Kong) Limited /
BNP Paribas Securities (Asia) Limited</t>
        </is>
      </c>
      <c r="G11" s="43" t="inlineStr">
        <is>
          <t>Ernst &amp; Young</t>
        </is>
      </c>
      <c r="H11" s="43" t="n"/>
      <c r="I11" s="131" t="n">
        <v>106191000</v>
      </c>
      <c r="J11" s="148" t="n">
        <v>955719000</v>
      </c>
      <c r="K11" s="133" t="n">
        <v>39.33</v>
      </c>
      <c r="L11" t="n">
        <v>235897000</v>
      </c>
      <c r="M11" s="67" t="n">
        <v>27000000</v>
      </c>
      <c r="N11" t="n">
        <v>208897000</v>
      </c>
      <c r="O11" t="n">
        <v>208897000</v>
      </c>
      <c r="P11" t="n">
        <v>0</v>
      </c>
      <c r="Q11" t="n">
        <v>27000000</v>
      </c>
      <c r="R11" s="67" t="n">
        <v>24300000</v>
      </c>
      <c r="S11" s="67" t="n">
        <v>2700000</v>
      </c>
      <c r="T11" s="147" t="n">
        <v>39.33</v>
      </c>
      <c r="U11" s="147" t="inlineStr">
        <is>
          <t>NaN</t>
        </is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6244191000</v>
      </c>
      <c r="AA11" s="137" t="n">
        <v>6422667000</v>
      </c>
      <c r="AB11" s="137" t="n">
        <v>6628916000</v>
      </c>
      <c r="AC11" s="137" t="n">
        <v>4908194000</v>
      </c>
      <c r="AD11" s="137" t="n">
        <v>4802350000</v>
      </c>
      <c r="AE11" s="137" t="n">
        <v>4902889000</v>
      </c>
      <c r="AF11" s="137" t="n">
        <v>1335997000</v>
      </c>
      <c r="AG11" s="137" t="n">
        <v>1620317000</v>
      </c>
      <c r="AH11" s="137" t="n">
        <v>1726027000</v>
      </c>
      <c r="AI11" s="137" t="n">
        <v>2853695000</v>
      </c>
      <c r="AJ11" s="137" t="n">
        <v>2982931000</v>
      </c>
      <c r="AK11" s="137" t="n">
        <v>3387499000</v>
      </c>
      <c r="AL11" s="137" t="n">
        <v>285708000</v>
      </c>
      <c r="AM11" s="137" t="n">
        <v>371999000</v>
      </c>
      <c r="AN11" s="137" t="n">
        <v>425843000</v>
      </c>
      <c r="AO11" s="137" t="n">
        <v>252871000</v>
      </c>
      <c r="AP11" s="137" t="n">
        <v>312344000</v>
      </c>
      <c r="AQ11" s="137" t="n">
        <v>370316000</v>
      </c>
      <c r="AR11" s="142" t="n">
        <v>0.01</v>
      </c>
      <c r="AS11" s="142" t="n">
        <v>0.01</v>
      </c>
      <c r="AT11" s="84" t="n">
        <v>0</v>
      </c>
      <c r="AU11" s="51" t="inlineStr">
        <is>
          <t>Home care medical devices</t>
        </is>
      </c>
      <c r="AV11" s="51" t="inlineStr">
        <is>
          <t>Chapter 19A of the Listing Rules (PRC issuer with other listed shares)</t>
        </is>
      </c>
      <c r="AW11" s="136" t="n">
        <v>46022</v>
      </c>
      <c r="AX11" s="137" t="n">
        <v>695726000</v>
      </c>
      <c r="AY11" s="117" t="n">
        <v>1294575000</v>
      </c>
      <c r="AZ11" s="117" t="n">
        <v>87284000</v>
      </c>
      <c r="BA11" s="117" t="n">
        <v>11387000</v>
      </c>
      <c r="BB11" s="138" t="n">
        <v>0.361</v>
      </c>
      <c r="BC11" s="139" t="n">
        <v>1</v>
      </c>
      <c r="BD11" s="80" t="n">
        <v>1</v>
      </c>
      <c r="BE11" s="161" t="n">
        <v>1</v>
      </c>
      <c r="BF11" s="161" t="n">
        <v>1</v>
      </c>
      <c r="BG11" s="161" t="inlineStr">
        <is>
          <t>NaN</t>
        </is>
      </c>
      <c r="BH11" s="161" t="inlineStr">
        <is>
          <t>NaN</t>
        </is>
      </c>
      <c r="BI11" s="161" t="inlineStr">
        <is>
          <t>NaN</t>
        </is>
      </c>
      <c r="BJ11" s="162" t="inlineStr">
        <is>
          <t>Ningbo Huaige Gongxin Venture Capital Partnership (Limited Partnership); Guangzhou Danlu Venture Capital Fund Partnership (Limited Partnership); Xiangtan Chanxing Dingxin Private Equity Fund Enterprise (Limited Partnership); Hunan Cultural Tourist Venture Capital Fund (Limited Partnership); Changsha Yuhua Economic Development Dingxin Private Equity Fund Partnership (Limited Partnership); Hunan Bofu Cultural Industry Investment Funds (Limited Partnership)</t>
        </is>
      </c>
      <c r="BK11" s="163" t="inlineStr">
        <is>
          <t>NaN</t>
        </is>
      </c>
      <c r="BL11" s="161" t="inlineStr">
        <is>
          <t>NaN</t>
        </is>
      </c>
      <c r="BM11" s="164" t="inlineStr">
        <is>
          <t>Capital increases and transfers between 2009 and 2019</t>
        </is>
      </c>
      <c r="BN11" s="165" t="inlineStr">
        <is>
          <t>NaN</t>
        </is>
      </c>
      <c r="BO11" s="51" t="inlineStr">
        <is>
          <t>Natural persons (Mr. Zhang and Ms. Nie) and their shareholding platforms</t>
        </is>
      </c>
      <c r="BP11" s="135" t="n">
        <v>0.4783</v>
      </c>
      <c r="BQ11" s="135" t="n">
        <v>0.4782</v>
      </c>
      <c r="BR11" s="137" t="n">
        <v>826180000</v>
      </c>
      <c r="BS11" s="51" t="inlineStr">
        <is>
          <t>NA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1</v>
      </c>
      <c r="BX11" s="77" t="n">
        <v>0</v>
      </c>
      <c r="BY11" s="77" t="n">
        <v>0</v>
      </c>
      <c r="BZ11" s="78" t="n">
        <v>0</v>
      </c>
      <c r="CA11" s="60" t="inlineStr">
        <is>
          <t>282010</t>
        </is>
      </c>
      <c r="CB11" s="76" t="inlineStr">
        <is>
          <t>HSICS (Hang Seng Industry Classification System) 2026</t>
        </is>
      </c>
      <c r="CC11" s="140" t="n">
        <v>40136</v>
      </c>
      <c r="CD11" s="171" t="n">
        <v>16.46</v>
      </c>
      <c r="CE11" s="76" t="inlineStr">
        <is>
          <t>NA</t>
        </is>
      </c>
      <c r="CF11" s="89" t="inlineStr">
        <is>
          <t>No. 87, Section 1, Huanbao East Road, Yuhua District, Changsha City, Hunan Province,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3387499000</v>
      </c>
      <c r="CO11" s="64" t="n">
        <v>425843000</v>
      </c>
      <c r="CP11" s="64" t="n">
        <v>370316000</v>
      </c>
      <c r="CQ11" s="141" t="n">
        <v>46139</v>
      </c>
      <c r="CR11" s="141" t="n">
        <v>46142</v>
      </c>
      <c r="CS11" s="63" t="n">
        <v>27000000</v>
      </c>
      <c r="CT11" s="64" t="n">
        <v>1751605000</v>
      </c>
      <c r="CU11" s="64" t="n">
        <v>178100000</v>
      </c>
      <c r="CV11" s="59" t="inlineStr">
        <is>
          <t>Unqualified opinion (true and fair view)</t>
        </is>
      </c>
      <c r="CW11" s="64" t="n">
        <v>54800000</v>
      </c>
      <c r="CX11" s="51" t="inlineStr">
        <is>
          <t>Lens Technology (HK) Co., Limited; Changsha Yufeng Technology Co., Ltd.; Vision Capital Management Co., Ltd.; China Galaxy International Investment Company Limited; Panjing Harbourview Investment Fund; FR M CONSULTING CO., LTD; HongKong HQD Industry Limited; Da Cheng International Asset Management Company Limited; Sinohealth Technology Holdings Limited; ODI TRUST LIMITED; Huang Xuelin; Dai Jun'an; Lu Qinchao</t>
        </is>
      </c>
      <c r="CY11" s="142" t="n">
        <v>0.3576</v>
      </c>
      <c r="CZ11" s="136" t="n">
        <v>46332</v>
      </c>
      <c r="DA11" s="143" t="n">
        <v>399.08</v>
      </c>
      <c r="DB11" s="63" t="n">
        <v>105939</v>
      </c>
      <c r="DC11" s="63" t="n">
        <v>1077506800</v>
      </c>
      <c r="DD11" s="59" t="inlineStr">
        <is>
          <t>Subscription level 399.08 times</t>
        </is>
      </c>
      <c r="DE11" s="141" t="n">
        <v>46146</v>
      </c>
      <c r="DF11" s="141" t="n">
        <v>46147</v>
      </c>
      <c r="DG11" s="63" t="n">
        <v>27000000</v>
      </c>
      <c r="DH11" s="63" t="n">
        <v>2700000</v>
      </c>
      <c r="DI11" s="63" t="n">
        <v>24300000</v>
      </c>
      <c r="DJ11" s="63" t="n">
        <v>0</v>
      </c>
      <c r="DK11" s="169" t="n">
        <v>0</v>
      </c>
      <c r="DL11" s="59" t="inlineStr">
        <is>
          <t>No claw-back triggered (Claw-back triggered: N/A); 0 Offer Shares reallocated from the International Offering to the Hong Kong Public Offering; final HK Public Offering 2,700,000 = 10.00% of the Global Offering.</t>
        </is>
      </c>
      <c r="DM11" s="144" t="n">
        <v>1007100000</v>
      </c>
      <c r="DN11" s="142" t="n">
        <v>0.1167</v>
      </c>
      <c r="DO11" s="51" t="n">
        <v>231400869</v>
      </c>
      <c r="DP11" s="142" t="n">
        <v>0.075</v>
      </c>
      <c r="DQ11" s="59" t="inlineStr">
        <is>
          <t>Free float denominator = total issued share capital upon Listing excluding 4,496,131 A Shares repurchased as treasury shares = 235,897,000 - 4,496,131 = 231,400,869 Shares; numerator = Global Offering Offer Shares (27,000,000) minus cornerstone allocation subject to six-month lock-up (9,654,300) = 17,345,700 H Shares.</t>
        </is>
      </c>
      <c r="DR11" s="63" t="n">
        <v>231400869</v>
      </c>
      <c r="DS11" s="142" t="n">
        <v>0.03648139</v>
      </c>
      <c r="DT11" s="80" t="n">
        <v>32</v>
      </c>
      <c r="DU11" s="142" t="n">
        <v>0.0248815</v>
      </c>
      <c r="DV11" s="144" t="n">
        <v>53828000000</v>
      </c>
      <c r="DW11" s="145" t="n">
        <v>38.9</v>
      </c>
      <c r="DX11" s="169" t="n">
        <v>-0.010933</v>
      </c>
      <c r="DY11" s="172" t="n">
        <v>-11610000</v>
      </c>
      <c r="DZ11" s="146" t="n">
        <v>39.84</v>
      </c>
      <c r="EA11" s="146" t="n">
        <v>41</v>
      </c>
      <c r="EB11" s="146" t="n">
        <v>35.5</v>
      </c>
      <c r="EC11" s="63" t="n">
        <v>11185498</v>
      </c>
      <c r="ED11" s="169" t="n">
        <v>0.414278</v>
      </c>
      <c r="EE11" s="64" t="n">
        <v>428005950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可孚医疗科技股份有限公司</t>
        </is>
      </c>
      <c r="EI11" s="174" t="inlineStr">
        <is>
          <t>Active</t>
        </is>
      </c>
      <c r="EJ11" s="175" t="n">
        <v>28.905</v>
      </c>
      <c r="EK11" s="176" t="n">
        <v>-0.243424</v>
      </c>
      <c r="EL11" s="176" t="n">
        <v>-0.251695</v>
      </c>
      <c r="EM11" s="176" t="n">
        <v>-0.022147</v>
      </c>
      <c r="EN11" s="176" t="n">
        <v>0.017663</v>
      </c>
      <c r="EO11" s="179" t="n">
        <v>0.7737000000000001</v>
      </c>
      <c r="EP11" s="179" t="n">
        <v>0.7433999999999999</v>
      </c>
      <c r="EQ11" s="178" t="n">
        <v>39729359</v>
      </c>
      <c r="ER11" s="175" t="n"/>
      <c r="ES11" s="176" t="n"/>
      <c r="ET11" s="176" t="n"/>
      <c r="EU11" s="176" t="n"/>
      <c r="EV11" s="176" t="n"/>
      <c r="EW11" s="179" t="n"/>
      <c r="EX11" s="179" t="n"/>
      <c r="EY11" s="178" t="n"/>
      <c r="EZ11" s="176" t="n"/>
      <c r="FA11" s="176" t="n"/>
      <c r="FB11" s="179" t="n"/>
      <c r="FC11" s="176" t="n"/>
      <c r="FD11" s="179" t="n"/>
      <c r="FE11" s="174" t="inlineStr">
        <is>
          <t>Standard</t>
        </is>
      </c>
      <c r="FF11" s="181" t="n"/>
      <c r="FG11" s="185" t="n"/>
      <c r="FH11" s="183" t="n"/>
      <c r="FI11" s="178" t="n"/>
      <c r="FJ11" s="176" t="n"/>
      <c r="FK11" s="185" t="inlineStr">
        <is>
          <t>2026-05-06</t>
        </is>
      </c>
      <c r="FL11" s="178" t="n"/>
      <c r="FM11" s="176" t="n"/>
      <c r="FN11" s="176" t="n"/>
      <c r="FO11" s="176" t="n"/>
      <c r="FP11" s="176" t="n"/>
      <c r="FQ11" s="176" t="n">
        <v>-0.039262</v>
      </c>
      <c r="FR11" s="179" t="n">
        <v>0.9558</v>
      </c>
      <c r="FS11" s="176" t="n">
        <v>-0.243424</v>
      </c>
      <c r="FT11" s="179" t="n">
        <v>0.7737000000000001</v>
      </c>
      <c r="FU11" s="176" t="n">
        <v>-0.171182</v>
      </c>
      <c r="FV11" s="179" t="n">
        <v>0.851</v>
      </c>
      <c r="FW11" s="179" t="n">
        <v>0.8542999999999999</v>
      </c>
      <c r="FX11" s="178" t="n">
        <v>20009427.5</v>
      </c>
      <c r="FY11" s="186" t="n"/>
      <c r="FZ11" s="183" t="n"/>
      <c r="GA11" s="176" t="n"/>
      <c r="GB11" s="176" t="n"/>
      <c r="GC11" s="185" t="inlineStr">
        <is>
          <t>2026-11-07</t>
        </is>
      </c>
      <c r="GD11" s="185" t="inlineStr">
        <is>
          <t>2027-05-07</t>
        </is>
      </c>
      <c r="GE11" s="176" t="n"/>
      <c r="GF11" s="176" t="n"/>
      <c r="GG11" s="179" t="n"/>
      <c r="GH11" s="181" t="inlineStr">
        <is>
          <t>CICC</t>
        </is>
      </c>
      <c r="GI11" s="183" t="n">
        <v>2</v>
      </c>
      <c r="GJ11" s="183" t="n">
        <v>0</v>
      </c>
      <c r="GK11" s="176" t="n">
        <v>0.025</v>
      </c>
      <c r="GL11" s="176" t="n">
        <v>0.01</v>
      </c>
      <c r="GM11" s="176" t="n">
        <v>0.035</v>
      </c>
      <c r="GN11" s="183" t="n"/>
      <c r="GO11" s="183" t="n">
        <v>0</v>
      </c>
      <c r="GP11" s="183" t="n">
        <v>0</v>
      </c>
      <c r="GQ11" s="183" t="n">
        <v>6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51</v>
      </c>
      <c r="B12" s="47" t="inlineStr">
        <is>
          <t>1236.HK</t>
        </is>
      </c>
      <c r="C12" s="44" t="inlineStr">
        <is>
          <t>SHENZHEN LDROBOT CO., LTD - H Shares</t>
        </is>
      </c>
      <c r="D12" s="189" t="n">
        <v>46142</v>
      </c>
      <c r="E12" s="189" t="n">
        <v>46153</v>
      </c>
      <c r="F12" s="43" t="inlineStr">
        <is>
          <t>Haitong International Capital Limited /
Guotai Junan Capital Limited</t>
        </is>
      </c>
      <c r="G12" s="43" t="inlineStr">
        <is>
          <t>Ernst &amp; Young</t>
        </is>
      </c>
      <c r="H12" s="43" t="n"/>
      <c r="I12" s="131" t="n">
        <v>87868424</v>
      </c>
      <c r="J12" s="148" t="n">
        <v>790800000</v>
      </c>
      <c r="K12" s="133" t="n">
        <v>26.36</v>
      </c>
      <c r="L12" t="n">
        <v>333333400</v>
      </c>
      <c r="M12" s="67" t="n">
        <v>33333400</v>
      </c>
      <c r="N12" t="n">
        <v>300000000</v>
      </c>
      <c r="O12" t="n">
        <v>300000000</v>
      </c>
      <c r="P12" t="n">
        <v>0</v>
      </c>
      <c r="Q12" t="n">
        <v>33333400</v>
      </c>
      <c r="R12" s="67" t="n">
        <v>30000000</v>
      </c>
      <c r="S12" s="67" t="n">
        <v>3333400</v>
      </c>
      <c r="T12" s="147" t="n">
        <v>30</v>
      </c>
      <c r="U12" s="147" t="n">
        <v>24</v>
      </c>
      <c r="V12" s="169" t="n">
        <v>-0.023704</v>
      </c>
      <c r="W12" s="169" t="n">
        <v>0.222222</v>
      </c>
      <c r="X12" s="170" t="inlineStr">
        <is>
          <t>Within range</t>
        </is>
      </c>
      <c r="Y12" s="26" t="inlineStr">
        <is>
          <t>RMB</t>
        </is>
      </c>
      <c r="Z12" s="137" t="n">
        <v>600144000</v>
      </c>
      <c r="AA12" s="137" t="n">
        <v>652644000</v>
      </c>
      <c r="AB12" s="137" t="n">
        <v>674998000</v>
      </c>
      <c r="AC12" s="137" t="n">
        <v>452270000</v>
      </c>
      <c r="AD12" s="137" t="n">
        <v>407550000</v>
      </c>
      <c r="AE12" s="137" t="n">
        <v>368042000</v>
      </c>
      <c r="AF12" s="137" t="n">
        <v>147874000</v>
      </c>
      <c r="AG12" s="137" t="n">
        <v>245094000</v>
      </c>
      <c r="AH12" s="137" t="n">
        <v>306956000</v>
      </c>
      <c r="AI12" s="137" t="n">
        <v>276562000</v>
      </c>
      <c r="AJ12" s="137" t="n">
        <v>467345000</v>
      </c>
      <c r="AK12" s="137" t="n">
        <v>747773000</v>
      </c>
      <c r="AL12" s="137" t="n">
        <v>-68491000</v>
      </c>
      <c r="AM12" s="137" t="n">
        <v>-56483000</v>
      </c>
      <c r="AN12" s="137" t="n">
        <v>-62501000</v>
      </c>
      <c r="AO12" s="137" t="n">
        <v>-68491000</v>
      </c>
      <c r="AP12" s="137" t="n">
        <v>-56483000</v>
      </c>
      <c r="AQ12" s="137" t="n">
        <v>-62501000</v>
      </c>
      <c r="AR12" s="142" t="n">
        <v>0.025</v>
      </c>
      <c r="AS12" s="142" t="n">
        <v>0.025</v>
      </c>
      <c r="AT12" s="84" t="n">
        <v>0.15</v>
      </c>
      <c r="AU12" s="51" t="inlineStr">
        <is>
          <t>Design, development and manufacture of intelligent robots; visual perception products and robot lawn mowers</t>
        </is>
      </c>
      <c r="AV12" s="51" t="inlineStr">
        <is>
          <t>Main Board of the Stock Exchange (Rule 8.05(3) market capitalisation/revenue test); PRC issuer H Shares</t>
        </is>
      </c>
      <c r="AW12" s="136" t="n">
        <v>46022</v>
      </c>
      <c r="AX12" s="137" t="n">
        <v>-136473000</v>
      </c>
      <c r="AY12" s="117" t="n">
        <v>119382000</v>
      </c>
      <c r="AZ12" s="117" t="n">
        <v>121121000</v>
      </c>
      <c r="BA12" s="117" t="n">
        <v>0</v>
      </c>
      <c r="BB12" s="138" t="n">
        <v>0.498</v>
      </c>
      <c r="BC12" s="139" t="n">
        <v>1</v>
      </c>
      <c r="BD12" s="80" t="n">
        <v>1</v>
      </c>
      <c r="BE12" s="161" t="n">
        <v>1</v>
      </c>
      <c r="BF12" s="161" t="n">
        <v>1</v>
      </c>
      <c r="BG12" s="161" t="n">
        <v>1</v>
      </c>
      <c r="BH12" s="161" t="n">
        <v>1</v>
      </c>
      <c r="BI12" s="161" t="n">
        <v>1</v>
      </c>
      <c r="BJ12" s="162" t="inlineStr">
        <is>
          <t>Tibet Wanqing; Hunan Huaye; Zhuhai Huaye; Wuhan Yuanxia; Qicheng Investment; Mingshi Changfeng; Pengyuansheng; Yuanjing SME; Yuanjing Dingheng; Lianjin Innovation; Jiuyu Galaxy; Gongchuang Zhuoxin</t>
        </is>
      </c>
      <c r="BK12" s="163" t="n">
        <v>0.5122</v>
      </c>
      <c r="BL12" s="161" t="n">
        <v>1</v>
      </c>
      <c r="BM12" s="164" t="inlineStr">
        <is>
          <t>Series A</t>
        </is>
      </c>
      <c r="BN12" s="165" t="n">
        <v>4.85</v>
      </c>
      <c r="BO12" s="51" t="inlineStr">
        <is>
          <t>Natural persons acting in concert (founders)</t>
        </is>
      </c>
      <c r="BP12" s="135" t="n">
        <v>0.3565</v>
      </c>
      <c r="BQ12" s="135" t="n">
        <v>0.3565</v>
      </c>
      <c r="BR12" s="137" t="n">
        <v>12660000</v>
      </c>
      <c r="BS12" s="51" t="inlineStr">
        <is>
          <t>Mass production and commercialization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701030</t>
        </is>
      </c>
      <c r="CB12" s="76" t="inlineStr">
        <is>
          <t>HSICS (Hang Seng Industry Classification System) 2026</t>
        </is>
      </c>
      <c r="CC12" s="140" t="n">
        <v>43056</v>
      </c>
      <c r="CD12" s="171" t="n">
        <v>8.48</v>
      </c>
      <c r="CE12" s="76" t="inlineStr">
        <is>
          <t>NA</t>
        </is>
      </c>
      <c r="CF12" s="89" t="inlineStr">
        <is>
          <t>7/F and 16/F, Tower A, Building 6, International Innovation Valley, Xili Subdistrict, Nanshan District, Shenzhen, Guangdong Province, PRC</t>
        </is>
      </c>
      <c r="CG12" s="91" t="n">
        <v>1000</v>
      </c>
      <c r="CH12" s="60" t="inlineStr">
        <is>
          <t>HKFRS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747773000</v>
      </c>
      <c r="CO12" s="64" t="n">
        <v>-62501000</v>
      </c>
      <c r="CP12" s="64" t="n">
        <v>-62501000</v>
      </c>
      <c r="CQ12" s="141" t="n">
        <v>46142</v>
      </c>
      <c r="CR12" s="141" t="n">
        <v>46148</v>
      </c>
      <c r="CS12" s="63" t="n">
        <v>333333400</v>
      </c>
      <c r="CT12" s="64" t="n">
        <v>191945000</v>
      </c>
      <c r="CU12" s="64" t="n">
        <v>10404000</v>
      </c>
      <c r="CV12" s="59" t="inlineStr">
        <is>
          <t>Unqualified</t>
        </is>
      </c>
      <c r="CW12" s="64" t="n">
        <v>72900000</v>
      </c>
      <c r="CX12" s="51" t="inlineStr">
        <is>
          <t>KCH Vision Investment Limited</t>
        </is>
      </c>
      <c r="CY12" s="142" t="n">
        <v>0.3152</v>
      </c>
      <c r="CZ12" s="136" t="n">
        <v>46337</v>
      </c>
      <c r="DA12" s="143" t="n">
        <v>6707.66</v>
      </c>
      <c r="DB12" s="63" t="n">
        <v>296740</v>
      </c>
      <c r="DC12" s="63" t="n">
        <v>22359328600</v>
      </c>
      <c r="DD12" s="59" t="inlineStr">
        <is>
          <t>Subscription level 6,707.66 times</t>
        </is>
      </c>
      <c r="DE12" s="141" t="n">
        <v>46149</v>
      </c>
      <c r="DF12" s="141" t="n">
        <v>46150</v>
      </c>
      <c r="DG12" s="63" t="n">
        <v>33333400</v>
      </c>
      <c r="DH12" s="63" t="n">
        <v>3333400</v>
      </c>
      <c r="DI12" s="63" t="n">
        <v>30000000</v>
      </c>
      <c r="DJ12" s="63" t="n">
        <v>0</v>
      </c>
      <c r="DK12" s="169" t="n">
        <v>0</v>
      </c>
      <c r="DL12" s="59" t="inlineStr">
        <is>
          <t>Reallocation: No; 0 Offer Shares reallocated from the International Offering to the Hong Kong Public Offering; the final HK public offer size (3,333,400) equals the initial size and represents 10.00% of the Global Offering (no clawback).</t>
        </is>
      </c>
      <c r="DM12" s="144" t="n">
        <v>806800000</v>
      </c>
      <c r="DN12" s="142" t="n">
        <v>0.3876</v>
      </c>
      <c r="DO12" s="51" t="n">
        <v>333333400</v>
      </c>
      <c r="DP12" s="142" t="n">
        <v>0.06850000000000001</v>
      </c>
      <c r="DQ12" s="59" t="inlineStr">
        <is>
          <t>Free float numerator = Offer Shares minus cornerstone allocation (10,508,200 H Shares subject to 6-month lock-up); also excludes H Shares converted from Unlisted Shares subject to 12-month lock-up. Denominator = total issued Shares upon Listing before exercise of the Over-allotment Option (333,333,400).</t>
        </is>
      </c>
      <c r="DR12" s="63" t="n">
        <v>333333400</v>
      </c>
      <c r="DS12" s="142" t="n">
        <v>0.04648784</v>
      </c>
      <c r="DT12" s="80" t="n">
        <v>34</v>
      </c>
      <c r="DU12" s="142" t="n">
        <v>0.0243387</v>
      </c>
      <c r="DV12" s="144" t="n">
        <v>53862000000</v>
      </c>
      <c r="DW12" s="145" t="n">
        <v>60</v>
      </c>
      <c r="DX12" s="169" t="n">
        <v>1.276176</v>
      </c>
      <c r="DY12" s="172" t="n">
        <v>1121335576</v>
      </c>
      <c r="DZ12" s="146" t="n">
        <v>53.5</v>
      </c>
      <c r="EA12" s="146" t="n">
        <v>66</v>
      </c>
      <c r="EB12" s="146" t="n">
        <v>50.3</v>
      </c>
      <c r="EC12" s="63" t="n">
        <v>14659225</v>
      </c>
      <c r="ED12" s="169" t="n">
        <v>0.439776</v>
      </c>
      <c r="EE12" s="64" t="n">
        <v>891537750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深圳乐动机器人股份有限公司</t>
        </is>
      </c>
      <c r="EI12" s="174" t="inlineStr">
        <is>
          <t>Active</t>
        </is>
      </c>
      <c r="EJ12" s="175" t="n">
        <v>39.2</v>
      </c>
      <c r="EK12" s="176" t="n">
        <v>-0.346667</v>
      </c>
      <c r="EL12" s="176" t="n">
        <v>0.487102</v>
      </c>
      <c r="EM12" s="176" t="n">
        <v>-0.066262</v>
      </c>
      <c r="EN12" s="176" t="n">
        <v>-0.068637</v>
      </c>
      <c r="EO12" s="179" t="n">
        <v>0.6997</v>
      </c>
      <c r="EP12" s="179" t="n">
        <v>0.7015</v>
      </c>
      <c r="EQ12" s="178" t="n">
        <v>71682748.5</v>
      </c>
      <c r="ER12" s="175" t="n"/>
      <c r="ES12" s="176" t="n"/>
      <c r="ET12" s="176" t="n"/>
      <c r="EU12" s="176" t="n"/>
      <c r="EV12" s="176" t="n"/>
      <c r="EW12" s="179" t="n"/>
      <c r="EX12" s="179" t="n"/>
      <c r="EY12" s="178" t="n"/>
      <c r="EZ12" s="176" t="n"/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Haitong International Securities Company Limited</t>
        </is>
      </c>
      <c r="FG12" s="185" t="n"/>
      <c r="FH12" s="183" t="n"/>
      <c r="FI12" s="178" t="n"/>
      <c r="FJ12" s="176" t="n"/>
      <c r="FK12" s="185" t="inlineStr">
        <is>
          <t>2026-05-11</t>
        </is>
      </c>
      <c r="FL12" s="178" t="n">
        <v>0</v>
      </c>
      <c r="FM12" s="176" t="n">
        <v>0</v>
      </c>
      <c r="FN12" s="176" t="n"/>
      <c r="FO12" s="176" t="n"/>
      <c r="FP12" s="176" t="n"/>
      <c r="FQ12" s="176" t="n">
        <v>-0.232</v>
      </c>
      <c r="FR12" s="179" t="n">
        <v>0.7811</v>
      </c>
      <c r="FS12" s="176" t="n">
        <v>-0.346667</v>
      </c>
      <c r="FT12" s="179" t="n">
        <v>0.6997</v>
      </c>
      <c r="FU12" s="176" t="n">
        <v>-0.346667</v>
      </c>
      <c r="FV12" s="179" t="n">
        <v>0.6725</v>
      </c>
      <c r="FW12" s="179" t="n">
        <v>0.6915</v>
      </c>
      <c r="FX12" s="178" t="n">
        <v>27561113.75</v>
      </c>
      <c r="FY12" s="186" t="n"/>
      <c r="FZ12" s="183" t="n"/>
      <c r="GA12" s="176" t="n"/>
      <c r="GB12" s="176" t="n"/>
      <c r="GC12" s="185" t="inlineStr">
        <is>
          <t>2026-11-12</t>
        </is>
      </c>
      <c r="GD12" s="185" t="inlineStr">
        <is>
          <t>2027-05-12</t>
        </is>
      </c>
      <c r="GE12" s="176" t="n"/>
      <c r="GF12" s="176" t="n"/>
      <c r="GG12" s="179" t="n"/>
      <c r="GH12" s="181" t="inlineStr">
        <is>
          <t>CICC</t>
        </is>
      </c>
      <c r="GI12" s="183" t="n">
        <v>2</v>
      </c>
      <c r="GJ12" s="183" t="n">
        <v>0</v>
      </c>
      <c r="GK12" s="176" t="n">
        <v>0.025</v>
      </c>
      <c r="GL12" s="176" t="n">
        <v>0.01</v>
      </c>
      <c r="GM12" s="176" t="n">
        <v>0.035</v>
      </c>
      <c r="GN12" s="183" t="n"/>
      <c r="GO12" s="183" t="n">
        <v>0</v>
      </c>
      <c r="GP12" s="183" t="n">
        <v>0</v>
      </c>
      <c r="GQ12" s="183" t="n">
        <v>6</v>
      </c>
      <c r="GR12" s="183" t="n">
        <v>0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52</v>
      </c>
      <c r="B13" s="47" t="inlineStr">
        <is>
          <t>7630.HK</t>
        </is>
      </c>
      <c r="C13" s="44" t="inlineStr">
        <is>
          <t>IMPACT Therapeutics, Inc - B - H Shares</t>
        </is>
      </c>
      <c r="D13" s="189" t="n">
        <v>46147</v>
      </c>
      <c r="E13" s="189" t="n">
        <v>46155</v>
      </c>
      <c r="F13" s="43" t="inlineStr">
        <is>
          <t>Goldman Sachs (Asia) L.L.C. /
China International Capital Corporation Hong Kong Securities Limited</t>
        </is>
      </c>
      <c r="G13" s="43" t="inlineStr">
        <is>
          <t>Ernst &amp; Young</t>
        </is>
      </c>
      <c r="H13" s="43" t="n"/>
      <c r="I13" s="131" t="n">
        <v>84375780</v>
      </c>
      <c r="J13" s="148" t="n">
        <v>885919560</v>
      </c>
      <c r="K13" s="133" t="n">
        <v>20.1</v>
      </c>
      <c r="L13" t="n">
        <v>276165130</v>
      </c>
      <c r="M13" s="67" t="n">
        <v>41977000</v>
      </c>
      <c r="N13" t="n">
        <v>234188130</v>
      </c>
      <c r="O13" t="n">
        <v>234188130</v>
      </c>
      <c r="P13" t="n">
        <v>0</v>
      </c>
      <c r="Q13" t="n">
        <v>41977000</v>
      </c>
      <c r="R13" s="67" t="n">
        <v>37779200</v>
      </c>
      <c r="S13" s="67" t="n">
        <v>4197800</v>
      </c>
      <c r="T13" s="147" t="n">
        <v>21.75</v>
      </c>
      <c r="U13" s="147" t="n">
        <v>19.75</v>
      </c>
      <c r="V13" s="169" t="n">
        <v>-0.031325</v>
      </c>
      <c r="W13" s="169" t="n">
        <v>0.096386</v>
      </c>
      <c r="X13" s="170" t="inlineStr">
        <is>
          <t>Within range</t>
        </is>
      </c>
      <c r="Y13" s="26" t="inlineStr">
        <is>
          <t>RMB</t>
        </is>
      </c>
      <c r="Z13" s="137" t="inlineStr">
        <is>
          <t>NaN</t>
        </is>
      </c>
      <c r="AA13" s="137" t="n">
        <v>388894000</v>
      </c>
      <c r="AB13" s="137" t="n">
        <v>334522000</v>
      </c>
      <c r="AC13" s="137" t="inlineStr">
        <is>
          <t>NaN</t>
        </is>
      </c>
      <c r="AD13" s="137" t="n">
        <v>-744290000</v>
      </c>
      <c r="AE13" s="137" t="n">
        <v>-957891000</v>
      </c>
      <c r="AF13" s="137" t="inlineStr">
        <is>
          <t>NaN</t>
        </is>
      </c>
      <c r="AG13" s="137" t="n">
        <v>1133184000</v>
      </c>
      <c r="AH13" s="137" t="n">
        <v>1292413000</v>
      </c>
      <c r="AI13" s="137" t="inlineStr">
        <is>
          <t>NaN</t>
        </is>
      </c>
      <c r="AJ13" s="137" t="n">
        <v>33547000</v>
      </c>
      <c r="AK13" s="137" t="n">
        <v>38251000</v>
      </c>
      <c r="AL13" s="137" t="inlineStr">
        <is>
          <t>NaN</t>
        </is>
      </c>
      <c r="AM13" s="137" t="n">
        <v>-254752000</v>
      </c>
      <c r="AN13" s="137" t="n">
        <v>-295923000</v>
      </c>
      <c r="AO13" s="137" t="inlineStr">
        <is>
          <t>NaN</t>
        </is>
      </c>
      <c r="AP13" s="137" t="n">
        <v>-254755000</v>
      </c>
      <c r="AQ13" s="137" t="n">
        <v>-295924000</v>
      </c>
      <c r="AR13" s="142" t="n">
        <v>0.04</v>
      </c>
      <c r="AS13" s="142" t="n">
        <v>0.04</v>
      </c>
      <c r="AT13" s="84" t="n">
        <v>0.15</v>
      </c>
      <c r="AU13" s="51" t="inlineStr">
        <is>
          <t>Biotechnology - discovery, development and commercialisation of synthetic lethality (SL)-based precision anti-cancer therapies</t>
        </is>
      </c>
      <c r="AV13" s="51" t="inlineStr">
        <is>
          <t>Chapter 18A of the Listing Rules (Main Board biotech listing)</t>
        </is>
      </c>
      <c r="AW13" s="136" t="n">
        <v>46022</v>
      </c>
      <c r="AX13" s="137" t="n">
        <v>-95880000</v>
      </c>
      <c r="AY13" s="117" t="n">
        <v>258534000</v>
      </c>
      <c r="AZ13" s="117" t="n">
        <v>183674000</v>
      </c>
      <c r="BA13" s="117" t="n">
        <v>0</v>
      </c>
      <c r="BB13" s="138" t="n">
        <v>0.949</v>
      </c>
      <c r="BC13" s="139" t="n">
        <v>1</v>
      </c>
      <c r="BD13" s="80" t="n">
        <v>1</v>
      </c>
      <c r="BE13" s="161" t="n">
        <v>1</v>
      </c>
      <c r="BF13" s="161" t="n">
        <v>1</v>
      </c>
      <c r="BG13" s="161" t="n">
        <v>1</v>
      </c>
      <c r="BH13" s="161" t="n">
        <v>1</v>
      </c>
      <c r="BI13" s="161" t="n">
        <v>1</v>
      </c>
      <c r="BJ13" s="162" t="inlineStr">
        <is>
          <t>LAV Innovation; LAV Enterprise; LAV Integra; LAV Impetus; Shanghai Li'an; Cenova Capital; WuXi AppTec Fund; Biolake China Summit; Guangzhou Yuexiu; Sungent; Haibang; Decheng; Suzhou Lirui; Suzhou Likang; Shanghai Lihao; Suzhou Lirun; LAV V; AlphaTech; West Fountain; Pegasos; Junshi; Ruiji Fund III; China Summit Zhixin; Ausun; LAV Fund VI; LAV Opportunities; China Summit Capital; Homeric Summit; Dingxin Capital; EMH; WWHCP; Everspring; Bestride; Orchids; Shanghai Yunan; C&amp;D No. 7 Holdings; Yangzhou Guojin; Gaotejia; Beijing New Power; Hainan Yuema Zhengchun; Xiamen Jianfa; Tencent; Shanghai Kangjun</t>
        </is>
      </c>
      <c r="BK13" s="163" t="n">
        <v>0.8386</v>
      </c>
      <c r="BL13" s="161" t="n">
        <v>1</v>
      </c>
      <c r="BM13" s="164" t="inlineStr">
        <is>
          <t>Series A Financing</t>
        </is>
      </c>
      <c r="BN13" s="165" t="n">
        <v>11.9</v>
      </c>
      <c r="BO13" s="51" t="inlineStr">
        <is>
          <t>None (no controlling shareholder); Single Largest Group of Shareholders is Dr. Yi Shi and LAV USD</t>
        </is>
      </c>
      <c r="BP13" s="135" t="n">
        <v>0.1393</v>
      </c>
      <c r="BQ13" s="135" t="n">
        <v>0.1393</v>
      </c>
      <c r="BR13" s="137" t="n">
        <v>1024789000</v>
      </c>
      <c r="BS13" s="51" t="inlineStr">
        <is>
          <t>Commercial-stage (senaparib approved by the NMPA and launched in China in 2025)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39974</v>
      </c>
      <c r="CD13" s="171" t="n">
        <v>16.92</v>
      </c>
      <c r="CE13" s="76" t="inlineStr">
        <is>
          <t>NA</t>
        </is>
      </c>
      <c r="CF13" s="89" t="inlineStr">
        <is>
          <t>27th Floor, New Bund Times Square, 399 West Haiyang Road, Pudong New District, Shanghai, PRC</t>
        </is>
      </c>
      <c r="CG13" s="91" t="n">
        <v>1000</v>
      </c>
      <c r="CH13" s="60" t="inlineStr">
        <is>
          <t>HKFRS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38251000</v>
      </c>
      <c r="CO13" s="64" t="n">
        <v>-295923000</v>
      </c>
      <c r="CP13" s="64" t="n">
        <v>-295924000</v>
      </c>
      <c r="CQ13" s="141" t="n">
        <v>46147</v>
      </c>
      <c r="CR13" s="141" t="n">
        <v>46150</v>
      </c>
      <c r="CS13" s="63" t="n">
        <v>276165130</v>
      </c>
      <c r="CT13" s="64" t="n">
        <v>36680000</v>
      </c>
      <c r="CU13" s="64" t="n">
        <v>1500000</v>
      </c>
      <c r="CV13" s="59" t="inlineStr">
        <is>
          <t>Unqualified opinion (true and fair view)</t>
        </is>
      </c>
      <c r="CW13" s="64" t="n">
        <v>89900000</v>
      </c>
      <c r="CX13" s="51" t="inlineStr">
        <is>
          <t>BPV and HTCI; Tencent Holdings; Huang River; Prosper High; LAV Entities; LAV Star; LAV Star Opportunities; Foresight; GSC Fund 1; Vision Fund 1; Horizon Fund 1; Horizon Next Fund; First Quarter Moon OFC - Phecda Fund; WWHCP</t>
        </is>
      </c>
      <c r="CY13" s="142" t="n">
        <v>0.3319</v>
      </c>
      <c r="CZ13" s="136" t="n">
        <v>46339</v>
      </c>
      <c r="DA13" s="143" t="n">
        <v>2282.4</v>
      </c>
      <c r="DB13" s="63" t="n">
        <v>221788</v>
      </c>
      <c r="DC13" s="63" t="n">
        <v>9581069400</v>
      </c>
      <c r="DD13" s="59" t="inlineStr">
        <is>
          <t>Subscription level 2,282.4 times</t>
        </is>
      </c>
      <c r="DE13" s="141" t="n">
        <v>46153</v>
      </c>
      <c r="DF13" s="141" t="n">
        <v>46154</v>
      </c>
      <c r="DG13" s="63" t="n">
        <v>41977000</v>
      </c>
      <c r="DH13" s="63" t="n">
        <v>4197800</v>
      </c>
      <c r="DI13" s="63" t="n">
        <v>37779200</v>
      </c>
      <c r="DJ13" s="63" t="n">
        <v>6296400</v>
      </c>
      <c r="DK13" s="169" t="n">
        <v>1</v>
      </c>
      <c r="DL13" s="59" t="inlineStr">
        <is>
          <t>No claw-back triggered ("Claw-back triggered: N/A"); no Offer Shares reallocated from the International Offering; final HK Public Offering shares 4,197,800 H Shares equal the initial 4,197,800 H Shares (10.00% of the Global Offering).</t>
        </is>
      </c>
      <c r="DM13" s="144" t="n">
        <v>759500000</v>
      </c>
      <c r="DN13" s="142" t="n">
        <v>0.5706</v>
      </c>
      <c r="DO13" s="51" t="n">
        <v>276165130</v>
      </c>
      <c r="DP13" s="142" t="n">
        <v>0.1016</v>
      </c>
      <c r="DQ13" s="59" t="inlineStr">
        <is>
          <t>Free float = H Shares held by the public and not subject to disposal restrictions; denominator = total issued Shares of the Company upon Listing before exercise of the Over-allotment Option (276,165,130 Shares), i.e. same base as the public float ratio.</t>
        </is>
      </c>
      <c r="DR13" s="63" t="n">
        <v>276165130</v>
      </c>
      <c r="DS13" s="142" t="n">
        <v>0.05275668</v>
      </c>
      <c r="DT13" s="80" t="n">
        <v>33</v>
      </c>
      <c r="DU13" s="142" t="n">
        <v>0.024431</v>
      </c>
      <c r="DV13" s="144" t="n">
        <v>53862000000</v>
      </c>
      <c r="DW13" s="145" t="n">
        <v>41.86</v>
      </c>
      <c r="DX13" s="169" t="n">
        <v>1.082587</v>
      </c>
      <c r="DY13" s="172" t="n">
        <v>913419520</v>
      </c>
      <c r="DZ13" s="146" t="n">
        <v>35.5</v>
      </c>
      <c r="EA13" s="146" t="n">
        <v>45.8</v>
      </c>
      <c r="EB13" s="146" t="n">
        <v>33.1</v>
      </c>
      <c r="EC13" s="63" t="n">
        <v>15134972</v>
      </c>
      <c r="ED13" s="169" t="n">
        <v>0.360554</v>
      </c>
      <c r="EE13" s="64" t="n">
        <v>544226900</v>
      </c>
      <c r="EF13" s="60" t="inlineStr">
        <is>
          <t>Mechanism A</t>
        </is>
      </c>
      <c r="EG13" s="59" t="inlineStr">
        <is>
          <t>FINI (from 22/11/2023); 2025-08-04 pricing reform (Mechanism A/B; six-month cornerstone lock-up retained); this IPO: Mechanism A</t>
        </is>
      </c>
      <c r="EH13" t="inlineStr">
        <is>
          <t>南京英派药业股份有限公司</t>
        </is>
      </c>
      <c r="EI13" s="174" t="inlineStr">
        <is>
          <t>Active</t>
        </is>
      </c>
      <c r="EJ13" s="175" t="n">
        <v>36.7</v>
      </c>
      <c r="EK13" s="176" t="n">
        <v>-0.123268</v>
      </c>
      <c r="EL13" s="176" t="n">
        <v>0.825871</v>
      </c>
      <c r="EM13" s="176" t="n">
        <v>-0.07505100000000001</v>
      </c>
      <c r="EN13" s="176" t="n">
        <v>-0.072452</v>
      </c>
      <c r="EO13" s="179" t="n">
        <v>0.9479</v>
      </c>
      <c r="EP13" s="179" t="n">
        <v>0.9452</v>
      </c>
      <c r="EQ13" s="178" t="n">
        <v>52648095</v>
      </c>
      <c r="ER13" s="175" t="n"/>
      <c r="ES13" s="176" t="n"/>
      <c r="ET13" s="176" t="n"/>
      <c r="EU13" s="176" t="n"/>
      <c r="EV13" s="176" t="n"/>
      <c r="EW13" s="179" t="n"/>
      <c r="EX13" s="179" t="n"/>
      <c r="EY13" s="178" t="n"/>
      <c r="EZ13" s="176" t="n"/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n"/>
      <c r="FG13" s="185" t="n"/>
      <c r="FH13" s="183" t="n"/>
      <c r="FI13" s="178" t="n"/>
      <c r="FJ13" s="176" t="n"/>
      <c r="FK13" s="185" t="inlineStr">
        <is>
          <t>2026-06-05</t>
        </is>
      </c>
      <c r="FL13" s="178" t="n">
        <v>6296400</v>
      </c>
      <c r="FM13" s="176" t="n">
        <v>1</v>
      </c>
      <c r="FN13" s="176" t="n"/>
      <c r="FO13" s="176" t="n"/>
      <c r="FP13" s="176" t="n"/>
      <c r="FQ13" s="176" t="n">
        <v>-0.073101</v>
      </c>
      <c r="FR13" s="179" t="n">
        <v>0.9481000000000001</v>
      </c>
      <c r="FS13" s="176" t="n">
        <v>-0.123268</v>
      </c>
      <c r="FT13" s="179" t="n">
        <v>0.9479</v>
      </c>
      <c r="FU13" s="176" t="n">
        <v>-0.7107019999999999</v>
      </c>
      <c r="FV13" s="179" t="n">
        <v>0.3006</v>
      </c>
      <c r="FW13" s="179" t="n">
        <v>0.3075</v>
      </c>
      <c r="FX13" s="178" t="n">
        <v>23216875</v>
      </c>
      <c r="FY13" s="186" t="n"/>
      <c r="FZ13" s="183" t="n"/>
      <c r="GA13" s="176" t="n"/>
      <c r="GB13" s="176" t="n"/>
      <c r="GC13" s="185" t="n"/>
      <c r="GD13" s="185" t="n"/>
      <c r="GE13" s="176" t="n"/>
      <c r="GF13" s="176" t="n"/>
      <c r="GG13" s="179" t="n"/>
      <c r="GH13" s="181" t="inlineStr">
        <is>
          <t>CICC</t>
        </is>
      </c>
      <c r="GI13" s="183" t="n">
        <v>2</v>
      </c>
      <c r="GJ13" s="183" t="n">
        <v>0</v>
      </c>
      <c r="GK13" s="176" t="n">
        <v>0.025</v>
      </c>
      <c r="GL13" s="176" t="n">
        <v>0.01</v>
      </c>
      <c r="GM13" s="176" t="n">
        <v>0.035</v>
      </c>
      <c r="GN13" s="183" t="n"/>
      <c r="GO13" s="183" t="n">
        <v>0</v>
      </c>
      <c r="GP13" s="183" t="n">
        <v>0</v>
      </c>
      <c r="GQ13" s="183" t="n">
        <v>6</v>
      </c>
      <c r="GR13" s="183" t="n">
        <v>0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53</v>
      </c>
      <c r="B14" s="47" t="inlineStr">
        <is>
          <t>7666.HK</t>
        </is>
      </c>
      <c r="C14" s="44" t="inlineStr">
        <is>
          <t>Metis TechBio Co., Ltd. - P - H Shares</t>
        </is>
      </c>
      <c r="D14" s="189" t="n">
        <v>46147</v>
      </c>
      <c r="E14" s="189" t="n">
        <v>46155</v>
      </c>
      <c r="F14" s="43" t="inlineStr">
        <is>
          <t>Jefferies Hong Kong Limited / 
Deutsche Securities Asia Limited /
CITIC Securities (Hong Kong) Limited</t>
        </is>
      </c>
      <c r="G14" s="43" t="inlineStr">
        <is>
          <t>PricewaterhouseCoopers</t>
        </is>
      </c>
      <c r="H14" s="43" t="inlineStr">
        <is>
          <t>Jones Lang LaSalle Corporate Appraisal and Advisory Limited</t>
        </is>
      </c>
      <c r="I14" s="131" t="n">
        <v>422583000</v>
      </c>
      <c r="J14" s="148" t="n">
        <v>2007253500</v>
      </c>
      <c r="K14" s="133" t="n">
        <v>10.5</v>
      </c>
      <c r="L14" t="n">
        <v>1152513850</v>
      </c>
      <c r="M14" s="67" t="n">
        <v>201229000</v>
      </c>
      <c r="N14" t="n">
        <v>951284850</v>
      </c>
      <c r="O14" t="n">
        <v>951284850</v>
      </c>
      <c r="P14" t="n">
        <v>0</v>
      </c>
      <c r="Q14" t="n">
        <v>201229000</v>
      </c>
      <c r="R14" s="67" t="n">
        <v>191167500</v>
      </c>
      <c r="S14" s="67" t="n">
        <v>10061500</v>
      </c>
      <c r="T14" s="147" t="n">
        <v>10.5</v>
      </c>
      <c r="U14" s="147" t="n">
        <v>10.5</v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1313394000</v>
      </c>
      <c r="AA14" s="137" t="n">
        <v>1048535000</v>
      </c>
      <c r="AB14" s="137" t="n">
        <v>1290268000</v>
      </c>
      <c r="AC14" s="137" t="n">
        <v>-977563000</v>
      </c>
      <c r="AD14" s="137" t="n">
        <v>-1382389000</v>
      </c>
      <c r="AE14" s="137" t="n">
        <v>1040858000</v>
      </c>
      <c r="AF14" s="137" t="n">
        <v>2290957000</v>
      </c>
      <c r="AG14" s="137" t="n">
        <v>2430924000</v>
      </c>
      <c r="AH14" s="137" t="n">
        <v>249410000</v>
      </c>
      <c r="AI14" s="137" t="n">
        <v>9338000</v>
      </c>
      <c r="AJ14" s="137" t="n">
        <v>1482000</v>
      </c>
      <c r="AK14" s="137" t="n">
        <v>105000000</v>
      </c>
      <c r="AL14" s="137" t="n">
        <v>-581926000</v>
      </c>
      <c r="AM14" s="137" t="n">
        <v>-499190000</v>
      </c>
      <c r="AN14" s="137" t="n">
        <v>-391713000</v>
      </c>
      <c r="AO14" s="137" t="n">
        <v>-581928000</v>
      </c>
      <c r="AP14" s="137" t="n">
        <v>-499198000</v>
      </c>
      <c r="AQ14" s="137" t="n">
        <v>-391836000</v>
      </c>
      <c r="AR14" s="142" t="n">
        <v>0.03</v>
      </c>
      <c r="AS14" s="142" t="n">
        <v>0.03</v>
      </c>
      <c r="AT14" s="84" t="n">
        <v>0.15</v>
      </c>
      <c r="AU14" s="51" t="inlineStr">
        <is>
          <t>AI-empowered nanomaterial innovation</t>
        </is>
      </c>
      <c r="AV14" s="51" t="inlineStr">
        <is>
          <t>Chapter 18C of the Listing Rules (Specialist Technology Company; Pre-Commercial Company)</t>
        </is>
      </c>
      <c r="AW14" s="136" t="n">
        <v>46022</v>
      </c>
      <c r="AX14" s="137" t="n">
        <v>-121593000</v>
      </c>
      <c r="AY14" s="117" t="n">
        <v>828263000</v>
      </c>
      <c r="AZ14" s="117" t="n">
        <v>269809000</v>
      </c>
      <c r="BA14" s="117" t="n">
        <v>0</v>
      </c>
      <c r="BB14" s="138" t="n">
        <v>0.989</v>
      </c>
      <c r="BC14" s="139" t="n">
        <v>1</v>
      </c>
      <c r="BD14" s="80" t="n">
        <v>1</v>
      </c>
      <c r="BE14" s="161" t="n">
        <v>1</v>
      </c>
      <c r="BF14" s="161" t="n">
        <v>1</v>
      </c>
      <c r="BG14" s="161" t="n">
        <v>1</v>
      </c>
      <c r="BH14" s="161" t="n">
        <v>1</v>
      </c>
      <c r="BI14" s="161" t="n">
        <v>1</v>
      </c>
      <c r="BJ14" s="162" t="inlineStr">
        <is>
          <t>FreeS International Holdings (Hong Kong) Limited; Quadrant Ventures Limited; Chengdu Fengrui Tiantou Venture Capital Center (Limited Partnership); Kunshan Fengrui Equity Investment Center (Limited Partnership); HSG Seed I Holdco T, Ltd.; Mr. Wang Cong; Lightspeed China Partners IV, L.P.; Evolution Fund I, L.P.; Evolution Fund I Co-investment, L.P.; IMO Global Growth Fund SPC; XtalPi Investment Limited; YUAN BEN CHEN XING ONE-PERSON LIMITED COMPANY; Jiangsu Jiequan Chengda Equity Investment Centre (Limited Partnership); Shanghai Yuji Technology Partnership (Limited Partnership); Nanjing China Merchants Bank Win Equity Investment Partnership (Limited Partnership); PICC Beijing Health Care Fund, L.P.; HSG Venture VIII Holdco AC, Ltd.; Shanghai Ziyuan Investment Center (Limited Partnership); Duckling Fund, L.P.; Martis Fund, L.P.; 5Y Capital Evolution Fund II, L.P.; 5Y Capital Evolution Fund II Co-Investment, L.P.; Monolith Mini Fund L.P.; Taixi (Tianjin) Enterprise Management Partnership (Limited Partnership); CICC Healthcare Investment Opportunities VI Limited; CICC Kangrui; Taiping GBA Inno-Tech Limited Partnership Fund; Beijing Medical and Health Industry Investment Fund (Limited Partnership); Beijing Daxing District Industrial Development Fund Partnership (Limited Partnership)</t>
        </is>
      </c>
      <c r="BK14" s="163" t="n">
        <v>0.3208</v>
      </c>
      <c r="BL14" s="161" t="n">
        <v>1</v>
      </c>
      <c r="BM14" s="164" t="inlineStr">
        <is>
          <t>Series Angel Financing</t>
        </is>
      </c>
      <c r="BN14" s="165" t="n">
        <v>6.2</v>
      </c>
      <c r="BO14" s="51" t="inlineStr">
        <is>
          <t>Individual (Dr. Lai, acting in concert as leader of the Single Largest Group of Shareholders)</t>
        </is>
      </c>
      <c r="BP14" s="135" t="n">
        <v>0.2532</v>
      </c>
      <c r="BQ14" s="135" t="n">
        <v>0.2532</v>
      </c>
      <c r="BR14" s="137" t="n">
        <v>131130000</v>
      </c>
      <c r="BS14" s="51" t="inlineStr">
        <is>
          <t>Pre-Commercial Company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0</v>
      </c>
      <c r="BX14" s="77" t="n">
        <v>0</v>
      </c>
      <c r="BY14" s="77" t="n">
        <v>0</v>
      </c>
      <c r="BZ14" s="78" t="n">
        <v>1</v>
      </c>
      <c r="CA14" s="60" t="inlineStr">
        <is>
          <t>281020</t>
        </is>
      </c>
      <c r="CB14" s="76" t="inlineStr">
        <is>
          <t>HSICS (Hang Seng Industry Classification System) 2026</t>
        </is>
      </c>
      <c r="CC14" s="140" t="n">
        <v>43840</v>
      </c>
      <c r="CD14" s="171" t="n">
        <v>6.34</v>
      </c>
      <c r="CE14" s="76" t="inlineStr">
        <is>
          <t>NA</t>
        </is>
      </c>
      <c r="CF14" s="89" t="inlineStr">
        <is>
          <t>Room 201, 2/F, Building 13, No. 21 Tianhe West Road, Daxing Biomedical Industry Base, Zhongguancun Science Park, Daxing District, Beijing, PRC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105000000</v>
      </c>
      <c r="CO14" s="64" t="n">
        <v>-391713000</v>
      </c>
      <c r="CP14" s="64" t="n">
        <v>-391836000</v>
      </c>
      <c r="CQ14" s="141" t="n">
        <v>46147</v>
      </c>
      <c r="CR14" s="141" t="n">
        <v>46150</v>
      </c>
      <c r="CS14" s="63" t="n">
        <v>1052926111</v>
      </c>
      <c r="CT14" s="64" t="n">
        <v>103087000</v>
      </c>
      <c r="CU14" s="64" t="n">
        <v>19033000</v>
      </c>
      <c r="CV14" s="59" t="inlineStr">
        <is>
          <t>Unqualified opinion (true and fair view)</t>
        </is>
      </c>
      <c r="CW14" s="64" t="n">
        <v>136000000</v>
      </c>
      <c r="CX14" s="51" t="inlineStr">
        <is>
          <t>China Venture Capital Innovation Investment Fund Co., Ltd.; Mirae; HHLRA; Deerfield; RTW Funds; Arc Avenue; Huadeng Technology; Isometry Global; GF Fund; ICBCUBS Entities; China AMC (HK); Fullgoal Fund; Lake Bleu; Sage Partners; ICBC Wealth Management; ORIX Asia AM</t>
        </is>
      </c>
      <c r="CY14" s="142" t="n">
        <v>0.5487</v>
      </c>
      <c r="CZ14" s="136" t="n">
        <v>46339</v>
      </c>
      <c r="DA14" s="143" t="n">
        <v>6910.96</v>
      </c>
      <c r="DB14" s="63" t="n">
        <v>383309</v>
      </c>
      <c r="DC14" s="63" t="n">
        <v>69534656500</v>
      </c>
      <c r="DD14" s="59" t="inlineStr">
        <is>
          <t>Subscription level 6910.96 times</t>
        </is>
      </c>
      <c r="DE14" s="141" t="inlineStr">
        <is>
          <t>NA</t>
        </is>
      </c>
      <c r="DF14" s="141" t="n">
        <v>46154</v>
      </c>
      <c r="DG14" s="63" t="n">
        <v>201229000</v>
      </c>
      <c r="DH14" s="63" t="n">
        <v>40246000</v>
      </c>
      <c r="DI14" s="63" t="n">
        <v>160983000</v>
      </c>
      <c r="DJ14" s="63" t="n">
        <v>30184000</v>
      </c>
      <c r="DK14" s="169" t="n">
        <v>1</v>
      </c>
      <c r="DL14" s="59" t="inlineStr">
        <is>
          <t>香港公开发售超额认购50倍或以上触发回拨：由国际配售回拨 30,184,500 股至香港公开发售，最终香港公开发售股数为 40,246,000 股（约占全球发售 20.00%，假设超额配售权未行使），最终国际配售股数为 160,983,000 股（约占 80.00%）。</t>
        </is>
      </c>
      <c r="DM14" s="144" t="n">
        <v>1992700000</v>
      </c>
      <c r="DN14" s="142" t="n">
        <v>0.7185</v>
      </c>
      <c r="DO14" s="51" t="n">
        <v>1152513850</v>
      </c>
      <c r="DP14" s="142" t="n">
        <v>0.0788</v>
      </c>
      <c r="DQ14" s="59" t="inlineStr">
        <is>
          <t>Free float denominator = total issued shares upon listing (col_CZ); numerator = offer shares minus cornerstone allocation</t>
        </is>
      </c>
      <c r="DR14" s="63" t="n">
        <v>1152513850</v>
      </c>
      <c r="DS14" s="142" t="n">
        <v>0.05275668</v>
      </c>
      <c r="DT14" s="80" t="n">
        <v>33</v>
      </c>
      <c r="DU14" s="142" t="n">
        <v>0.024431</v>
      </c>
      <c r="DV14" s="144" t="n">
        <v>53862000000</v>
      </c>
      <c r="DW14" s="145" t="n">
        <v>23.8</v>
      </c>
      <c r="DX14" s="169" t="n">
        <v>1.266667</v>
      </c>
      <c r="DY14" s="172" t="n">
        <v>2676345700</v>
      </c>
      <c r="DZ14" s="146" t="n">
        <v>28.68</v>
      </c>
      <c r="EA14" s="146" t="n">
        <v>29.98</v>
      </c>
      <c r="EB14" s="146" t="n">
        <v>22.5</v>
      </c>
      <c r="EC14" s="63" t="n">
        <v>84545162</v>
      </c>
      <c r="ED14" s="169" t="n">
        <v>0.420144</v>
      </c>
      <c r="EE14" s="64" t="n">
        <v>2403901000</v>
      </c>
      <c r="EF14" s="60" t="inlineStr">
        <is>
          <t>Mechanism A</t>
        </is>
      </c>
      <c r="EG14" s="59" t="inlineStr">
        <is>
          <t>FINI (from 22/11/2023); 2025-08-04 pricing reform (Mechanism A/B; six-month cornerstone lock-up retained); this IPO: Mechanism A</t>
        </is>
      </c>
      <c r="EH14" t="inlineStr">
        <is>
          <t>剂泰科技(北京)股份有限公司</t>
        </is>
      </c>
      <c r="EI14" s="174" t="inlineStr">
        <is>
          <t>Active</t>
        </is>
      </c>
      <c r="EJ14" s="175" t="n">
        <v>12.17</v>
      </c>
      <c r="EK14" s="176" t="n">
        <v>-0.488655</v>
      </c>
      <c r="EL14" s="176" t="n">
        <v>0.159048</v>
      </c>
      <c r="EM14" s="176" t="n">
        <v>-0.07505100000000001</v>
      </c>
      <c r="EN14" s="176" t="n">
        <v>-0.072452</v>
      </c>
      <c r="EO14" s="179" t="n">
        <v>0.5528</v>
      </c>
      <c r="EP14" s="179" t="n">
        <v>0.5513</v>
      </c>
      <c r="EQ14" s="178" t="n">
        <v>224707985</v>
      </c>
      <c r="ER14" s="175" t="n"/>
      <c r="ES14" s="176" t="n"/>
      <c r="ET14" s="176" t="n"/>
      <c r="EU14" s="176" t="n"/>
      <c r="EV14" s="176" t="n"/>
      <c r="EW14" s="179" t="n"/>
      <c r="EX14" s="179" t="n"/>
      <c r="EY14" s="178" t="n"/>
      <c r="EZ14" s="176" t="n"/>
      <c r="FA14" s="176" t="n"/>
      <c r="FB14" s="179" t="n"/>
      <c r="FC14" s="176" t="n"/>
      <c r="FD14" s="179" t="n"/>
      <c r="FE14" s="174" t="inlineStr">
        <is>
          <t>18C (Specialist Tech)</t>
        </is>
      </c>
      <c r="FF14" s="181" t="inlineStr">
        <is>
          <t>CLSA Limited</t>
        </is>
      </c>
      <c r="FG14" s="185" t="n"/>
      <c r="FH14" s="183" t="n">
        <v>0</v>
      </c>
      <c r="FI14" s="178" t="n">
        <v>30184000</v>
      </c>
      <c r="FJ14" s="176" t="n"/>
      <c r="FK14" s="185" t="inlineStr">
        <is>
          <t>2026-06-05</t>
        </is>
      </c>
      <c r="FL14" s="178" t="n">
        <v>30184000</v>
      </c>
      <c r="FM14" s="176" t="n">
        <v>1</v>
      </c>
      <c r="FN14" s="176" t="n"/>
      <c r="FO14" s="176" t="n"/>
      <c r="FP14" s="176" t="n"/>
      <c r="FQ14" s="176" t="n">
        <v>-0.157143</v>
      </c>
      <c r="FR14" s="179" t="n">
        <v>0.8622</v>
      </c>
      <c r="FS14" s="176" t="n">
        <v>-0.488655</v>
      </c>
      <c r="FT14" s="179" t="n">
        <v>0.5528</v>
      </c>
      <c r="FU14" s="176" t="n">
        <v>-0.445798</v>
      </c>
      <c r="FV14" s="179" t="n">
        <v>0.5758</v>
      </c>
      <c r="FW14" s="179" t="n">
        <v>0.5891</v>
      </c>
      <c r="FX14" s="178" t="n">
        <v>91141495.31</v>
      </c>
      <c r="FY14" s="186" t="n"/>
      <c r="FZ14" s="183" t="n"/>
      <c r="GA14" s="176" t="n"/>
      <c r="GB14" s="176" t="n"/>
      <c r="GC14" s="185" t="n"/>
      <c r="GD14" s="185" t="inlineStr">
        <is>
          <t>2028-05-14</t>
        </is>
      </c>
      <c r="GE14" s="176" t="n"/>
      <c r="GF14" s="176" t="n"/>
      <c r="GG14" s="179" t="n"/>
      <c r="GH14" s="181" t="inlineStr">
        <is>
          <t>CICC</t>
        </is>
      </c>
      <c r="GI14" s="183" t="n">
        <v>2</v>
      </c>
      <c r="GJ14" s="183" t="n">
        <v>0</v>
      </c>
      <c r="GK14" s="176" t="n">
        <v>0.025</v>
      </c>
      <c r="GL14" s="176" t="n">
        <v>0.01</v>
      </c>
      <c r="GM14" s="176" t="n">
        <v>0.035</v>
      </c>
      <c r="GN14" s="183" t="n"/>
      <c r="GO14" s="183" t="n">
        <v>0</v>
      </c>
      <c r="GP14" s="183" t="n">
        <v>0</v>
      </c>
      <c r="GQ14" s="183" t="n">
        <v>6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54</v>
      </c>
      <c r="B15" s="47" t="inlineStr">
        <is>
          <t>6871.HK</t>
        </is>
      </c>
      <c r="C15" s="44" t="inlineStr">
        <is>
          <t>Robotphoenix Intelligent Technology Co., Ltd. - H Shares</t>
        </is>
      </c>
      <c r="D15" s="189" t="n">
        <v>46150</v>
      </c>
      <c r="E15" s="189" t="n">
        <v>46160</v>
      </c>
      <c r="F15" s="43" t="inlineStr">
        <is>
          <t>ABCI Capital Limited</t>
        </is>
      </c>
      <c r="G15" s="43" t="inlineStr">
        <is>
          <t>Ernst &amp; Young</t>
        </is>
      </c>
      <c r="H15" s="43" t="n"/>
      <c r="I15" s="131" t="n">
        <v>150060000</v>
      </c>
      <c r="J15" s="148" t="n">
        <v>600240000</v>
      </c>
      <c r="K15" s="133" t="n">
        <v>30.5</v>
      </c>
      <c r="L15" t="n">
        <v>244953968</v>
      </c>
      <c r="M15" s="67" t="n">
        <v>24600000</v>
      </c>
      <c r="N15" t="n">
        <v>220353968</v>
      </c>
      <c r="O15" t="n">
        <v>220353968</v>
      </c>
      <c r="P15" t="n">
        <v>0</v>
      </c>
      <c r="Q15" t="n">
        <v>24600000</v>
      </c>
      <c r="R15" s="67" t="n">
        <v>23370000</v>
      </c>
      <c r="S15" s="67" t="n">
        <v>1230000</v>
      </c>
      <c r="T15" s="147" t="n">
        <v>30.5</v>
      </c>
      <c r="U15" s="147" t="n">
        <v>30.5</v>
      </c>
      <c r="V15" s="169" t="n">
        <v>0</v>
      </c>
      <c r="W15" s="169" t="n">
        <v>0</v>
      </c>
      <c r="X15" s="170" t="inlineStr">
        <is>
          <t>Fixed price</t>
        </is>
      </c>
      <c r="Y15" s="26" t="inlineStr">
        <is>
          <t>RMB</t>
        </is>
      </c>
      <c r="Z15" s="137" t="n">
        <v>314258000</v>
      </c>
      <c r="AA15" s="137" t="n">
        <v>397861000</v>
      </c>
      <c r="AB15" s="137" t="n">
        <v>630552000</v>
      </c>
      <c r="AC15" s="137" t="n">
        <v>98412000</v>
      </c>
      <c r="AD15" s="137" t="n">
        <v>46087000</v>
      </c>
      <c r="AE15" s="137" t="n">
        <v>177241000</v>
      </c>
      <c r="AF15" s="137" t="n">
        <v>215846000</v>
      </c>
      <c r="AG15" s="137" t="n">
        <v>351774000</v>
      </c>
      <c r="AH15" s="137" t="n">
        <v>453311000</v>
      </c>
      <c r="AI15" s="137" t="n">
        <v>201170000</v>
      </c>
      <c r="AJ15" s="137" t="n">
        <v>268009000</v>
      </c>
      <c r="AK15" s="137" t="n">
        <v>387359000</v>
      </c>
      <c r="AL15" s="137" t="n">
        <v>-110604000</v>
      </c>
      <c r="AM15" s="137" t="n">
        <v>-71495000</v>
      </c>
      <c r="AN15" s="137" t="n">
        <v>-152941000</v>
      </c>
      <c r="AO15" s="137" t="n">
        <v>-110606000</v>
      </c>
      <c r="AP15" s="137" t="n">
        <v>-71495000</v>
      </c>
      <c r="AQ15" s="137" t="n">
        <v>-152941000</v>
      </c>
      <c r="AR15" s="142" t="n">
        <v>0.03</v>
      </c>
      <c r="AS15" s="142" t="n">
        <v>0.03</v>
      </c>
      <c r="AT15" s="84" t="inlineStr">
        <is>
          <t>NaN</t>
        </is>
      </c>
      <c r="AU15" s="51" t="inlineStr">
        <is>
          <t>Industrial robotics - design, development, manufacturing and commercialization of industrial robots and integrated robotics solutions</t>
        </is>
      </c>
      <c r="AV15" s="51" t="inlineStr">
        <is>
          <t>Chapter 18C</t>
        </is>
      </c>
      <c r="AW15" s="136" t="n">
        <v>46022</v>
      </c>
      <c r="AX15" s="137" t="n">
        <v>-182517000</v>
      </c>
      <c r="AY15" s="117" t="n">
        <v>51121000</v>
      </c>
      <c r="AZ15" s="117" t="n">
        <v>70792000</v>
      </c>
      <c r="BA15" s="117" t="inlineStr">
        <is>
          <t>NaN</t>
        </is>
      </c>
      <c r="BB15" s="138" t="n">
        <v>0.468</v>
      </c>
      <c r="BC15" s="139" t="n">
        <v>1</v>
      </c>
      <c r="BD15" s="80" t="n">
        <v>1</v>
      </c>
      <c r="BE15" s="161" t="n">
        <v>1</v>
      </c>
      <c r="BF15" s="161" t="n">
        <v>1</v>
      </c>
      <c r="BG15" s="161" t="n">
        <v>1</v>
      </c>
      <c r="BH15" s="161" t="n">
        <v>1</v>
      </c>
      <c r="BI15" s="161" t="n">
        <v>1</v>
      </c>
      <c r="BJ15" s="162" t="inlineStr">
        <is>
          <t>Shenzhen Jasic Robotics Automation Equipment Co., Ltd.; Shanghai Dongshu Venture Investment Center (Limited Partnership); Rizhao Ivy Innovative Venture Capital Partnership (Limited Partnership); Xingzhi Wenhua (Shanghai) Venture Capital Center (Limited Partnership); Shanghai FreeS Venture Capital Center (Limited Partnership); Baotou Qidi Star Investment Center (Limited Partnership); Xizang Chuzhe Zhixin Equity Investment Partnership (Limited Partnership); Shanghai Haode Equity Investment Fund Partnership Enterprise (Limited Partnership); Runzhe Investment Management Co., Ltd.; Profit Glory Investment Co., Ltd.; Suzhou ChinaEquity Chenxin Investment Center (Limited Partnership); Xiamen Lantu Tianxing Investment Partnership (Limited Partnership); Shenzhen Yiyiyuanheyi Investment Partnership Enterprise (Limited Partnership); Shanghai Qingwang Venture Investment Partnership (Limited Partnership); Broadband Chengbai Yangtze River (Hubei) Investment Fund Partnership (Limited Partnership); Quanzhou Shenglian Equity Investment Fund Partnership (Limited Partnership); Shandong Haomai Xinxing Investment Management Co., Ltd.; Hangzhou Haorui Equity Investment Management Co., Ltd.; Shenzhen Qianhai Landian Electronic Information Industrial Equity Investment Partnership (Limited Partnership); Shandong Caijin Investment Co., Ltd.; Jinan Xingwen Jinhe Enterprise Management Center (Limited Partnership); Rizhao Ivy Venture Capital Partnership (Limited Partnership); Qingkong Yinxing Nantong Venture Investment Fund Partnership (Limited Partnership); Jiaxing Feitu Xinyuan Venture Capital Partnership (Limited Partnership); Hainan Ferry Growth No.3 Venture Investment Fund Partnership (Limited Partnership); Beijing Junli Lianhe Venture Capital Partnership (Limited Partnership); Jiaxing Runze Equity Investment Partnership Enterprise (Limited Partnership); Ningbo Yiyi Equity Investment Fund Management Co., Ltd.; Ivory One Investment Ltd.; Smart Beauty Investment Limited; Jinan Yike No.1 Investment Center (Limited Partnership); Yuhuan City Equity Investment Fund Co., Ltd.; Yuhuan City State-owned Assets Investment Operation Group Co., Ltd.; Fengchi Qianhai Dianche Investment Consulting Partnership (Limited Partnership); Fengchi Qianhai Dianche No.2 Investment Consulting Partnership (Limited Partnership); Jianhu County Yuehu New Industry Fund Partnership (Limited Partnership); Hangzhou Guoke Infore Equity Investment Partnership (Limited Partnership); Shaoxing City Shangyu District Wanxiang Holding Co., Ltd.; Shaoxing Shangyu Caoejiang Economic Development Zone Construction Development Co., Ltd; Chongtian Intelligence (Weifang) Enterprise Management Consulting Center (Limited Partnership)</t>
        </is>
      </c>
      <c r="BK15" s="163" t="inlineStr">
        <is>
          <t>NaN</t>
        </is>
      </c>
      <c r="BL15" s="161" t="n">
        <v>1</v>
      </c>
      <c r="BM15" s="164" t="inlineStr">
        <is>
          <t>Angel Investment</t>
        </is>
      </c>
      <c r="BN15" s="165" t="n">
        <v>12.02</v>
      </c>
      <c r="BO15" s="51" t="inlineStr">
        <is>
          <t>Individual (founder Dr. Zhang Sai)</t>
        </is>
      </c>
      <c r="BP15" s="135" t="n">
        <v>0.2255</v>
      </c>
      <c r="BQ15" s="135" t="n">
        <v>0.2255</v>
      </c>
      <c r="BR15" s="137" t="n">
        <v>197450000</v>
      </c>
      <c r="BS15" s="51" t="inlineStr">
        <is>
          <t>Early stage of commercialization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0</v>
      </c>
      <c r="BX15" s="77" t="n">
        <v>0</v>
      </c>
      <c r="BY15" s="77" t="n">
        <v>0</v>
      </c>
      <c r="BZ15" s="78" t="n">
        <v>1</v>
      </c>
      <c r="CA15" s="60" t="inlineStr">
        <is>
          <t>101020</t>
        </is>
      </c>
      <c r="CB15" s="76" t="inlineStr">
        <is>
          <t>HSICS (Hang Seng Industry Classification System) 2026</t>
        </is>
      </c>
      <c r="CC15" s="140" t="n">
        <v>41086</v>
      </c>
      <c r="CD15" s="171" t="n">
        <v>13.89</v>
      </c>
      <c r="CE15" s="76" t="inlineStr">
        <is>
          <t>PRC</t>
        </is>
      </c>
      <c r="CF15" s="89" t="inlineStr">
        <is>
          <t>Building E, Digital Economy Industrial Park (Nanwan Zhigu), No. 1261, Jinhai Avenue, Yuhuan, Taizhou, Zhejiang Province, PRC</t>
        </is>
      </c>
      <c r="CG15" s="91" t="n">
        <v>1000</v>
      </c>
      <c r="CH15" s="60" t="inlineStr">
        <is>
          <t>IFRS Accounting Standards (IFRSs)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387359000</v>
      </c>
      <c r="CO15" s="64" t="n">
        <v>-152941000</v>
      </c>
      <c r="CP15" s="64" t="n">
        <v>-152941000</v>
      </c>
      <c r="CQ15" s="141" t="n">
        <v>46150</v>
      </c>
      <c r="CR15" s="141" t="n">
        <v>46155</v>
      </c>
      <c r="CS15" s="63" t="n">
        <v>244953968</v>
      </c>
      <c r="CT15" s="64" t="n">
        <v>96199000</v>
      </c>
      <c r="CU15" s="64" t="n">
        <v>38506000</v>
      </c>
      <c r="CV15" s="59" t="inlineStr">
        <is>
          <t>Unqualified (true and fair view)</t>
        </is>
      </c>
      <c r="CW15" s="64" t="n">
        <v>77400000</v>
      </c>
      <c r="CX15" s="51" t="inlineStr">
        <is>
          <t>NA</t>
        </is>
      </c>
      <c r="CY15" s="142" t="n">
        <v>0</v>
      </c>
      <c r="CZ15" s="136" t="inlineStr">
        <is>
          <t>NA</t>
        </is>
      </c>
      <c r="DA15" s="143" t="n">
        <v>14855.4</v>
      </c>
      <c r="DB15" s="63" t="n">
        <v>330334</v>
      </c>
      <c r="DC15" s="63" t="n">
        <v>18272139700</v>
      </c>
      <c r="DD15" s="59" t="inlineStr">
        <is>
          <t>Subscription level 14,855.40 times</t>
        </is>
      </c>
      <c r="DE15" s="141" t="inlineStr">
        <is>
          <t>NA</t>
        </is>
      </c>
      <c r="DF15" s="141" t="n">
        <v>46157</v>
      </c>
      <c r="DG15" s="63" t="n">
        <v>24600000</v>
      </c>
      <c r="DH15" s="63" t="n">
        <v>4920000</v>
      </c>
      <c r="DI15" s="63" t="n">
        <v>19680000</v>
      </c>
      <c r="DJ15" s="63" t="n">
        <v>0</v>
      </c>
      <c r="DK15" s="169" t="n">
        <v>0</v>
      </c>
      <c r="DL15" s="59" t="inlineStr">
        <is>
          <t>3,690,000 Offer Shares reallocated from the International Offering to the Hong Kong Public Offering (claw-back), lifting the Hong Kong Public Offering from 1,230,000 (5%) to 4,920,000 (20%) of the Global Offering</t>
        </is>
      </c>
      <c r="DM15" s="144" t="n">
        <v>672900000</v>
      </c>
      <c r="DN15" s="142" t="n">
        <v>0.6302</v>
      </c>
      <c r="DO15" s="51" t="n">
        <v>244953968</v>
      </c>
      <c r="DP15" s="142" t="n">
        <v>0.1004</v>
      </c>
      <c r="DQ15" s="59" t="inlineStr">
        <is>
          <t>Free float denominator = total issued shares upon listing (col_CZ); numerator = offer shares minus cornerstone allocation</t>
        </is>
      </c>
      <c r="DR15" s="63" t="n">
        <v>244953968</v>
      </c>
      <c r="DS15" s="142" t="n">
        <v>0.02831879</v>
      </c>
      <c r="DT15" s="80" t="n">
        <v>31</v>
      </c>
      <c r="DU15" s="142" t="n">
        <v>0.025147</v>
      </c>
      <c r="DV15" s="144" t="n">
        <v>53980000000</v>
      </c>
      <c r="DW15" s="145" t="n">
        <v>53.75</v>
      </c>
      <c r="DX15" s="169" t="n">
        <v>0.7622949999999999</v>
      </c>
      <c r="DY15" s="172" t="n">
        <v>571950000</v>
      </c>
      <c r="DZ15" s="146" t="n">
        <v>54.65</v>
      </c>
      <c r="EA15" s="146" t="n">
        <v>59.65</v>
      </c>
      <c r="EB15" s="146" t="n">
        <v>52</v>
      </c>
      <c r="EC15" s="63" t="n">
        <v>12671555</v>
      </c>
      <c r="ED15" s="169" t="n">
        <v>0.515104</v>
      </c>
      <c r="EE15" s="64" t="n">
        <v>694075300</v>
      </c>
      <c r="EF15" s="60" t="inlineStr">
        <is>
          <t>Mechanism A</t>
        </is>
      </c>
      <c r="EG15" s="59" t="inlineStr">
        <is>
          <t>FINI (from 22/11/2023); 2025-08-04 pricing reform (Mechanism A/B; six-month cornerstone lock-up retained); this IPO: Mechanism A</t>
        </is>
      </c>
      <c r="EH15" t="inlineStr">
        <is>
          <t>浙江翼菲智能科技股份有限公司</t>
        </is>
      </c>
      <c r="EI15" s="174" t="inlineStr">
        <is>
          <t>Active</t>
        </is>
      </c>
      <c r="EJ15" s="175" t="n">
        <v>34.96</v>
      </c>
      <c r="EK15" s="176" t="n">
        <v>-0.349581</v>
      </c>
      <c r="EL15" s="176" t="n">
        <v>0.14623</v>
      </c>
      <c r="EM15" s="176" t="n">
        <v>-0.032425</v>
      </c>
      <c r="EN15" s="176" t="n">
        <v>-0.01638</v>
      </c>
      <c r="EO15" s="179" t="n">
        <v>0.6722</v>
      </c>
      <c r="EP15" s="179" t="n">
        <v>0.6612</v>
      </c>
      <c r="EQ15" s="178" t="n">
        <v>114180945</v>
      </c>
      <c r="ER15" s="175" t="n"/>
      <c r="ES15" s="176" t="n"/>
      <c r="ET15" s="176" t="n"/>
      <c r="EU15" s="176" t="n"/>
      <c r="EV15" s="176" t="n"/>
      <c r="EW15" s="179" t="n"/>
      <c r="EX15" s="179" t="n"/>
      <c r="EY15" s="178" t="n"/>
      <c r="EZ15" s="176" t="n"/>
      <c r="FA15" s="176" t="n"/>
      <c r="FB15" s="179" t="n"/>
      <c r="FC15" s="176" t="n"/>
      <c r="FD15" s="179" t="n"/>
      <c r="FE15" s="174" t="inlineStr">
        <is>
          <t>18C (Specialist Tech)</t>
        </is>
      </c>
      <c r="FF15" s="181" t="n"/>
      <c r="FG15" s="185" t="n"/>
      <c r="FH15" s="183" t="n"/>
      <c r="FI15" s="178" t="n"/>
      <c r="FJ15" s="176" t="n">
        <v>0.05</v>
      </c>
      <c r="FK15" s="185" t="inlineStr">
        <is>
          <t>2026-05-18</t>
        </is>
      </c>
      <c r="FL15" s="178" t="n"/>
      <c r="FM15" s="176" t="n"/>
      <c r="FN15" s="176" t="n"/>
      <c r="FO15" s="176" t="n"/>
      <c r="FP15" s="176" t="n"/>
      <c r="FQ15" s="176" t="n">
        <v>-0.40093</v>
      </c>
      <c r="FR15" s="179" t="n">
        <v>0.6007</v>
      </c>
      <c r="FS15" s="176" t="n">
        <v>-0.349581</v>
      </c>
      <c r="FT15" s="179" t="n">
        <v>0.6722</v>
      </c>
      <c r="FU15" s="176" t="n">
        <v>-0.389767</v>
      </c>
      <c r="FV15" s="179" t="n">
        <v>0.6151</v>
      </c>
      <c r="FW15" s="179" t="n">
        <v>0.6239</v>
      </c>
      <c r="FX15" s="178" t="n">
        <v>61952495.31</v>
      </c>
      <c r="FY15" s="186" t="n"/>
      <c r="FZ15" s="183" t="n"/>
      <c r="GA15" s="176" t="n"/>
      <c r="GB15" s="176" t="n"/>
      <c r="GC15" s="185" t="n"/>
      <c r="GD15" s="185" t="inlineStr">
        <is>
          <t>2027-05-19</t>
        </is>
      </c>
      <c r="GE15" s="176" t="n"/>
      <c r="GF15" s="176" t="n"/>
      <c r="GG15" s="179" t="n"/>
      <c r="GH15" s="181" t="inlineStr">
        <is>
          <t>CICC</t>
        </is>
      </c>
      <c r="GI15" s="183" t="n">
        <v>2</v>
      </c>
      <c r="GJ15" s="183" t="n">
        <v>0</v>
      </c>
      <c r="GK15" s="176" t="n">
        <v>0.025</v>
      </c>
      <c r="GL15" s="176" t="n">
        <v>0.01</v>
      </c>
      <c r="GM15" s="176" t="n">
        <v>0.035</v>
      </c>
      <c r="GN15" s="183" t="n">
        <v>0</v>
      </c>
      <c r="GO15" s="183" t="n">
        <v>0</v>
      </c>
      <c r="GP15" s="183" t="n">
        <v>0</v>
      </c>
      <c r="GQ15" s="183" t="n">
        <v>6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55</v>
      </c>
      <c r="B16" s="47" t="inlineStr">
        <is>
          <t>1511.HK</t>
        </is>
      </c>
      <c r="C16" s="44" t="inlineStr">
        <is>
          <t>UISEE Technologies (Beijing) Co., Ltd. - H Shares</t>
        </is>
      </c>
      <c r="D16" s="189" t="n">
        <v>46154</v>
      </c>
      <c r="E16" s="189" t="n">
        <v>46162</v>
      </c>
      <c r="F16" s="43" t="inlineStr">
        <is>
          <t>CITIC Securities (Hong Kong) Limited</t>
        </is>
      </c>
      <c r="G16" s="43" t="inlineStr">
        <is>
          <t>Ernst &amp; Young</t>
        </is>
      </c>
      <c r="H16" s="43" t="n"/>
      <c r="I16" s="131" t="n">
        <v>174402675</v>
      </c>
      <c r="J16" s="148" t="n">
        <v>697607685</v>
      </c>
      <c r="K16" s="133" t="n">
        <v>60.3</v>
      </c>
      <c r="L16" t="n">
        <v>162485020</v>
      </c>
      <c r="M16" s="67" t="n">
        <v>14461200</v>
      </c>
      <c r="N16" t="n">
        <v>148023820</v>
      </c>
      <c r="O16" t="n">
        <v>148023820</v>
      </c>
      <c r="P16" t="n">
        <v>0</v>
      </c>
      <c r="Q16" t="n">
        <v>14461200</v>
      </c>
      <c r="R16" s="67" t="n">
        <v>13738100</v>
      </c>
      <c r="S16" s="67" t="n">
        <v>723100</v>
      </c>
      <c r="T16" s="147" t="n">
        <v>60.3</v>
      </c>
      <c r="U16" s="147" t="n">
        <v>60.3</v>
      </c>
      <c r="V16" s="169" t="n">
        <v>0</v>
      </c>
      <c r="W16" s="169" t="n">
        <v>0</v>
      </c>
      <c r="X16" s="170" t="inlineStr">
        <is>
          <t>Fixed price</t>
        </is>
      </c>
      <c r="Y16" s="26" t="inlineStr">
        <is>
          <t>RMB</t>
        </is>
      </c>
      <c r="Z16" s="137" t="n">
        <v>846494000</v>
      </c>
      <c r="AA16" s="137" t="n">
        <v>667782000</v>
      </c>
      <c r="AB16" s="137" t="n">
        <v>629789000</v>
      </c>
      <c r="AC16" s="137" t="n">
        <v>631661000</v>
      </c>
      <c r="AD16" s="137" t="n">
        <v>450289000</v>
      </c>
      <c r="AE16" s="137" t="n">
        <v>267603000</v>
      </c>
      <c r="AF16" s="137" t="n">
        <v>214833000</v>
      </c>
      <c r="AG16" s="137" t="n">
        <v>217493000</v>
      </c>
      <c r="AH16" s="137" t="n">
        <v>362186000</v>
      </c>
      <c r="AI16" s="137" t="n">
        <v>161363000</v>
      </c>
      <c r="AJ16" s="137" t="n">
        <v>265496000</v>
      </c>
      <c r="AK16" s="137" t="n">
        <v>328257000</v>
      </c>
      <c r="AL16" s="137" t="n">
        <v>-213126000</v>
      </c>
      <c r="AM16" s="137" t="n">
        <v>-211579000</v>
      </c>
      <c r="AN16" s="137" t="n">
        <v>-230170000</v>
      </c>
      <c r="AO16" s="137" t="n">
        <v>-213126000</v>
      </c>
      <c r="AP16" s="137" t="n">
        <v>-211579000</v>
      </c>
      <c r="AQ16" s="137" t="n">
        <v>-230170000</v>
      </c>
      <c r="AR16" s="142" t="n">
        <v>0.03</v>
      </c>
      <c r="AS16" s="142" t="n">
        <v>0.03</v>
      </c>
      <c r="AT16" s="84" t="n">
        <v>0.15</v>
      </c>
      <c r="AU16" s="51" t="inlineStr">
        <is>
          <t>Autonomous driving solutions</t>
        </is>
      </c>
      <c r="AV16" s="51" t="inlineStr">
        <is>
          <t>Chapter 18C of the Listing Rules</t>
        </is>
      </c>
      <c r="AW16" s="136" t="n">
        <v>46022</v>
      </c>
      <c r="AX16" s="137" t="n">
        <v>-173867000</v>
      </c>
      <c r="AY16" s="117" t="n">
        <v>113349000</v>
      </c>
      <c r="AZ16" s="117" t="n">
        <v>233690000</v>
      </c>
      <c r="BA16" s="117" t="n">
        <v>0</v>
      </c>
      <c r="BB16" s="138" t="n">
        <v>0.378</v>
      </c>
      <c r="BC16" s="139" t="n">
        <v>1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1</v>
      </c>
      <c r="BI16" s="161" t="n">
        <v>1</v>
      </c>
      <c r="BJ16" s="162" t="inlineStr">
        <is>
          <t>Angel: Sinovation Fund III, L.P.; Shaanxi Xike Angel Phase III Commercial Consultancy Partnership (LP); Zhen Partners IV (HK) Limited; Wuhu Keqi Automobile Technology Co., Ltd.; Beijing Qingshan Enterprise Angel Investment Partnership (LP). Series A: Ningbo Lanting Shiling Investment Partnership (LP); Lhasa Zhixing Innovative Technology Co., Ltd.; Century Gateway Investment Limited; Zhuhai GF Yunyi Smart Car Industry Fund (LP); Shaanxi Big Data Industry Investment Fund Partnership (LP); Beijing Yintai Jiahe Venture Capital Investment Co., Ltd.; Zhuhai GF Xinde Environment Protection Industry Investment Fund Partnership (LP); Zhen Partners IV (HK) Limited; Zhuhai Kangyuan Investment Enterprise (LP); CAS-Tech Fund I L.P.; Bosch (Shanghai) Venture Capital Investment Co., Ltd. Series B-1: Xinding Huaqi; CDBC Manufacturing Fund; Z-Park Longmen; Beijing Hard Tech II Fund; Tengyun Yuansheng; CICC Qihong; Shenzhen Capital Group (SCGC); Tianjin Hongtu; SCGC Hongrui; Shanghai Hongtu; Liyang Hongtu; Changzhou Hongtu; Jiangsu Zhongde; Jiaxing Jiayao; Xiamen Oak Forest; Liangjiang Innovative Fund; Keyuan Shenneng; Hengtong Datai; Xiamen Datai. Series B-2: Shanghai SOE Reform Fund; Beijing Smart Cloud City Investment Fund Center (LP); Xiangjiang Industrial Investment Co., Ltd.; Jiaxing Jiayao. Series B-3: Hubei High Quality Development Industry Investment Fund Partnership (LP); Taizhou Shengsheng Equity Investment Partnership (LP); CITIC Securities Investment Co., Ltd.; Yusheng Future (Zhuhai) Equity Investment Partnership (LP). Series C: Chongqing Science City Investment Holding Co., Ltd. (Chongke Investment); Xinzhifeng (Wuhan) Equity Investment Fund Partnership (LP).</t>
        </is>
      </c>
      <c r="BK16" s="163" t="n">
        <v>0.4767</v>
      </c>
      <c r="BL16" s="161" t="n">
        <v>1</v>
      </c>
      <c r="BM16" s="164" t="inlineStr">
        <is>
          <t>Angel Financing</t>
        </is>
      </c>
      <c r="BN16" s="165" t="n">
        <v>10.03</v>
      </c>
      <c r="BO16" s="51" t="inlineStr">
        <is>
          <t>Individual (natural person)</t>
        </is>
      </c>
      <c r="BP16" s="135" t="n">
        <v>0.3235</v>
      </c>
      <c r="BQ16" s="135" t="n">
        <v>0.3235</v>
      </c>
      <c r="BR16" s="137" t="n">
        <v>141066000</v>
      </c>
      <c r="BS16" s="51" t="inlineStr">
        <is>
          <t>Successfully commercialized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1</v>
      </c>
      <c r="CA16" s="60" t="inlineStr">
        <is>
          <t>702015</t>
        </is>
      </c>
      <c r="CB16" s="76" t="inlineStr">
        <is>
          <t>HSICS (Hang Seng Industry Classification System) 2026</t>
        </is>
      </c>
      <c r="CC16" s="140" t="n">
        <v>42403</v>
      </c>
      <c r="CD16" s="171" t="n">
        <v>10.29</v>
      </c>
      <c r="CE16" s="76" t="inlineStr">
        <is>
          <t>NA</t>
        </is>
      </c>
      <c r="CF16" s="89" t="inlineStr">
        <is>
          <t>Room 101, 1/F, Yuan Building 1, No. 85 Hongan Road, Fangshan District, Beijing, PRC</t>
        </is>
      </c>
      <c r="CG16" s="91" t="n">
        <v>1000</v>
      </c>
      <c r="CH16" s="60" t="inlineStr">
        <is>
          <t>IFRS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328257000</v>
      </c>
      <c r="CO16" s="64" t="n">
        <v>-230170000</v>
      </c>
      <c r="CP16" s="64" t="n">
        <v>-230170000</v>
      </c>
      <c r="CQ16" s="141" t="n">
        <v>46154</v>
      </c>
      <c r="CR16" s="141" t="n">
        <v>46157</v>
      </c>
      <c r="CS16" s="63" t="n">
        <v>126725450</v>
      </c>
      <c r="CT16" s="64" t="n">
        <v>167877000</v>
      </c>
      <c r="CU16" s="64" t="n">
        <v>8237000</v>
      </c>
      <c r="CV16" s="59" t="inlineStr">
        <is>
          <t>NA</t>
        </is>
      </c>
      <c r="CW16" s="64" t="n">
        <v>76700000</v>
      </c>
      <c r="CX16" s="51" t="inlineStr">
        <is>
          <t>Xiongan Autonomous Driving Limited; CYGG Holding Limited; Starwin International A LPF</t>
        </is>
      </c>
      <c r="CY16" s="142" t="n">
        <v>0.2996</v>
      </c>
      <c r="CZ16" s="136" t="n">
        <v>46346</v>
      </c>
      <c r="DA16" s="143" t="n">
        <v>6777.29</v>
      </c>
      <c r="DB16" s="63" t="n">
        <v>285972</v>
      </c>
      <c r="DC16" s="63" t="n">
        <v>4900657700</v>
      </c>
      <c r="DD16" s="59" t="inlineStr">
        <is>
          <t>Subscription level 6,777.29 times</t>
        </is>
      </c>
      <c r="DE16" s="141" t="inlineStr">
        <is>
          <t>NA</t>
        </is>
      </c>
      <c r="DF16" s="141" t="n">
        <v>46161</v>
      </c>
      <c r="DG16" s="63" t="n">
        <v>14461200</v>
      </c>
      <c r="DH16" s="63" t="n">
        <v>2892250</v>
      </c>
      <c r="DI16" s="63" t="n">
        <v>11568950</v>
      </c>
      <c r="DJ16" s="63" t="n">
        <v>0</v>
      </c>
      <c r="DK16" s="169" t="n">
        <v>0</v>
      </c>
      <c r="DL16" s="59" t="inlineStr">
        <is>
          <t>Claw-back triggered: Yes. 2,169,150 Offer Shares reallocated from the International Offering to the Hong Kong Public Offering; final Hong Kong Public Offering = 2,892,250 H Shares, 20% of the Global Offering.</t>
        </is>
      </c>
      <c r="DM16" s="144" t="n">
        <v>795400000</v>
      </c>
      <c r="DN16" s="142" t="n">
        <v>0.5874</v>
      </c>
      <c r="DO16" s="51" t="n">
        <v>162485020</v>
      </c>
      <c r="DP16" s="142" t="n">
        <v>0.0623</v>
      </c>
      <c r="DQ16" s="59" t="inlineStr">
        <is>
          <t>Free float numerator = 10,129,000 H Shares (Global Offering shares less Offer Shares allocated to Cornerstone Investors subject to a six-month lock-up and less H Shares converted from Unlisted Shares subject to a 12-month lock-up); denominator = total issued share capital upon Listing = 162,485,020.</t>
        </is>
      </c>
      <c r="DR16" s="63" t="n">
        <v>162485020</v>
      </c>
      <c r="DS16" s="142" t="n">
        <v>0.01982352</v>
      </c>
      <c r="DT16" s="80" t="n">
        <v>29</v>
      </c>
      <c r="DU16" s="142" t="n">
        <v>0.0268387</v>
      </c>
      <c r="DV16" s="144" t="n">
        <v>53980000000</v>
      </c>
      <c r="DW16" s="145" t="n">
        <v>57.5</v>
      </c>
      <c r="DX16" s="169" t="n">
        <v>-0.046434</v>
      </c>
      <c r="DY16" s="172" t="n">
        <v>-40491360</v>
      </c>
      <c r="DZ16" s="146" t="n">
        <v>56</v>
      </c>
      <c r="EA16" s="146" t="n">
        <v>61.5</v>
      </c>
      <c r="EB16" s="146" t="n">
        <v>50</v>
      </c>
      <c r="EC16" s="63" t="n">
        <v>6291050</v>
      </c>
      <c r="ED16" s="169" t="n">
        <v>0.43503</v>
      </c>
      <c r="EE16" s="64" t="n">
        <v>374852200</v>
      </c>
      <c r="EF16" s="60" t="inlineStr">
        <is>
          <t>Mechanism A</t>
        </is>
      </c>
      <c r="EG16" s="59" t="inlineStr">
        <is>
          <t>FINI (from 22/11/2023); 2025-08-04 pricing reform (Mechanism A/B; six-month cornerstone lock-up retained); this IPO: Mechanism A</t>
        </is>
      </c>
      <c r="EH16" t="inlineStr">
        <is>
          <t>驭势科技（北京）股份有限公司</t>
        </is>
      </c>
      <c r="EI16" s="174" t="inlineStr">
        <is>
          <t>Active</t>
        </is>
      </c>
      <c r="EJ16" s="175" t="n">
        <v>94.90000000000001</v>
      </c>
      <c r="EK16" s="176" t="n">
        <v>0.650435</v>
      </c>
      <c r="EL16" s="176" t="n">
        <v>0.573798</v>
      </c>
      <c r="EM16" s="176" t="n">
        <v>-0.052199</v>
      </c>
      <c r="EN16" s="176" t="n">
        <v>-0.04201</v>
      </c>
      <c r="EO16" s="179" t="n">
        <v>1.7413</v>
      </c>
      <c r="EP16" s="179" t="n">
        <v>1.7228</v>
      </c>
      <c r="EQ16" s="178" t="n">
        <v>61609110</v>
      </c>
      <c r="ER16" s="175" t="n"/>
      <c r="ES16" s="176" t="n"/>
      <c r="ET16" s="176" t="n"/>
      <c r="EU16" s="176" t="n"/>
      <c r="EV16" s="176" t="n"/>
      <c r="EW16" s="179" t="n"/>
      <c r="EX16" s="179" t="n"/>
      <c r="EY16" s="178" t="n"/>
      <c r="EZ16" s="176" t="n"/>
      <c r="FA16" s="176" t="n"/>
      <c r="FB16" s="179" t="n"/>
      <c r="FC16" s="176" t="n"/>
      <c r="FD16" s="179" t="n"/>
      <c r="FE16" s="174" t="inlineStr">
        <is>
          <t>18C (Specialist Tech)</t>
        </is>
      </c>
      <c r="FF16" s="181" t="n"/>
      <c r="FG16" s="185" t="n"/>
      <c r="FH16" s="183" t="n"/>
      <c r="FI16" s="178" t="n"/>
      <c r="FJ16" s="176" t="n">
        <v>0.05</v>
      </c>
      <c r="FK16" s="185" t="inlineStr">
        <is>
          <t>2026-05-20</t>
        </is>
      </c>
      <c r="FL16" s="178" t="n">
        <v>0</v>
      </c>
      <c r="FM16" s="176" t="n">
        <v>0</v>
      </c>
      <c r="FN16" s="176" t="n"/>
      <c r="FO16" s="176" t="n"/>
      <c r="FP16" s="176" t="n"/>
      <c r="FQ16" s="176" t="n">
        <v>0.338261</v>
      </c>
      <c r="FR16" s="179" t="n">
        <v>1.3553</v>
      </c>
      <c r="FS16" s="176" t="n">
        <v>0.650435</v>
      </c>
      <c r="FT16" s="179" t="n">
        <v>1.7413</v>
      </c>
      <c r="FU16" s="176" t="n">
        <v>0.04</v>
      </c>
      <c r="FV16" s="179" t="n">
        <v>1.0381</v>
      </c>
      <c r="FW16" s="179" t="n">
        <v>1.0783</v>
      </c>
      <c r="FX16" s="178" t="n">
        <v>33209068.75</v>
      </c>
      <c r="FY16" s="186" t="n"/>
      <c r="FZ16" s="183" t="n"/>
      <c r="GA16" s="176" t="n"/>
      <c r="GB16" s="176" t="n"/>
      <c r="GC16" s="185" t="inlineStr">
        <is>
          <t>2027-05-21</t>
        </is>
      </c>
      <c r="GD16" s="185" t="n"/>
      <c r="GE16" s="176" t="n"/>
      <c r="GF16" s="176" t="n"/>
      <c r="GG16" s="179" t="n"/>
      <c r="GH16" s="181" t="inlineStr">
        <is>
          <t>CICC</t>
        </is>
      </c>
      <c r="GI16" s="183" t="n">
        <v>2</v>
      </c>
      <c r="GJ16" s="183" t="n">
        <v>0</v>
      </c>
      <c r="GK16" s="176" t="n">
        <v>0.025</v>
      </c>
      <c r="GL16" s="176" t="n">
        <v>0.01</v>
      </c>
      <c r="GM16" s="176" t="n">
        <v>0.035</v>
      </c>
      <c r="GN16" s="183" t="n"/>
      <c r="GO16" s="183" t="n">
        <v>0</v>
      </c>
      <c r="GP16" s="183" t="n">
        <v>0</v>
      </c>
      <c r="GQ16" s="183" t="n">
        <v>6</v>
      </c>
      <c r="GR16" s="183" t="n">
        <v>0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56</v>
      </c>
      <c r="B17" s="47" t="inlineStr">
        <is>
          <t>7688.HK</t>
        </is>
      </c>
      <c r="C17" s="44" t="inlineStr">
        <is>
          <t>Shanghai Top Numerical Control Technology Co., Ltd. - H Shares</t>
        </is>
      </c>
      <c r="D17" s="189" t="n">
        <v>46154</v>
      </c>
      <c r="E17" s="189" t="n">
        <v>46162</v>
      </c>
      <c r="F17" s="43" t="inlineStr">
        <is>
          <t>Guotai Junan Capital Limited /
CCB International Capital Limited</t>
        </is>
      </c>
      <c r="G17" s="43" t="inlineStr">
        <is>
          <t>Ernst &amp; Young</t>
        </is>
      </c>
      <c r="H17" s="43" t="n"/>
      <c r="I17" s="131" t="n">
        <v>172405870</v>
      </c>
      <c r="J17" s="148" t="n">
        <v>1810261635</v>
      </c>
      <c r="K17" s="133" t="n">
        <v>26.39</v>
      </c>
      <c r="L17" t="n">
        <v>409281790</v>
      </c>
      <c r="M17" s="67" t="n">
        <v>65330000</v>
      </c>
      <c r="N17" t="n">
        <v>343951790</v>
      </c>
      <c r="O17" t="n">
        <v>343951790</v>
      </c>
      <c r="P17" t="n">
        <v>0</v>
      </c>
      <c r="Q17" t="n">
        <v>65330000</v>
      </c>
      <c r="R17" s="67" t="n">
        <v>58797000</v>
      </c>
      <c r="S17" s="67" t="n">
        <v>6533000</v>
      </c>
      <c r="T17" s="147" t="n">
        <v>26.39</v>
      </c>
      <c r="U17" s="147" t="n">
        <v>26.39</v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1121883000</v>
      </c>
      <c r="AA17" s="137" t="n">
        <v>984086000</v>
      </c>
      <c r="AB17" s="137" t="n">
        <v>1013144000</v>
      </c>
      <c r="AC17" s="137" t="n">
        <v>133520000</v>
      </c>
      <c r="AD17" s="137" t="n">
        <v>169056000</v>
      </c>
      <c r="AE17" s="137" t="n">
        <v>179774000</v>
      </c>
      <c r="AF17" s="137" t="n">
        <v>988363000</v>
      </c>
      <c r="AG17" s="137" t="n">
        <v>815030000</v>
      </c>
      <c r="AH17" s="137" t="n">
        <v>833370000</v>
      </c>
      <c r="AI17" s="137" t="n">
        <v>334630000</v>
      </c>
      <c r="AJ17" s="137" t="n">
        <v>531556000</v>
      </c>
      <c r="AK17" s="137" t="n">
        <v>577978000</v>
      </c>
      <c r="AL17" s="137" t="n">
        <v>-62269000</v>
      </c>
      <c r="AM17" s="137" t="n">
        <v>6886000</v>
      </c>
      <c r="AN17" s="137" t="n">
        <v>1625000</v>
      </c>
      <c r="AO17" s="137" t="n">
        <v>-62340000</v>
      </c>
      <c r="AP17" s="137" t="n">
        <v>6886000</v>
      </c>
      <c r="AQ17" s="137" t="n">
        <v>1625000</v>
      </c>
      <c r="AR17" s="142" t="n">
        <v>0.0216</v>
      </c>
      <c r="AS17" s="142" t="n">
        <v>0.0216</v>
      </c>
      <c r="AT17" s="84" t="n">
        <v>0.15</v>
      </c>
      <c r="AU17" s="51" t="inlineStr">
        <is>
          <t>R&amp;D, design, production and sales of high-end intelligent manufacturing equipment, comprising primarily five-axis CNC machine tools</t>
        </is>
      </c>
      <c r="AV17" s="51" t="inlineStr">
        <is>
          <t>Main Board of the Stock Exchange, Rule 8.05(3) market capitalisation/revenue test</t>
        </is>
      </c>
      <c r="AW17" s="136" t="n">
        <v>46022</v>
      </c>
      <c r="AX17" s="137" t="n">
        <v>25394000</v>
      </c>
      <c r="AY17" s="117" t="n">
        <v>208930000</v>
      </c>
      <c r="AZ17" s="117" t="n">
        <v>106819000</v>
      </c>
      <c r="BA17" s="117" t="n">
        <v>0</v>
      </c>
      <c r="BB17" s="138" t="n">
        <v>0.801</v>
      </c>
      <c r="BC17" s="139" t="n">
        <v>1</v>
      </c>
      <c r="BD17" s="80" t="n">
        <v>1</v>
      </c>
      <c r="BE17" s="161" t="n">
        <v>1</v>
      </c>
      <c r="BF17" s="161" t="n">
        <v>1</v>
      </c>
      <c r="BG17" s="161" t="inlineStr">
        <is>
          <t>NaN</t>
        </is>
      </c>
      <c r="BH17" s="161" t="n">
        <v>1</v>
      </c>
      <c r="BI17" s="161" t="n">
        <v>1</v>
      </c>
      <c r="BJ17" s="162" t="inlineStr">
        <is>
          <t>Shanghai Yiding Investment LP; Shenzhen Hehui Investment LP; Shenzhen Zhongyi Investment LP; Hanzhong Zhonghe LP; Shanghai Xixiao LP; Zhuhai Jiufeite Changsheng Investment LP; Zhuhai Jiufeite Jiufu Investment LP; Jiaxing CDH Investment LP; Changzhou Yongyuan Investment LP; Jiaxing Yongzhong Investment LP; Yiwu Dongshun Real Estate; Guangzhou Huangpu Investment LP; Shanghai Linsong LP; Shanghai Songfanhui LP; Changzhou Xiangnong Investment LP; GQC Xinzhou VC LP; Jiaxing Tengyin Investment LP; Hainan Yujun Investment LP; GQC Yuantuo Investment LP; Zhuhai Junlian VC LP; Zhuhai Jiufeite Jiufu No. 5 Investment LP; Yangzhou Xinyuan Investment LP; Pingtan Boda Investment LP; Foshan ZFBN Investment LP; Foshan ZFTC VC LP; Zhuhai Ruixin Investment LP; Zhuhai QKCX Investment LP; Jiaxing Nanhu Keying Investment LP; Qingdao South China Dingye Investment LP; Jiaxing Hongyang Investment LP; Qingdao ZJQX VC LP; Tianjin Haisheng Investment LP; China Post Life Insurance; Beijing Yuanjing Investment LP; Beijing Jingguo Investment LP; Jiaxing Zhiyou VC LP; Xuchang Digital Economy Investment LP; Rizhao Muzhizhi Investment LP; Jiangsu Jianyin; Tianjin Winfund LP; Guangzhou Yujian Manufacturing LP</t>
        </is>
      </c>
      <c r="BK17" s="163" t="inlineStr">
        <is>
          <t>NaN</t>
        </is>
      </c>
      <c r="BL17" s="161" t="n">
        <v>1</v>
      </c>
      <c r="BM17" s="164" t="inlineStr">
        <is>
          <t>Early Investment</t>
        </is>
      </c>
      <c r="BN17" s="165" t="n">
        <v>15.6</v>
      </c>
      <c r="BO17" s="51" t="inlineStr">
        <is>
          <t>Individual (Dr. Wang)</t>
        </is>
      </c>
      <c r="BP17" s="135" t="n">
        <v>0.326</v>
      </c>
      <c r="BQ17" s="135" t="n">
        <v>0.326</v>
      </c>
      <c r="BR17" s="137" t="n">
        <v>346407000</v>
      </c>
      <c r="BS17" s="51" t="inlineStr">
        <is>
          <t>Commercialised - products in production and sales; large-span carbon fiber composite five-axis machine tools first sold in FY2025</t>
        </is>
      </c>
      <c r="BT17" s="142" t="n">
        <v>0.06</v>
      </c>
      <c r="BU17" s="60" t="inlineStr">
        <is>
          <t>Main Board</t>
        </is>
      </c>
      <c r="BV17" s="89" t="inlineStr">
        <is>
          <t>H Shares</t>
        </is>
      </c>
      <c r="BW17" s="61" t="n">
        <v>0</v>
      </c>
      <c r="BX17" s="77" t="n">
        <v>0</v>
      </c>
      <c r="BY17" s="77" t="n">
        <v>0</v>
      </c>
      <c r="BZ17" s="78" t="n">
        <v>0</v>
      </c>
      <c r="CA17" s="60" t="inlineStr">
        <is>
          <t>101020</t>
        </is>
      </c>
      <c r="CB17" s="76" t="inlineStr">
        <is>
          <t>HSICS (Hang Seng Industry Classification System) 2026</t>
        </is>
      </c>
      <c r="CC17" s="140" t="n">
        <v>39220</v>
      </c>
      <c r="CD17" s="171" t="n">
        <v>19.01</v>
      </c>
      <c r="CE17" s="76" t="inlineStr">
        <is>
          <t>NA</t>
        </is>
      </c>
      <c r="CF17" s="89" t="inlineStr">
        <is>
          <t>No. 888, Guanghua Road, Minhang District, Shanghai, the PRC</t>
        </is>
      </c>
      <c r="CG17" s="91" t="n">
        <v>1000</v>
      </c>
      <c r="CH17" s="60" t="inlineStr">
        <is>
          <t>IFRS Accounting Standards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577978000</v>
      </c>
      <c r="CO17" s="64" t="n">
        <v>1625000</v>
      </c>
      <c r="CP17" s="64" t="n">
        <v>1625000</v>
      </c>
      <c r="CQ17" s="141" t="n">
        <v>46154</v>
      </c>
      <c r="CR17" s="141" t="n">
        <v>46157</v>
      </c>
      <c r="CS17" s="63" t="n">
        <v>371472904</v>
      </c>
      <c r="CT17" s="64" t="n">
        <v>204358000</v>
      </c>
      <c r="CU17" s="64" t="n">
        <v>39065000</v>
      </c>
      <c r="CV17" s="59" t="inlineStr">
        <is>
          <t>Unqualified opinion</t>
        </is>
      </c>
      <c r="CW17" s="64" t="n">
        <v>117650000</v>
      </c>
      <c r="CX17" s="51" t="inlineStr">
        <is>
          <t>RBC; 3W; Boyu; HHLRA; UBS AM Singapore; CDH; Cithara Fund; Fullgoal Fund; Fullgoal HK; China AMC; Shanghai Minhang; TT International; Mirae Asset; GSAM</t>
        </is>
      </c>
      <c r="CY17" s="142" t="n">
        <v>0.5</v>
      </c>
      <c r="CZ17" s="136" t="n">
        <v>46346</v>
      </c>
      <c r="DA17" s="143" t="n">
        <v>3764.63</v>
      </c>
      <c r="DB17" s="63" t="n">
        <v>344049</v>
      </c>
      <c r="DC17" s="63" t="n">
        <v>24594360400</v>
      </c>
      <c r="DD17" s="59" t="inlineStr">
        <is>
          <t>Subscription level 3,764.63 times</t>
        </is>
      </c>
      <c r="DE17" s="141" t="inlineStr">
        <is>
          <t>NA</t>
        </is>
      </c>
      <c r="DF17" s="141" t="n">
        <v>46161</v>
      </c>
      <c r="DG17" s="63" t="n">
        <v>65330000</v>
      </c>
      <c r="DH17" s="63" t="n">
        <v>6533000</v>
      </c>
      <c r="DI17" s="63" t="n">
        <v>58797000</v>
      </c>
      <c r="DJ17" s="63" t="n">
        <v>9799500</v>
      </c>
      <c r="DK17" s="169" t="n">
        <v>1</v>
      </c>
      <c r="DL17" s="59" t="inlineStr">
        <is>
          <t>Reallocation: No. 0 Offer Shares reallocated from the International Offering; final number of Offer Shares under the Hong Kong Public Offering 6,533,000, being 10.00% of the Global Offering (before exercise of the Over-allotment Option).</t>
        </is>
      </c>
      <c r="DM17" s="144" t="n">
        <v>1606400000</v>
      </c>
      <c r="DN17" s="142" t="n">
        <v>0.5495</v>
      </c>
      <c r="DO17" s="51" t="n">
        <v>409281790</v>
      </c>
      <c r="DP17" s="142" t="n">
        <v>0.0798</v>
      </c>
      <c r="DQ17" s="59" t="inlineStr">
        <is>
          <t>Free float denominator = total issued shares upon listing (col_CZ); numerator = offer shares minus cornerstone allocation</t>
        </is>
      </c>
      <c r="DR17" s="63" t="n">
        <v>409281790</v>
      </c>
      <c r="DS17" s="142" t="n">
        <v>0.01982352</v>
      </c>
      <c r="DT17" s="80" t="n">
        <v>29</v>
      </c>
      <c r="DU17" s="142" t="n">
        <v>0.0268387</v>
      </c>
      <c r="DV17" s="144" t="n">
        <v>53980000000</v>
      </c>
      <c r="DW17" s="145" t="n">
        <v>47.5</v>
      </c>
      <c r="DX17" s="169" t="n">
        <v>0.799924</v>
      </c>
      <c r="DY17" s="172" t="n">
        <v>1379116300</v>
      </c>
      <c r="DZ17" s="146" t="n">
        <v>37</v>
      </c>
      <c r="EA17" s="146" t="n">
        <v>48.4</v>
      </c>
      <c r="EB17" s="146" t="n">
        <v>33.8</v>
      </c>
      <c r="EC17" s="63" t="n">
        <v>40537134</v>
      </c>
      <c r="ED17" s="169" t="n">
        <v>0.620498</v>
      </c>
      <c r="EE17" s="64" t="n">
        <v>1607535900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上海拓璞数控科技股份有限公司</t>
        </is>
      </c>
      <c r="EI17" s="174" t="inlineStr">
        <is>
          <t>Active</t>
        </is>
      </c>
      <c r="EJ17" s="175" t="n">
        <v>28.5</v>
      </c>
      <c r="EK17" s="176" t="n">
        <v>-0.4</v>
      </c>
      <c r="EL17" s="176" t="n">
        <v>0.079955</v>
      </c>
      <c r="EM17" s="176" t="n">
        <v>-0.052199</v>
      </c>
      <c r="EN17" s="176" t="n">
        <v>-0.04201</v>
      </c>
      <c r="EO17" s="179" t="n">
        <v>0.633</v>
      </c>
      <c r="EP17" s="179" t="n">
        <v>0.6263</v>
      </c>
      <c r="EQ17" s="178" t="n">
        <v>150417960</v>
      </c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Guotai Junan Securities (Hong Kong) Limited</t>
        </is>
      </c>
      <c r="FG17" s="185" t="n"/>
      <c r="FH17" s="183" t="n">
        <v>0</v>
      </c>
      <c r="FI17" s="178" t="n">
        <v>9799500</v>
      </c>
      <c r="FJ17" s="176" t="n"/>
      <c r="FK17" s="185" t="n"/>
      <c r="FL17" s="178" t="n">
        <v>9799500</v>
      </c>
      <c r="FM17" s="176" t="n">
        <v>1</v>
      </c>
      <c r="FN17" s="176" t="n"/>
      <c r="FO17" s="176" t="n"/>
      <c r="FP17" s="176" t="n"/>
      <c r="FQ17" s="176" t="n">
        <v>-0.215158</v>
      </c>
      <c r="FR17" s="179" t="n">
        <v>0.7948</v>
      </c>
      <c r="FS17" s="176" t="n">
        <v>-0.4</v>
      </c>
      <c r="FT17" s="179" t="n">
        <v>0.633</v>
      </c>
      <c r="FU17" s="176" t="n">
        <v>-0.66</v>
      </c>
      <c r="FV17" s="179" t="n">
        <v>0.3394</v>
      </c>
      <c r="FW17" s="179" t="n">
        <v>0.3525</v>
      </c>
      <c r="FX17" s="178" t="n">
        <v>60390595.31</v>
      </c>
      <c r="FY17" s="186" t="n"/>
      <c r="FZ17" s="183" t="n"/>
      <c r="GA17" s="176" t="n"/>
      <c r="GB17" s="176" t="n"/>
      <c r="GC17" s="185" t="inlineStr">
        <is>
          <t>2026-11-21</t>
        </is>
      </c>
      <c r="GD17" s="185" t="inlineStr">
        <is>
          <t>2027-05-21</t>
        </is>
      </c>
      <c r="GE17" s="176" t="n"/>
      <c r="GF17" s="176" t="n"/>
      <c r="GG17" s="179" t="n"/>
      <c r="GH17" s="181" t="inlineStr">
        <is>
          <t>CICC</t>
        </is>
      </c>
      <c r="GI17" s="183" t="n">
        <v>2</v>
      </c>
      <c r="GJ17" s="183" t="n">
        <v>0</v>
      </c>
      <c r="GK17" s="176" t="n">
        <v>0.025</v>
      </c>
      <c r="GL17" s="176" t="n">
        <v>0.01</v>
      </c>
      <c r="GM17" s="176" t="n">
        <v>0.035</v>
      </c>
      <c r="GN17" s="183" t="n"/>
      <c r="GO17" s="183" t="n">
        <v>0</v>
      </c>
      <c r="GP17" s="183" t="n">
        <v>0</v>
      </c>
      <c r="GQ17" s="183" t="n">
        <v>6</v>
      </c>
      <c r="GR17" s="183" t="n">
        <v>0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57</v>
      </c>
      <c r="B18" s="47" t="inlineStr">
        <is>
          <t>6872.HK</t>
        </is>
      </c>
      <c r="C18" s="44" t="inlineStr">
        <is>
          <t>TenNor Therapeutics (Suzhou) Limited - B - H Shares</t>
        </is>
      </c>
      <c r="D18" s="189" t="n">
        <v>46156</v>
      </c>
      <c r="E18" s="189" t="n">
        <v>46164</v>
      </c>
      <c r="F18" s="43" t="inlineStr">
        <is>
          <t>CITIC Securities (Hong Kong) Limited /
ABCI Capital Limited</t>
        </is>
      </c>
      <c r="G18" s="43" t="inlineStr">
        <is>
          <t>PricewaterhouseCoopers</t>
        </is>
      </c>
      <c r="H18" s="43" t="n"/>
      <c r="I18" s="131" t="n">
        <v>62687170</v>
      </c>
      <c r="J18" s="148" t="n">
        <v>607712030</v>
      </c>
      <c r="K18" s="133" t="n">
        <v>75.7</v>
      </c>
      <c r="L18" t="n">
        <v>51753476</v>
      </c>
      <c r="M18" s="67" t="n">
        <v>8280550</v>
      </c>
      <c r="N18" t="n">
        <v>43472926</v>
      </c>
      <c r="O18" t="n">
        <v>43472926</v>
      </c>
      <c r="P18" t="n">
        <v>0</v>
      </c>
      <c r="Q18" t="n">
        <v>8280550</v>
      </c>
      <c r="R18" s="67" t="n">
        <v>7452450</v>
      </c>
      <c r="S18" s="67" t="n">
        <v>828100</v>
      </c>
      <c r="T18" s="147" t="n">
        <v>75.7</v>
      </c>
      <c r="U18" s="147" t="n">
        <v>75.7</v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96054000</v>
      </c>
      <c r="AA18" s="137" t="n">
        <v>132886000</v>
      </c>
      <c r="AB18" s="137" t="n">
        <v>227036000</v>
      </c>
      <c r="AC18" s="137" t="n">
        <v>-758909000</v>
      </c>
      <c r="AD18" s="137" t="n">
        <v>-898048000</v>
      </c>
      <c r="AE18" s="137" t="n">
        <v>153857000</v>
      </c>
      <c r="AF18" s="137" t="n">
        <v>854963000</v>
      </c>
      <c r="AG18" s="137" t="n">
        <v>1030934000</v>
      </c>
      <c r="AH18" s="137" t="n">
        <v>73179000</v>
      </c>
      <c r="AI18" s="137" t="n">
        <v>0</v>
      </c>
      <c r="AJ18" s="137" t="n">
        <v>0</v>
      </c>
      <c r="AK18" s="137" t="n">
        <v>0</v>
      </c>
      <c r="AL18" s="137" t="n">
        <v>-191844000</v>
      </c>
      <c r="AM18" s="137" t="n">
        <v>-145929000</v>
      </c>
      <c r="AN18" s="137" t="n">
        <v>-153244000</v>
      </c>
      <c r="AO18" s="137" t="n">
        <v>-191844000</v>
      </c>
      <c r="AP18" s="137" t="n">
        <v>-145929000</v>
      </c>
      <c r="AQ18" s="137" t="n">
        <v>-153244000</v>
      </c>
      <c r="AR18" s="142" t="n">
        <v>0.03</v>
      </c>
      <c r="AS18" s="142" t="n">
        <v>0.03</v>
      </c>
      <c r="AT18" s="84" t="n">
        <v>0.15</v>
      </c>
      <c r="AU18" s="51" t="inlineStr">
        <is>
          <t>Biotechnology - discovery, development and commercialization of innovative antibacterial therapies</t>
        </is>
      </c>
      <c r="AV18" s="51" t="inlineStr">
        <is>
          <t>Chapter 18A of the Listing Rules</t>
        </is>
      </c>
      <c r="AW18" s="136" t="n">
        <v>46022</v>
      </c>
      <c r="AX18" s="137" t="n">
        <v>-87195000</v>
      </c>
      <c r="AY18" s="117" t="n">
        <v>183765000</v>
      </c>
      <c r="AZ18" s="117" t="n">
        <v>71872000</v>
      </c>
      <c r="BA18" s="117" t="n">
        <v>0</v>
      </c>
      <c r="BB18" s="138" t="inlineStr">
        <is>
          <t>NaN</t>
        </is>
      </c>
      <c r="BC18" s="139" t="n">
        <v>1</v>
      </c>
      <c r="BD18" s="80" t="n">
        <v>1</v>
      </c>
      <c r="BE18" s="161" t="n">
        <v>1</v>
      </c>
      <c r="BF18" s="161" t="n">
        <v>1</v>
      </c>
      <c r="BG18" s="161" t="n">
        <v>1</v>
      </c>
      <c r="BH18" s="161" t="n">
        <v>1</v>
      </c>
      <c r="BI18" s="161" t="inlineStr">
        <is>
          <t>NaN</t>
        </is>
      </c>
      <c r="BJ18" s="162" t="inlineStr">
        <is>
          <t>AMR Action Fund, L.P.; AMR Action Fund, SCSp; WuXi PharmaTech Healthcare Fund I L.P. (WuXi Fund); Northern Light Venture Capital IV, Ltd. (via Immense Vantage Limited); China Life Sciences Access Fund, L.P.; Suzhou Frontline Bioventure Capital Investment Partnership (LP); Suzhou Frontline Bioventures Venture Capital Investment Partnership (LP) Fund II; Suzhou Industrial Park Origin Ventures Co., Ltd.; Suzhou Industrial Park Oriza Zhengze Venture Capital I (LP); Nongyin No. 2 Wuxi Equity Investment Center; MAL Investment Company; Allen Chao Interests, Ltd.; Relativity Healthcare Fund, LLC; Huzhou Zhongnuo Venture Capital Investment Partnership (LP); WuXi Guolian Guokang Health Industry Investment Center (LP); Ningbo Xiangshang; Ningbo Yaoshang; Ningbo Yanyuan; Ningbo Borong; Ningbo Rongshun; Suzhou GTJA; Yantai GTJA; Hainan Century Star River Investment Co., Ltd.; Suzhou Qianrong Yingrun Equity Investment Partnership (LP); Suzhou Yuankang Dingxiang Investment Management Partnership (LP); Zhongshan Entities; Kangnuo; Susui Investment; Borun Mingdu; Yuanjing Investment; Beijing Jingguo Chuang; Yangzhou Jinye; Cumbre</t>
        </is>
      </c>
      <c r="BK18" s="163" t="inlineStr">
        <is>
          <t>NaN</t>
        </is>
      </c>
      <c r="BL18" s="161" t="n">
        <v>1</v>
      </c>
      <c r="BM18" s="164" t="inlineStr">
        <is>
          <t>Series A Financing</t>
        </is>
      </c>
      <c r="BN18" s="165" t="n">
        <v>12.9</v>
      </c>
      <c r="BO18" s="51" t="inlineStr">
        <is>
          <t>No controlling shareholder</t>
        </is>
      </c>
      <c r="BP18" s="135" t="inlineStr">
        <is>
          <t>NaN</t>
        </is>
      </c>
      <c r="BQ18" s="135" t="inlineStr">
        <is>
          <t>NaN</t>
        </is>
      </c>
      <c r="BR18" s="137" t="n">
        <v>28654000</v>
      </c>
      <c r="BS18" s="51" t="inlineStr">
        <is>
          <t>Near-commercial stage</t>
        </is>
      </c>
      <c r="BT18" s="142" t="n">
        <v>0</v>
      </c>
      <c r="BU18" s="60" t="inlineStr">
        <is>
          <t>Main Board</t>
        </is>
      </c>
      <c r="BV18" s="89" t="inlineStr">
        <is>
          <t>H Shares</t>
        </is>
      </c>
      <c r="BW18" s="61" t="n">
        <v>0</v>
      </c>
      <c r="BX18" s="77" t="n">
        <v>0</v>
      </c>
      <c r="BY18" s="77" t="n">
        <v>1</v>
      </c>
      <c r="BZ18" s="78" t="n">
        <v>0</v>
      </c>
      <c r="CA18" s="60" t="inlineStr">
        <is>
          <t>281010</t>
        </is>
      </c>
      <c r="CB18" s="76" t="inlineStr">
        <is>
          <t>HSICS (Hang Seng Industry Classification System) 2026</t>
        </is>
      </c>
      <c r="CC18" s="140" t="n">
        <v>41330</v>
      </c>
      <c r="CD18" s="171" t="n">
        <v>13.23</v>
      </c>
      <c r="CE18" s="76" t="inlineStr">
        <is>
          <t>NA</t>
        </is>
      </c>
      <c r="CF18" s="89" t="inlineStr">
        <is>
          <t>Suzhou, Jiangsu Province, PRC</t>
        </is>
      </c>
      <c r="CG18" s="91" t="n">
        <v>1000</v>
      </c>
      <c r="CH18" s="60" t="inlineStr">
        <is>
          <t>HKFRS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>
        <v>0</v>
      </c>
      <c r="CO18" s="64" t="n">
        <v>-153244000</v>
      </c>
      <c r="CP18" s="64" t="n">
        <v>-153244000</v>
      </c>
      <c r="CQ18" s="141" t="n">
        <v>46156</v>
      </c>
      <c r="CR18" s="141" t="n">
        <v>46161</v>
      </c>
      <c r="CS18" s="63" t="n">
        <v>51753476</v>
      </c>
      <c r="CT18" s="64" t="inlineStr">
        <is>
          <t>NaN</t>
        </is>
      </c>
      <c r="CU18" s="64" t="n">
        <v>453000</v>
      </c>
      <c r="CV18" s="59" t="inlineStr">
        <is>
          <t>Unqualified opinion</t>
        </is>
      </c>
      <c r="CW18" s="64" t="n">
        <v>69000000</v>
      </c>
      <c r="CX18" s="51" t="inlineStr">
        <is>
          <t>AMR Action Fund, L.P.; AMR Action Fund, SCSp; Hua Yuan International Limited; Orient Asset Management (Hong Kong) Limited; June Star Global Limited</t>
        </is>
      </c>
      <c r="CY18" s="142" t="n">
        <v>0.3481</v>
      </c>
      <c r="CZ18" s="136" t="n">
        <v>46348</v>
      </c>
      <c r="DA18" s="143" t="n">
        <v>9015.110000000001</v>
      </c>
      <c r="DB18" s="63" t="n">
        <v>275978</v>
      </c>
      <c r="DC18" s="63" t="n">
        <v>7465408500</v>
      </c>
      <c r="DD18" s="59" t="inlineStr">
        <is>
          <t>Subscription level 9,015.11 times</t>
        </is>
      </c>
      <c r="DE18" s="141" t="inlineStr">
        <is>
          <t>NA</t>
        </is>
      </c>
      <c r="DF18" s="141" t="n">
        <v>46163</v>
      </c>
      <c r="DG18" s="63" t="n">
        <v>8856000</v>
      </c>
      <c r="DH18" s="63" t="n">
        <v>828100</v>
      </c>
      <c r="DI18" s="63" t="n">
        <v>8027900</v>
      </c>
      <c r="DJ18" s="63" t="n">
        <v>0</v>
      </c>
      <c r="DK18" s="169" t="n">
        <v>0</v>
      </c>
      <c r="DL18" s="59" t="inlineStr">
        <is>
          <t>Claw-back not triggered (N/A); no Offer Shares reallocated from the International Offering to the Hong Kong Public Offering (0 H Shares)</t>
        </is>
      </c>
      <c r="DM18" s="144" t="n">
        <v>598300000</v>
      </c>
      <c r="DN18" s="142" t="n">
        <v>0.7306</v>
      </c>
      <c r="DO18" s="51" t="n">
        <v>52328926</v>
      </c>
      <c r="DP18" s="142" t="n">
        <v>0.1103</v>
      </c>
      <c r="DQ18" s="59" t="inlineStr">
        <is>
          <t>Free float denominator = total issued shares upon listing (col_CZ); numerator = offer shares minus cornerstone allocation</t>
        </is>
      </c>
      <c r="DR18" s="63" t="n">
        <v>52328926</v>
      </c>
      <c r="DS18" s="142" t="n">
        <v>0.01994873</v>
      </c>
      <c r="DT18" s="80" t="n">
        <v>30</v>
      </c>
      <c r="DU18" s="142" t="n">
        <v>0.027</v>
      </c>
      <c r="DV18" s="144" t="n">
        <v>53975000000</v>
      </c>
      <c r="DW18" s="145" t="n">
        <v>211</v>
      </c>
      <c r="DX18" s="169" t="n">
        <v>1.787318</v>
      </c>
      <c r="DY18" s="172" t="n">
        <v>1198216800</v>
      </c>
      <c r="DZ18" s="146" t="n">
        <v>150</v>
      </c>
      <c r="EA18" s="146" t="n">
        <v>222.2</v>
      </c>
      <c r="EB18" s="146" t="n">
        <v>145</v>
      </c>
      <c r="EC18" s="63" t="n">
        <v>2458654</v>
      </c>
      <c r="ED18" s="169" t="n">
        <v>0.277626</v>
      </c>
      <c r="EE18" s="64" t="n">
        <v>369693300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丹诺医药(苏州)股份有限公司</t>
        </is>
      </c>
      <c r="EI18" s="174" t="inlineStr">
        <is>
          <t>Active</t>
        </is>
      </c>
      <c r="EJ18" s="175" t="n">
        <v>270</v>
      </c>
      <c r="EK18" s="176" t="n">
        <v>0.279621</v>
      </c>
      <c r="EL18" s="176" t="n">
        <v>2.566711</v>
      </c>
      <c r="EM18" s="176" t="n">
        <v>-0.07176100000000001</v>
      </c>
      <c r="EN18" s="176" t="n">
        <v>-0.065747</v>
      </c>
      <c r="EO18" s="179" t="n">
        <v>1.3785</v>
      </c>
      <c r="EP18" s="179" t="n">
        <v>1.3697</v>
      </c>
      <c r="EQ18" s="178" t="n">
        <v>38852615</v>
      </c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inlineStr">
        <is>
          <t>18A (Biotech / B-tag)</t>
        </is>
      </c>
      <c r="FF18" s="181" t="inlineStr">
        <is>
          <t>CLSA Limited</t>
        </is>
      </c>
      <c r="FG18" s="185" t="n"/>
      <c r="FH18" s="183" t="n"/>
      <c r="FI18" s="178" t="n"/>
      <c r="FJ18" s="176" t="n">
        <v>0.06950000000000001</v>
      </c>
      <c r="FK18" s="185" t="inlineStr">
        <is>
          <t>2026-05-22</t>
        </is>
      </c>
      <c r="FL18" s="178" t="n"/>
      <c r="FM18" s="176" t="n"/>
      <c r="FN18" s="176" t="n"/>
      <c r="FO18" s="176" t="n"/>
      <c r="FP18" s="176" t="n"/>
      <c r="FQ18" s="176" t="n">
        <v>-0.035071</v>
      </c>
      <c r="FR18" s="179" t="n">
        <v>0.9812</v>
      </c>
      <c r="FS18" s="176" t="n">
        <v>0.279621</v>
      </c>
      <c r="FT18" s="179" t="n">
        <v>1.3785</v>
      </c>
      <c r="FU18" s="176" t="n">
        <v>-0.049289</v>
      </c>
      <c r="FV18" s="179" t="n">
        <v>0.954</v>
      </c>
      <c r="FW18" s="179" t="n">
        <v>1.0077</v>
      </c>
      <c r="FX18" s="178" t="n">
        <v>20381029.69</v>
      </c>
      <c r="FY18" s="186" t="n"/>
      <c r="FZ18" s="183" t="n"/>
      <c r="GA18" s="176" t="n"/>
      <c r="GB18" s="176" t="n"/>
      <c r="GC18" s="185" t="n"/>
      <c r="GD18" s="185" t="inlineStr">
        <is>
          <t>2027-05-23</t>
        </is>
      </c>
      <c r="GE18" s="176" t="n"/>
      <c r="GF18" s="176" t="n"/>
      <c r="GG18" s="179" t="n"/>
      <c r="GH18" s="181" t="inlineStr">
        <is>
          <t>CICC</t>
        </is>
      </c>
      <c r="GI18" s="183" t="n">
        <v>2</v>
      </c>
      <c r="GJ18" s="183" t="n">
        <v>0</v>
      </c>
      <c r="GK18" s="176" t="n">
        <v>0.03</v>
      </c>
      <c r="GL18" s="176" t="n">
        <v>0.01</v>
      </c>
      <c r="GM18" s="176" t="n">
        <v>0.04</v>
      </c>
      <c r="GN18" s="183" t="n"/>
      <c r="GO18" s="183" t="n">
        <v>0</v>
      </c>
      <c r="GP18" s="183" t="n">
        <v>0</v>
      </c>
      <c r="GQ18" s="183" t="n">
        <v>6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58</v>
      </c>
      <c r="B19" s="47" t="inlineStr">
        <is>
          <t>0901.HK</t>
        </is>
      </c>
      <c r="C19" s="44" t="inlineStr">
        <is>
          <t>Shenzhen SDMC Technology Co., Ltd. - H Shares</t>
        </is>
      </c>
      <c r="D19" s="189" t="n">
        <v>46160</v>
      </c>
      <c r="E19" s="189" t="n">
        <v>46169</v>
      </c>
      <c r="F19" s="43" t="inlineStr">
        <is>
          <t>China Securities (International) Corporate Finance Company Limited</t>
        </is>
      </c>
      <c r="G19" s="43" t="inlineStr">
        <is>
          <t>Ernst &amp; Young</t>
        </is>
      </c>
      <c r="H19" s="43" t="n"/>
      <c r="I19" s="131" t="n">
        <v>63002240</v>
      </c>
      <c r="J19" s="148" t="n">
        <v>566997200</v>
      </c>
      <c r="K19" s="133" t="n">
        <v>32.8</v>
      </c>
      <c r="L19" t="n">
        <v>209540070</v>
      </c>
      <c r="M19" s="67" t="n">
        <v>19207300</v>
      </c>
      <c r="N19" t="n">
        <v>190332770</v>
      </c>
      <c r="O19" t="n">
        <v>190332770</v>
      </c>
      <c r="P19" t="n">
        <v>0</v>
      </c>
      <c r="Q19" t="n">
        <v>19207300</v>
      </c>
      <c r="R19" s="67" t="n">
        <v>17286500</v>
      </c>
      <c r="S19" s="67" t="n">
        <v>1920800</v>
      </c>
      <c r="T19" s="147" t="n">
        <v>32.8</v>
      </c>
      <c r="U19" s="147" t="n">
        <v>32.8</v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1824763000</v>
      </c>
      <c r="AA19" s="137" t="n">
        <v>2224758000</v>
      </c>
      <c r="AB19" s="137" t="n">
        <v>2573426000</v>
      </c>
      <c r="AC19" s="137" t="n">
        <v>900402000</v>
      </c>
      <c r="AD19" s="137" t="n">
        <v>1037053000</v>
      </c>
      <c r="AE19" s="137" t="n">
        <v>1267240000</v>
      </c>
      <c r="AF19" s="137" t="n">
        <v>924361000</v>
      </c>
      <c r="AG19" s="137" t="n">
        <v>1187705000</v>
      </c>
      <c r="AH19" s="137" t="n">
        <v>1306186000</v>
      </c>
      <c r="AI19" s="137" t="n">
        <v>2366870000</v>
      </c>
      <c r="AJ19" s="137" t="n">
        <v>2540936000</v>
      </c>
      <c r="AK19" s="137" t="n">
        <v>3367659000</v>
      </c>
      <c r="AL19" s="137" t="n">
        <v>200241000</v>
      </c>
      <c r="AM19" s="137" t="n">
        <v>141090000</v>
      </c>
      <c r="AN19" s="137" t="n">
        <v>251185000</v>
      </c>
      <c r="AO19" s="137" t="n">
        <v>191209000</v>
      </c>
      <c r="AP19" s="137" t="n">
        <v>137226000</v>
      </c>
      <c r="AQ19" s="137" t="n">
        <v>239153000</v>
      </c>
      <c r="AR19" s="142" t="n">
        <v>0.0135</v>
      </c>
      <c r="AS19" s="142" t="n">
        <v>0.0135</v>
      </c>
      <c r="AT19" s="84" t="n">
        <v>0.15</v>
      </c>
      <c r="AU19" s="51" t="inlineStr">
        <is>
          <t>Smart home products for enterprise customers</t>
        </is>
      </c>
      <c r="AV19" s="51" t="inlineStr">
        <is>
          <t>Chapter 19A of the Listing Rules (H Share issuer)</t>
        </is>
      </c>
      <c r="AW19" s="136" t="n">
        <v>46022</v>
      </c>
      <c r="AX19" s="137" t="n">
        <v>-134043000</v>
      </c>
      <c r="AY19" s="117" t="n">
        <v>273353000</v>
      </c>
      <c r="AZ19" s="117" t="n">
        <v>163900000</v>
      </c>
      <c r="BA19" s="117" t="n">
        <v>0</v>
      </c>
      <c r="BB19" s="138" t="n">
        <v>0.477</v>
      </c>
      <c r="BC19" s="139" t="n">
        <v>1</v>
      </c>
      <c r="BD19" s="80" t="n">
        <v>1</v>
      </c>
      <c r="BE19" s="161" t="n">
        <v>1</v>
      </c>
      <c r="BF19" s="161" t="n">
        <v>1</v>
      </c>
      <c r="BG19" s="161" t="inlineStr">
        <is>
          <t>NaN</t>
        </is>
      </c>
      <c r="BH19" s="161" t="n">
        <v>1</v>
      </c>
      <c r="BI19" s="161" t="inlineStr">
        <is>
          <t>NaN</t>
        </is>
      </c>
      <c r="BJ19" s="162" t="inlineStr">
        <is>
          <t>Panorama Capital Green Technology; Qihang No. 1; Qihang No. 2; Liu Minhua; Li Jingcheng; Wu Jun</t>
        </is>
      </c>
      <c r="BK19" s="163" t="n">
        <v>0.023</v>
      </c>
      <c r="BL19" s="161" t="n">
        <v>0</v>
      </c>
      <c r="BM19" s="164" t="inlineStr">
        <is>
          <t>Pre-IPO Investments (earliest April 1, 2025)</t>
        </is>
      </c>
      <c r="BN19" s="165" t="n">
        <v>1.13</v>
      </c>
      <c r="BO19" s="51" t="inlineStr">
        <is>
          <t>Individual (Mr. Li Bo)</t>
        </is>
      </c>
      <c r="BP19" s="135" t="n">
        <v>0.3326</v>
      </c>
      <c r="BQ19" s="135" t="n">
        <v>0.3326</v>
      </c>
      <c r="BR19" s="137" t="n">
        <v>231637000</v>
      </c>
      <c r="BS19" s="51" t="inlineStr">
        <is>
          <t>Customer testing and commercialization stage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0</v>
      </c>
      <c r="BX19" s="77" t="n">
        <v>0</v>
      </c>
      <c r="BY19" s="77" t="n">
        <v>0</v>
      </c>
      <c r="BZ19" s="78" t="n">
        <v>0</v>
      </c>
      <c r="CA19" s="60" t="inlineStr">
        <is>
          <t>701010</t>
        </is>
      </c>
      <c r="CB19" s="76" t="inlineStr">
        <is>
          <t>HSICS (Hang Seng Industry Classification System) 2026</t>
        </is>
      </c>
      <c r="CC19" s="140" t="n">
        <v>37916</v>
      </c>
      <c r="CD19" s="171" t="n">
        <v>22.6</v>
      </c>
      <c r="CE19" s="76" t="inlineStr">
        <is>
          <t>PRC</t>
        </is>
      </c>
      <c r="CF19" s="89" t="inlineStr">
        <is>
          <t>Room 1920, 19/F, Lee Garden One, 33 Hysan Avenue, Causeway Bay, Hong Kong</t>
        </is>
      </c>
      <c r="CG19" s="91" t="n">
        <v>1000</v>
      </c>
      <c r="CH19" s="60" t="inlineStr">
        <is>
          <t>HKFRS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3367659000</v>
      </c>
      <c r="CO19" s="64" t="n">
        <v>251185000</v>
      </c>
      <c r="CP19" s="64" t="n">
        <v>239153000</v>
      </c>
      <c r="CQ19" s="141" t="n">
        <v>46160</v>
      </c>
      <c r="CR19" s="141" t="n">
        <v>46163</v>
      </c>
      <c r="CS19" s="63" t="n">
        <v>209393562</v>
      </c>
      <c r="CT19" s="64" t="n">
        <v>656094000</v>
      </c>
      <c r="CU19" s="64" t="n">
        <v>21300000</v>
      </c>
      <c r="CV19" s="59" t="inlineStr">
        <is>
          <t>True and fair view (unqualified opinion)</t>
        </is>
      </c>
      <c r="CW19" s="64" t="n">
        <v>60000000</v>
      </c>
      <c r="CX19" s="51" t="inlineStr">
        <is>
          <t>NA</t>
        </is>
      </c>
      <c r="CY19" s="142" t="n">
        <v>0</v>
      </c>
      <c r="CZ19" s="136" t="inlineStr">
        <is>
          <t>NA</t>
        </is>
      </c>
      <c r="DA19" s="143" t="n">
        <v>1971.99</v>
      </c>
      <c r="DB19" s="63" t="n">
        <v>177196</v>
      </c>
      <c r="DC19" s="63" t="n">
        <v>3787797300</v>
      </c>
      <c r="DD19" s="59" t="inlineStr">
        <is>
          <t>Subscription level 1,971.99 times</t>
        </is>
      </c>
      <c r="DE19" s="141" t="inlineStr">
        <is>
          <t>NA</t>
        </is>
      </c>
      <c r="DF19" s="141" t="n">
        <v>46169</v>
      </c>
      <c r="DG19" s="63" t="n">
        <v>19207300</v>
      </c>
      <c r="DH19" s="63" t="n">
        <v>1920800</v>
      </c>
      <c r="DI19" s="63" t="n">
        <v>17286500</v>
      </c>
      <c r="DJ19" s="63" t="n">
        <v>0</v>
      </c>
      <c r="DK19" s="169" t="n">
        <v>0</v>
      </c>
      <c r="DL19" s="59" t="inlineStr">
        <is>
          <t>Claw-back triggered: N/A. No Offer Shares reallocated from the International Offering (0). Final no. of Offer Shares under the Hong Kong Public Offering 1,920,800, i.e. 10.00% of the Global Offering.</t>
        </is>
      </c>
      <c r="DM19" s="144" t="n">
        <v>570000000</v>
      </c>
      <c r="DN19" s="142" t="n">
        <v>0.5237000000000001</v>
      </c>
      <c r="DO19" s="51" t="n">
        <v>209540070</v>
      </c>
      <c r="DP19" s="142" t="n">
        <v>0.0917</v>
      </c>
      <c r="DQ19" s="59" t="inlineStr">
        <is>
          <t>Free float denominator = total issued shares upon listing (col_CZ); numerator = offer shares minus cornerstone allocation</t>
        </is>
      </c>
      <c r="DR19" s="63" t="n">
        <v>209540070</v>
      </c>
      <c r="DS19" s="142" t="n">
        <v>-0.01634935</v>
      </c>
      <c r="DT19" s="80" t="n">
        <v>28</v>
      </c>
      <c r="DU19" s="142" t="n">
        <v>0.0263881</v>
      </c>
      <c r="DV19" s="144" t="n">
        <v>54125000000</v>
      </c>
      <c r="DW19" s="145" t="n">
        <v>61.2</v>
      </c>
      <c r="DX19" s="169" t="n">
        <v>0.865854</v>
      </c>
      <c r="DY19" s="172" t="n">
        <v>545487320</v>
      </c>
      <c r="DZ19" s="146" t="n">
        <v>65.8</v>
      </c>
      <c r="EA19" s="146" t="n">
        <v>71.05</v>
      </c>
      <c r="EB19" s="146" t="n">
        <v>57.3</v>
      </c>
      <c r="EC19" s="63" t="n">
        <v>4980964</v>
      </c>
      <c r="ED19" s="169" t="n">
        <v>0.259327</v>
      </c>
      <c r="EE19" s="64" t="n">
        <v>296288340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深圳市华曦达科技股份有限公司</t>
        </is>
      </c>
      <c r="EI19" s="174" t="inlineStr">
        <is>
          <t>Active</t>
        </is>
      </c>
      <c r="EJ19" s="175" t="n">
        <v>71.5</v>
      </c>
      <c r="EK19" s="176" t="n">
        <v>0.168301</v>
      </c>
      <c r="EL19" s="176" t="n">
        <v>1.179878</v>
      </c>
      <c r="EM19" s="176" t="n">
        <v>-0.07564899999999999</v>
      </c>
      <c r="EN19" s="176" t="n">
        <v>-0.087324</v>
      </c>
      <c r="EO19" s="179" t="n">
        <v>1.2639</v>
      </c>
      <c r="EP19" s="179" t="n">
        <v>1.2801</v>
      </c>
      <c r="EQ19" s="178" t="n">
        <v>38837423.5</v>
      </c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inlineStr">
        <is>
          <t>Standard</t>
        </is>
      </c>
      <c r="FF19" s="181" t="n"/>
      <c r="FG19" s="185" t="n"/>
      <c r="FH19" s="183" t="n"/>
      <c r="FI19" s="178" t="n"/>
      <c r="FJ19" s="176" t="n"/>
      <c r="FK19" s="185" t="inlineStr">
        <is>
          <t>2026-05-27</t>
        </is>
      </c>
      <c r="FL19" s="178" t="n">
        <v>0</v>
      </c>
      <c r="FM19" s="176" t="n">
        <v>0</v>
      </c>
      <c r="FN19" s="176" t="n"/>
      <c r="FO19" s="176" t="n"/>
      <c r="FP19" s="176" t="n"/>
      <c r="FQ19" s="176" t="n">
        <v>0.06862699999999999</v>
      </c>
      <c r="FR19" s="179" t="n">
        <v>1.0395</v>
      </c>
      <c r="FS19" s="176" t="n">
        <v>0.168301</v>
      </c>
      <c r="FT19" s="179" t="n">
        <v>1.2639</v>
      </c>
      <c r="FU19" s="176" t="n">
        <v>0.295752</v>
      </c>
      <c r="FV19" s="179" t="n">
        <v>1.2837</v>
      </c>
      <c r="FW19" s="179" t="n">
        <v>1.3763</v>
      </c>
      <c r="FX19" s="178" t="n">
        <v>24287722.31</v>
      </c>
      <c r="FY19" s="186" t="n"/>
      <c r="FZ19" s="183" t="n"/>
      <c r="GA19" s="176" t="n"/>
      <c r="GB19" s="176" t="n"/>
      <c r="GC19" s="185" t="inlineStr">
        <is>
          <t>2026-11-28</t>
        </is>
      </c>
      <c r="GD19" s="185" t="inlineStr">
        <is>
          <t>2027-05-27</t>
        </is>
      </c>
      <c r="GE19" s="176" t="n"/>
      <c r="GF19" s="176" t="n"/>
      <c r="GG19" s="179" t="n"/>
      <c r="GH19" s="181" t="inlineStr">
        <is>
          <t>CICC</t>
        </is>
      </c>
      <c r="GI19" s="183" t="n">
        <v>2</v>
      </c>
      <c r="GJ19" s="183" t="n">
        <v>0</v>
      </c>
      <c r="GK19" s="176" t="n">
        <v>0.025</v>
      </c>
      <c r="GL19" s="176" t="n">
        <v>0.01</v>
      </c>
      <c r="GM19" s="176" t="n">
        <v>0.035</v>
      </c>
      <c r="GN19" s="183" t="n">
        <v>0</v>
      </c>
      <c r="GO19" s="183" t="n">
        <v>0</v>
      </c>
      <c r="GP19" s="183" t="n">
        <v>0</v>
      </c>
      <c r="GQ19" s="183" t="n">
        <v>6</v>
      </c>
      <c r="GR19" s="183" t="n">
        <v>0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59</v>
      </c>
      <c r="B20" s="47" t="inlineStr">
        <is>
          <t>2723.HK</t>
        </is>
      </c>
      <c r="C20" s="44" t="inlineStr">
        <is>
          <t>Beijing DeepZero Technology Co., Ltd. - H Shares</t>
        </is>
      </c>
      <c r="D20" s="189" t="n">
        <v>46160</v>
      </c>
      <c r="E20" s="189" t="n">
        <v>46169</v>
      </c>
      <c r="F20" s="43" t="inlineStr">
        <is>
          <t>ICBC International Capital Limited</t>
        </is>
      </c>
      <c r="G20" s="43" t="inlineStr">
        <is>
          <t>KPMG</t>
        </is>
      </c>
      <c r="H20" s="43" t="n"/>
      <c r="I20" s="131" t="n">
        <v>50327400</v>
      </c>
      <c r="J20" s="148" t="n">
        <v>452946600</v>
      </c>
      <c r="K20" s="133" t="n">
        <v>55.5</v>
      </c>
      <c r="L20" t="n">
        <v>90679175</v>
      </c>
      <c r="M20" s="67" t="n">
        <v>9068000</v>
      </c>
      <c r="N20" t="n">
        <v>81611175</v>
      </c>
      <c r="O20" t="n">
        <v>81611175</v>
      </c>
      <c r="P20" t="n">
        <v>0</v>
      </c>
      <c r="Q20" t="n">
        <v>9068000</v>
      </c>
      <c r="R20" s="67" t="n">
        <v>8161200</v>
      </c>
      <c r="S20" s="67" t="n">
        <v>906800</v>
      </c>
      <c r="T20" s="147" t="n">
        <v>55.5</v>
      </c>
      <c r="U20" s="147" t="n">
        <v>43.5</v>
      </c>
      <c r="V20" s="169" t="n">
        <v>0.121212</v>
      </c>
      <c r="W20" s="169" t="n">
        <v>0.242424</v>
      </c>
      <c r="X20" s="170" t="inlineStr">
        <is>
          <t>At high</t>
        </is>
      </c>
      <c r="Y20" s="26" t="inlineStr">
        <is>
          <t>RMB</t>
        </is>
      </c>
      <c r="Z20" s="137" t="n">
        <v>615421000</v>
      </c>
      <c r="AA20" s="137" t="n">
        <v>540178000</v>
      </c>
      <c r="AB20" s="137" t="n">
        <v>564254000</v>
      </c>
      <c r="AC20" s="137" t="n">
        <v>470546000</v>
      </c>
      <c r="AD20" s="137" t="n">
        <v>404679000</v>
      </c>
      <c r="AE20" s="137" t="n">
        <v>412290000</v>
      </c>
      <c r="AF20" s="137" t="n">
        <v>144875000</v>
      </c>
      <c r="AG20" s="137" t="n">
        <v>135499000</v>
      </c>
      <c r="AH20" s="137" t="n">
        <v>151964000</v>
      </c>
      <c r="AI20" s="137" t="n">
        <v>611190000</v>
      </c>
      <c r="AJ20" s="137" t="n">
        <v>537870000</v>
      </c>
      <c r="AK20" s="137" t="n">
        <v>576563000</v>
      </c>
      <c r="AL20" s="137" t="n">
        <v>64215000</v>
      </c>
      <c r="AM20" s="137" t="n">
        <v>20465000</v>
      </c>
      <c r="AN20" s="137" t="n">
        <v>7217000</v>
      </c>
      <c r="AO20" s="137" t="n">
        <v>60658000</v>
      </c>
      <c r="AP20" s="137" t="n">
        <v>21520000</v>
      </c>
      <c r="AQ20" s="137" t="n">
        <v>9177000</v>
      </c>
      <c r="AR20" s="142" t="n">
        <v>0.025</v>
      </c>
      <c r="AS20" s="142" t="n">
        <v>0.025</v>
      </c>
      <c r="AT20" s="84" t="inlineStr">
        <is>
          <t>NaN</t>
        </is>
      </c>
      <c r="AU20" s="51" t="inlineStr">
        <is>
          <t>AI application products for marketing and sales - intelligent advertising services and intelligent data management</t>
        </is>
      </c>
      <c r="AV20" s="51" t="inlineStr">
        <is>
          <t>Main Board - Rule 8.05(2) market capitalisation/revenue/cash flow test</t>
        </is>
      </c>
      <c r="AW20" s="136" t="n">
        <v>46022</v>
      </c>
      <c r="AX20" s="137" t="n">
        <v>31864000</v>
      </c>
      <c r="AY20" s="117" t="n">
        <v>154885000</v>
      </c>
      <c r="AZ20" s="117" t="n">
        <v>45755000</v>
      </c>
      <c r="BA20" s="117" t="n">
        <v>0</v>
      </c>
      <c r="BB20" s="138" t="n">
        <v>0.596</v>
      </c>
      <c r="BC20" s="139" t="n">
        <v>1</v>
      </c>
      <c r="BD20" s="80" t="n">
        <v>1</v>
      </c>
      <c r="BE20" s="161" t="n">
        <v>1</v>
      </c>
      <c r="BF20" s="161" t="n">
        <v>1</v>
      </c>
      <c r="BG20" s="161" t="n">
        <v>1</v>
      </c>
      <c r="BH20" s="161" t="n">
        <v>1</v>
      </c>
      <c r="BI20" s="161" t="inlineStr">
        <is>
          <t>NaN</t>
        </is>
      </c>
      <c r="BJ20" s="162" t="inlineStr">
        <is>
          <t>Beijing Heyin; China Mobile Fund; Beijing BGWG; Forward Maoshang; Shanghai Maoyao; Shanghai Zhencheng; Qidian Yihao; Shenzhen Capital; Hongtu Chengzhang; Mr. Zhang Wei; Ms. Liu Chunru; Mr. Huang Jicheng; Mr. Qu Zhe</t>
        </is>
      </c>
      <c r="BK20" s="163" t="n">
        <v>0.5599</v>
      </c>
      <c r="BL20" s="161" t="n">
        <v>1</v>
      </c>
      <c r="BM20" s="164" t="inlineStr">
        <is>
          <t>Series A-2 Investment</t>
        </is>
      </c>
      <c r="BN20" s="165" t="n">
        <v>15</v>
      </c>
      <c r="BO20" s="51" t="inlineStr">
        <is>
          <t>Natural persons - co-founders acting in concert</t>
        </is>
      </c>
      <c r="BP20" s="135" t="n">
        <v>0.3215</v>
      </c>
      <c r="BQ20" s="135" t="n">
        <v>0.3215</v>
      </c>
      <c r="BR20" s="137" t="n">
        <v>5046000</v>
      </c>
      <c r="BS20" s="51" t="inlineStr">
        <is>
          <t>Commercialized (revenue-generating AI application products)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235010</t>
        </is>
      </c>
      <c r="CB20" s="76" t="inlineStr">
        <is>
          <t>HSICS (Hang Seng Industry Classification System) 2026</t>
        </is>
      </c>
      <c r="CC20" s="140" t="n">
        <v>39933</v>
      </c>
      <c r="CD20" s="171" t="n">
        <v>17.07</v>
      </c>
      <c r="CE20" s="76" t="inlineStr">
        <is>
          <t>PRC</t>
        </is>
      </c>
      <c r="CF20" s="89" t="inlineStr">
        <is>
          <t>31/F, Tower Two, Times Square, 1 Matheson Street, Hong Kong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576563000</v>
      </c>
      <c r="CO20" s="64" t="n">
        <v>7217000</v>
      </c>
      <c r="CP20" s="64" t="n">
        <v>9177000</v>
      </c>
      <c r="CQ20" s="141" t="n">
        <v>46160</v>
      </c>
      <c r="CR20" s="141" t="n">
        <v>46163</v>
      </c>
      <c r="CS20" s="63" t="n">
        <v>90679175</v>
      </c>
      <c r="CT20" s="64" t="n">
        <v>147201000</v>
      </c>
      <c r="CU20" s="64" t="n">
        <v>368000</v>
      </c>
      <c r="CV20" s="59" t="inlineStr">
        <is>
          <t>Unqualified opinion (true and fair view)</t>
        </is>
      </c>
      <c r="CW20" s="64" t="n">
        <v>45800000</v>
      </c>
      <c r="CX20" s="51" t="inlineStr">
        <is>
          <t>NA</t>
        </is>
      </c>
      <c r="CY20" s="142" t="n">
        <v>0</v>
      </c>
      <c r="CZ20" s="136" t="inlineStr">
        <is>
          <t>NA</t>
        </is>
      </c>
      <c r="DA20" s="143" t="n">
        <v>5480.23</v>
      </c>
      <c r="DB20" s="63" t="n">
        <v>232456</v>
      </c>
      <c r="DC20" s="63" t="n">
        <v>4969471300</v>
      </c>
      <c r="DD20" s="59" t="inlineStr">
        <is>
          <t>Subscription level 5,480.23 times</t>
        </is>
      </c>
      <c r="DE20" s="141" t="n">
        <v>46164</v>
      </c>
      <c r="DF20" s="141" t="n">
        <v>46168</v>
      </c>
      <c r="DG20" s="63" t="n">
        <v>9068000</v>
      </c>
      <c r="DH20" s="63" t="n">
        <v>906800</v>
      </c>
      <c r="DI20" s="63" t="n">
        <v>8161200</v>
      </c>
      <c r="DJ20" s="63" t="n">
        <v>0</v>
      </c>
      <c r="DK20" s="169" t="n">
        <v>0</v>
      </c>
      <c r="DL20" s="59" t="inlineStr">
        <is>
          <t>Reallocation: No. The final number of Offer Shares under the Hong Kong Public Offering is 906,800, representing 10.00% of the Global Offering; no Offer Shares were reallocated from the International Offering to the Hong Kong Public Offering.</t>
        </is>
      </c>
      <c r="DM20" s="144" t="n">
        <v>465100000</v>
      </c>
      <c r="DN20" s="142" t="n">
        <v>0.3052</v>
      </c>
      <c r="DO20" s="51" t="n">
        <v>90679175</v>
      </c>
      <c r="DP20" s="142" t="n">
        <v>0.1</v>
      </c>
      <c r="DQ20" s="59" t="inlineStr">
        <is>
          <t>Free float denominator = total issued shares upon listing (col_CZ); numerator = offer shares minus cornerstone allocation</t>
        </is>
      </c>
      <c r="DR20" s="63" t="n">
        <v>90679175</v>
      </c>
      <c r="DS20" s="142" t="n">
        <v>-0.01634935</v>
      </c>
      <c r="DT20" s="80" t="n">
        <v>28</v>
      </c>
      <c r="DU20" s="142" t="n">
        <v>0.0263881</v>
      </c>
      <c r="DV20" s="144" t="n">
        <v>54125000000</v>
      </c>
      <c r="DW20" s="145" t="n">
        <v>203</v>
      </c>
      <c r="DX20" s="169" t="n">
        <v>2.657658</v>
      </c>
      <c r="DY20" s="172" t="n">
        <v>1337530000</v>
      </c>
      <c r="DZ20" s="146" t="n">
        <v>155</v>
      </c>
      <c r="EA20" s="146" t="n">
        <v>230</v>
      </c>
      <c r="EB20" s="146" t="n">
        <v>155</v>
      </c>
      <c r="EC20" s="63" t="n">
        <v>3460200</v>
      </c>
      <c r="ED20" s="169" t="n">
        <v>0.381584</v>
      </c>
      <c r="EE20" s="64" t="n">
        <v>571584900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北京深演智能科技股份有限公司</t>
        </is>
      </c>
      <c r="EI20" s="174" t="inlineStr">
        <is>
          <t>Active</t>
        </is>
      </c>
      <c r="EJ20" s="175" t="n">
        <v>342</v>
      </c>
      <c r="EK20" s="176" t="n">
        <v>0.684729</v>
      </c>
      <c r="EL20" s="176" t="n">
        <v>5.162162</v>
      </c>
      <c r="EM20" s="176" t="n">
        <v>-0.07564899999999999</v>
      </c>
      <c r="EN20" s="176" t="n">
        <v>-0.087324</v>
      </c>
      <c r="EO20" s="179" t="n">
        <v>1.8226</v>
      </c>
      <c r="EP20" s="179" t="n">
        <v>1.8459</v>
      </c>
      <c r="EQ20" s="178" t="n">
        <v>155181370</v>
      </c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inlineStr">
        <is>
          <t>Standard</t>
        </is>
      </c>
      <c r="FF20" s="181" t="n"/>
      <c r="FG20" s="185" t="n"/>
      <c r="FH20" s="183" t="n"/>
      <c r="FI20" s="178" t="n"/>
      <c r="FJ20" s="176" t="n"/>
      <c r="FK20" s="185" t="inlineStr">
        <is>
          <t>2026-05-27</t>
        </is>
      </c>
      <c r="FL20" s="178" t="n"/>
      <c r="FM20" s="176" t="n"/>
      <c r="FN20" s="176" t="n"/>
      <c r="FO20" s="176" t="n"/>
      <c r="FP20" s="176" t="n"/>
      <c r="FQ20" s="176" t="n">
        <v>0.753695</v>
      </c>
      <c r="FR20" s="179" t="n">
        <v>1.7059</v>
      </c>
      <c r="FS20" s="176" t="n">
        <v>0.684729</v>
      </c>
      <c r="FT20" s="179" t="n">
        <v>1.8226</v>
      </c>
      <c r="FU20" s="176" t="n">
        <v>2.458128</v>
      </c>
      <c r="FV20" s="179" t="n">
        <v>3.426</v>
      </c>
      <c r="FW20" s="179" t="n">
        <v>3.6731</v>
      </c>
      <c r="FX20" s="178" t="n">
        <v>92918646.15000001</v>
      </c>
      <c r="FY20" s="186" t="n"/>
      <c r="FZ20" s="183" t="n"/>
      <c r="GA20" s="176" t="n"/>
      <c r="GB20" s="176" t="n"/>
      <c r="GC20" s="185" t="inlineStr">
        <is>
          <t>2026-11-28</t>
        </is>
      </c>
      <c r="GD20" s="185" t="inlineStr">
        <is>
          <t>2027-05-28</t>
        </is>
      </c>
      <c r="GE20" s="176" t="n"/>
      <c r="GF20" s="176" t="n"/>
      <c r="GG20" s="179" t="n"/>
      <c r="GH20" s="181" t="inlineStr">
        <is>
          <t>CICC</t>
        </is>
      </c>
      <c r="GI20" s="183" t="n">
        <v>2</v>
      </c>
      <c r="GJ20" s="183" t="n">
        <v>0</v>
      </c>
      <c r="GK20" s="176" t="n">
        <v>0.025</v>
      </c>
      <c r="GL20" s="176" t="n">
        <v>0.01</v>
      </c>
      <c r="GM20" s="176" t="n">
        <v>0.035</v>
      </c>
      <c r="GN20" s="183" t="n">
        <v>0</v>
      </c>
      <c r="GO20" s="183" t="n">
        <v>0</v>
      </c>
      <c r="GP20" s="183" t="n">
        <v>0</v>
      </c>
      <c r="GQ20" s="183" t="n">
        <v>6</v>
      </c>
      <c r="GR20" s="183" t="n">
        <v>0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60</v>
      </c>
      <c r="B21" s="47" t="inlineStr">
        <is>
          <t>3310.HK</t>
        </is>
      </c>
      <c r="C21" s="44" t="inlineStr">
        <is>
          <t>Viewtrix Technology Co., Ltd - H Shares</t>
        </is>
      </c>
      <c r="D21" s="189" t="n">
        <v>46160</v>
      </c>
      <c r="E21" s="189" t="n">
        <v>46169</v>
      </c>
      <c r="F21" s="43" t="inlineStr">
        <is>
          <t>China International Capital Corporation Hong Kong Securities Limited /
CITIC Securities (Hong Kong) Limited</t>
        </is>
      </c>
      <c r="G21" s="43" t="inlineStr">
        <is>
          <t>Ernst &amp; Young</t>
        </is>
      </c>
      <c r="H21" s="43" t="n"/>
      <c r="I21" s="131" t="n">
        <v>110001660</v>
      </c>
      <c r="J21" s="148" t="n">
        <v>1154996620</v>
      </c>
      <c r="K21" s="133" t="n">
        <v>20.81</v>
      </c>
      <c r="L21" t="n">
        <v>427778950</v>
      </c>
      <c r="M21" s="67" t="n">
        <v>52859200</v>
      </c>
      <c r="N21" t="n">
        <v>374919750</v>
      </c>
      <c r="O21" t="n">
        <v>374919750</v>
      </c>
      <c r="P21" t="n">
        <v>0</v>
      </c>
      <c r="Q21" t="n">
        <v>52859200</v>
      </c>
      <c r="R21" s="67" t="n">
        <v>47573200</v>
      </c>
      <c r="S21" s="67" t="n">
        <v>5286000</v>
      </c>
      <c r="T21" s="147" t="n">
        <v>20.81</v>
      </c>
      <c r="U21" s="147" t="n">
        <v>20.81</v>
      </c>
      <c r="V21" s="169" t="n">
        <v>0</v>
      </c>
      <c r="W21" s="169" t="n">
        <v>0</v>
      </c>
      <c r="X21" s="170" t="inlineStr">
        <is>
          <t>Fixed price</t>
        </is>
      </c>
      <c r="Y21" s="26" t="inlineStr">
        <is>
          <t>RMB</t>
        </is>
      </c>
      <c r="Z21" s="137" t="n">
        <v>1214193000</v>
      </c>
      <c r="AA21" s="137" t="n">
        <v>1225721000</v>
      </c>
      <c r="AB21" s="137" t="n">
        <v>1104017000</v>
      </c>
      <c r="AC21" s="137" t="n">
        <v>1082896000</v>
      </c>
      <c r="AD21" s="137" t="n">
        <v>988796000</v>
      </c>
      <c r="AE21" s="137" t="n">
        <v>817491000</v>
      </c>
      <c r="AF21" s="137" t="n">
        <v>131297000</v>
      </c>
      <c r="AG21" s="137" t="n">
        <v>236925000</v>
      </c>
      <c r="AH21" s="137" t="n">
        <v>286526000</v>
      </c>
      <c r="AI21" s="137" t="n">
        <v>720404000</v>
      </c>
      <c r="AJ21" s="137" t="n">
        <v>891304000</v>
      </c>
      <c r="AK21" s="137" t="n">
        <v>1105659000</v>
      </c>
      <c r="AL21" s="137" t="n">
        <v>-232105000</v>
      </c>
      <c r="AM21" s="137" t="n">
        <v>-308986000</v>
      </c>
      <c r="AN21" s="137" t="n">
        <v>-230331000</v>
      </c>
      <c r="AO21" s="137" t="n">
        <v>-232105000</v>
      </c>
      <c r="AP21" s="137" t="n">
        <v>-308986000</v>
      </c>
      <c r="AQ21" s="137" t="n">
        <v>-230331000</v>
      </c>
      <c r="AR21" s="142" t="n">
        <v>0.03</v>
      </c>
      <c r="AS21" s="142" t="n">
        <v>0.03</v>
      </c>
      <c r="AT21" s="84" t="n">
        <v>0.15</v>
      </c>
      <c r="AU21" s="51" t="inlineStr">
        <is>
          <t>AMOLED display driver IC (DDIC) design and sales (fabless semiconductor)</t>
        </is>
      </c>
      <c r="AV21" s="51" t="inlineStr">
        <is>
          <t>Main Board - Rule 8.05(3) market capitalization/revenue test</t>
        </is>
      </c>
      <c r="AW21" s="136" t="n">
        <v>46022</v>
      </c>
      <c r="AX21" s="137" t="n">
        <v>-133413000</v>
      </c>
      <c r="AY21" s="117" t="n">
        <v>379743000</v>
      </c>
      <c r="AZ21" s="117" t="n">
        <v>-266036000</v>
      </c>
      <c r="BA21" s="117" t="inlineStr">
        <is>
          <t>NaN</t>
        </is>
      </c>
      <c r="BB21" s="138" t="n">
        <v>0.907</v>
      </c>
      <c r="BC21" s="139" t="n">
        <v>1</v>
      </c>
      <c r="BD21" s="80" t="n">
        <v>1</v>
      </c>
      <c r="BE21" s="161" t="n">
        <v>1</v>
      </c>
      <c r="BF21" s="161" t="n">
        <v>1</v>
      </c>
      <c r="BG21" s="161" t="n">
        <v>1</v>
      </c>
      <c r="BH21" s="161" t="n">
        <v>1</v>
      </c>
      <c r="BI21" s="161" t="n">
        <v>1</v>
      </c>
      <c r="BJ21" s="162" t="inlineStr">
        <is>
          <t>Vertex Asia Fund Pte. Ltd.; White Cloud Valley (HK) Investment Limited; Boe Technology Group Co., Ltd.; Wanchuang Shidai; Shanghai Fuzhishuo; Juyuan Qitai; Shanghai Jiutangjin; Qualcomm China; Jichuang Yuyuan; Nanshan Hongtai; Bangsheng Yingxin; Qingyue Optoelectronics; Hangzhou Kunwei; Shanghai Suishuo; Tianjin Jinmi; Qiming Rongke; Qiming Rongying; QM119 Limited; Nanshan Zhonghang; Hongtai Zhiyun; Xiaomi Changjiang; HSG; CICC Pucheng; Xiamen Qilu; Zhuhai Zhiyi; Hubble Technology; Guokai Technology; Wofu Ruixin; Jiaxing Xihao; Shenzhen Pingshan; Xiamen Zhiyi; Jiaxing Haiyun; Haitong New Energy; Yueke Xintai No. 25; Zhicheng Shuzhi; Shenzhen High-Tech Investment; Shengao Investment; Shenzhen High-Tech Fuhai; Shenzhen Addition No. 2; Semiconductor and IC Fund; Houwang Ruilian; Yuxin Taojin; Dinghong Growth; Huahui Dianke; Xiangfeng Phase II; Ceyuan Guangyi</t>
        </is>
      </c>
      <c r="BK21" s="163" t="inlineStr">
        <is>
          <t>NaN</t>
        </is>
      </c>
      <c r="BL21" s="161" t="n">
        <v>1</v>
      </c>
      <c r="BM21" s="164" t="inlineStr">
        <is>
          <t>Series Angel Financing (28/03/2013)</t>
        </is>
      </c>
      <c r="BN21" s="165" t="n">
        <v>13.14</v>
      </c>
      <c r="BO21" s="51" t="inlineStr">
        <is>
          <t>Individual (Dr. Gu Jing)</t>
        </is>
      </c>
      <c r="BP21" s="135" t="n">
        <v>0.1699</v>
      </c>
      <c r="BQ21" s="135" t="n">
        <v>0.1699</v>
      </c>
      <c r="BR21" s="137" t="n">
        <v>142669000</v>
      </c>
      <c r="BS21" s="51" t="inlineStr">
        <is>
          <t>Mass production and commercialization</t>
        </is>
      </c>
      <c r="BT21" s="142" t="n">
        <v>0</v>
      </c>
      <c r="BU21" s="60" t="inlineStr">
        <is>
          <t>Main Board</t>
        </is>
      </c>
      <c r="BV21" s="89" t="inlineStr">
        <is>
          <t>H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703010</t>
        </is>
      </c>
      <c r="CB21" s="76" t="inlineStr">
        <is>
          <t>HSICS (Hang Seng Industry Classification System) 2026</t>
        </is>
      </c>
      <c r="CC21" s="140" t="n">
        <v>41059</v>
      </c>
      <c r="CD21" s="171" t="n">
        <v>13.99</v>
      </c>
      <c r="CE21" s="76" t="inlineStr">
        <is>
          <t>NA</t>
        </is>
      </c>
      <c r="CF21" s="89" t="inlineStr">
        <is>
          <t>Shenzhen, PRC</t>
        </is>
      </c>
      <c r="CG21" s="91" t="n">
        <v>1000</v>
      </c>
      <c r="CH21" s="60" t="inlineStr">
        <is>
          <t>IFRSs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1105659000</v>
      </c>
      <c r="CO21" s="64" t="n">
        <v>-230331000</v>
      </c>
      <c r="CP21" s="64" t="n">
        <v>-230331000</v>
      </c>
      <c r="CQ21" s="141" t="n">
        <v>46160</v>
      </c>
      <c r="CR21" s="141" t="n">
        <v>46163</v>
      </c>
      <c r="CS21" s="63" t="n">
        <v>427778950</v>
      </c>
      <c r="CT21" s="64" t="n">
        <v>142985000</v>
      </c>
      <c r="CU21" s="64" t="n">
        <v>3108000</v>
      </c>
      <c r="CV21" s="59" t="inlineStr">
        <is>
          <t>Unqualified opinion (true and fair view)</t>
        </is>
      </c>
      <c r="CW21" s="64" t="n">
        <v>102900000</v>
      </c>
      <c r="CX21" s="51" t="inlineStr">
        <is>
          <t>Digital Vista GD Investment LP; SpreadCom Limited</t>
        </is>
      </c>
      <c r="CY21" s="142" t="n">
        <v>0.3537</v>
      </c>
      <c r="CZ21" s="136" t="n">
        <v>46353</v>
      </c>
      <c r="DA21" s="143" t="n">
        <v>3559.68</v>
      </c>
      <c r="DB21" s="63" t="n">
        <v>242444</v>
      </c>
      <c r="DC21" s="63" t="n">
        <v>18816492800</v>
      </c>
      <c r="DD21" s="59" t="inlineStr">
        <is>
          <t>Subscription level 3,559.68 times</t>
        </is>
      </c>
      <c r="DE21" s="141" t="inlineStr">
        <is>
          <t>NA</t>
        </is>
      </c>
      <c r="DF21" s="141" t="n">
        <v>46168</v>
      </c>
      <c r="DG21" s="63" t="n">
        <v>52859200</v>
      </c>
      <c r="DH21" s="63" t="n">
        <v>5286000</v>
      </c>
      <c r="DI21" s="63" t="n">
        <v>47573200</v>
      </c>
      <c r="DJ21" s="63" t="n">
        <v>7928800</v>
      </c>
      <c r="DK21" s="169" t="n">
        <v>1</v>
      </c>
      <c r="DL21" s="59" t="inlineStr">
        <is>
          <t>No claw-back triggered (Claw-back triggered: N/A); the final number of Offer Shares under the Hong Kong Public Offering (5,286,000) equals the initial number, remaining at 10% of the Global Offering, with no reallocation from the International Offering.</t>
        </is>
      </c>
      <c r="DM21" s="144" t="n">
        <v>1019070000</v>
      </c>
      <c r="DN21" s="142" t="n">
        <v>0.8300999999999999</v>
      </c>
      <c r="DO21" s="51" t="n">
        <v>427778950</v>
      </c>
      <c r="DP21" s="142" t="n">
        <v>0.0799</v>
      </c>
      <c r="DQ21" s="59" t="inlineStr">
        <is>
          <t>Free float excludes H Shares held by the Cornerstone Investors upon Listing (six-month lock-up); denominator = total issued shares upon Listing (before exercise of the Over-allotment Option) = 427,778,950.</t>
        </is>
      </c>
      <c r="DR21" s="63" t="n">
        <v>427778950</v>
      </c>
      <c r="DS21" s="142" t="n">
        <v>-0.01634935</v>
      </c>
      <c r="DT21" s="80" t="n">
        <v>28</v>
      </c>
      <c r="DU21" s="142" t="n">
        <v>0.0263881</v>
      </c>
      <c r="DV21" s="144" t="n">
        <v>54125000000</v>
      </c>
      <c r="DW21" s="145" t="n">
        <v>39.9</v>
      </c>
      <c r="DX21" s="169" t="n">
        <v>0.917347</v>
      </c>
      <c r="DY21" s="172" t="n">
        <v>1009082128</v>
      </c>
      <c r="DZ21" s="146" t="n">
        <v>25.48</v>
      </c>
      <c r="EA21" s="146" t="n">
        <v>39.9</v>
      </c>
      <c r="EB21" s="146" t="n">
        <v>25.4</v>
      </c>
      <c r="EC21" s="63" t="n">
        <v>16812743</v>
      </c>
      <c r="ED21" s="169" t="n">
        <v>0.318067</v>
      </c>
      <c r="EE21" s="64" t="n">
        <v>535970800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云英谷科技股份有限公司</t>
        </is>
      </c>
      <c r="EI21" s="174" t="inlineStr">
        <is>
          <t>Active</t>
        </is>
      </c>
      <c r="EJ21" s="175" t="n">
        <v>38.98</v>
      </c>
      <c r="EK21" s="176" t="n">
        <v>-0.023058</v>
      </c>
      <c r="EL21" s="176" t="n">
        <v>0.873138</v>
      </c>
      <c r="EM21" s="176" t="n">
        <v>-0.07564899999999999</v>
      </c>
      <c r="EN21" s="176" t="n">
        <v>-0.087324</v>
      </c>
      <c r="EO21" s="179" t="n">
        <v>1.0569</v>
      </c>
      <c r="EP21" s="179" t="n">
        <v>1.0704</v>
      </c>
      <c r="EQ21" s="178" t="n">
        <v>60594485</v>
      </c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inlineStr">
        <is>
          <t>Standard</t>
        </is>
      </c>
      <c r="FF21" s="181" t="n"/>
      <c r="FG21" s="185" t="n"/>
      <c r="FH21" s="183" t="n"/>
      <c r="FI21" s="178" t="n"/>
      <c r="FJ21" s="176" t="n"/>
      <c r="FK21" s="185" t="inlineStr">
        <is>
          <t>2026-06-18</t>
        </is>
      </c>
      <c r="FL21" s="178" t="n">
        <v>7928800</v>
      </c>
      <c r="FM21" s="176" t="n">
        <v>1</v>
      </c>
      <c r="FN21" s="176" t="n"/>
      <c r="FO21" s="176" t="n"/>
      <c r="FP21" s="176" t="n"/>
      <c r="FQ21" s="176" t="n">
        <v>-0.234085</v>
      </c>
      <c r="FR21" s="179" t="n">
        <v>0.745</v>
      </c>
      <c r="FS21" s="176" t="n">
        <v>-0.023058</v>
      </c>
      <c r="FT21" s="179" t="n">
        <v>1.0569</v>
      </c>
      <c r="FU21" s="176" t="n">
        <v>-0.296742</v>
      </c>
      <c r="FV21" s="179" t="n">
        <v>0.6967</v>
      </c>
      <c r="FW21" s="179" t="n">
        <v>0.747</v>
      </c>
      <c r="FX21" s="178" t="n">
        <v>29568138.46</v>
      </c>
      <c r="FY21" s="186" t="n"/>
      <c r="FZ21" s="183" t="n"/>
      <c r="GA21" s="176" t="n"/>
      <c r="GB21" s="176" t="n"/>
      <c r="GC21" s="185" t="inlineStr">
        <is>
          <t>2026-11-28</t>
        </is>
      </c>
      <c r="GD21" s="185" t="inlineStr">
        <is>
          <t>2027-05-27</t>
        </is>
      </c>
      <c r="GE21" s="176" t="n"/>
      <c r="GF21" s="176" t="n"/>
      <c r="GG21" s="179" t="n"/>
      <c r="GH21" s="181" t="inlineStr">
        <is>
          <t>CICC</t>
        </is>
      </c>
      <c r="GI21" s="183" t="n">
        <v>2</v>
      </c>
      <c r="GJ21" s="183" t="n">
        <v>0</v>
      </c>
      <c r="GK21" s="176" t="n">
        <v>0.025</v>
      </c>
      <c r="GL21" s="176" t="n">
        <v>0.01</v>
      </c>
      <c r="GM21" s="176" t="n">
        <v>0.035</v>
      </c>
      <c r="GN21" s="183" t="n"/>
      <c r="GO21" s="183" t="n">
        <v>0</v>
      </c>
      <c r="GP21" s="183" t="n">
        <v>0</v>
      </c>
      <c r="GQ21" s="183" t="n">
        <v>6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61</v>
      </c>
      <c r="B22" s="47" t="inlineStr">
        <is>
          <t>3388.HK</t>
        </is>
      </c>
      <c r="C22" s="44" t="inlineStr">
        <is>
          <t>Shenzhen Creality 3D Technology Co., Ltd. - H Shares</t>
        </is>
      </c>
      <c r="D22" s="189" t="n">
        <v>46162</v>
      </c>
      <c r="E22" s="189" t="n">
        <v>46171</v>
      </c>
      <c r="F22" s="43" t="inlineStr">
        <is>
          <t>China International Capital Corporation Hong Kong Securities Limited</t>
        </is>
      </c>
      <c r="G22" s="43" t="inlineStr">
        <is>
          <t>PricewaterhouseCoopers</t>
        </is>
      </c>
      <c r="H22" s="43" t="inlineStr">
        <is>
          <t>Asia-Pacific Consulting and Appraisal Limited</t>
        </is>
      </c>
      <c r="I22" s="131" t="n">
        <v>138044640</v>
      </c>
      <c r="J22" s="148" t="n">
        <v>1449457440</v>
      </c>
      <c r="K22" s="133" t="n">
        <v>18.8</v>
      </c>
      <c r="L22" t="n">
        <v>466840101</v>
      </c>
      <c r="M22" s="67" t="n">
        <v>73427550</v>
      </c>
      <c r="N22" t="n">
        <v>393412551</v>
      </c>
      <c r="O22" t="n">
        <v>393412551</v>
      </c>
      <c r="P22" t="n">
        <v>0</v>
      </c>
      <c r="Q22" t="n">
        <v>73427550</v>
      </c>
      <c r="R22" s="67" t="n">
        <v>66084750</v>
      </c>
      <c r="S22" s="67" t="n">
        <v>7342800</v>
      </c>
      <c r="T22" s="147" t="n">
        <v>18.8</v>
      </c>
      <c r="U22" s="147" t="n">
        <v>18.8</v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1945124000</v>
      </c>
      <c r="AA22" s="137" t="n">
        <v>2254649000</v>
      </c>
      <c r="AB22" s="137" t="n">
        <v>2602424000</v>
      </c>
      <c r="AC22" s="137" t="n">
        <v>987623000</v>
      </c>
      <c r="AD22" s="137" t="n">
        <v>1084524000</v>
      </c>
      <c r="AE22" s="137" t="n">
        <v>1076595000</v>
      </c>
      <c r="AF22" s="137" t="n">
        <v>957501000</v>
      </c>
      <c r="AG22" s="137" t="n">
        <v>1170125000</v>
      </c>
      <c r="AH22" s="137" t="n">
        <v>1525829000</v>
      </c>
      <c r="AI22" s="137" t="n">
        <v>1882862000</v>
      </c>
      <c r="AJ22" s="137" t="n">
        <v>2288328000</v>
      </c>
      <c r="AK22" s="137" t="n">
        <v>3127040000</v>
      </c>
      <c r="AL22" s="137" t="n">
        <v>134859000</v>
      </c>
      <c r="AM22" s="137" t="n">
        <v>89230000</v>
      </c>
      <c r="AN22" s="137" t="n">
        <v>-206237000</v>
      </c>
      <c r="AO22" s="137" t="n">
        <v>128506000</v>
      </c>
      <c r="AP22" s="137" t="n">
        <v>88660000</v>
      </c>
      <c r="AQ22" s="137" t="n">
        <v>-182421000</v>
      </c>
      <c r="AR22" s="142" t="n">
        <v>0.03</v>
      </c>
      <c r="AS22" s="142" t="n">
        <v>0.03</v>
      </c>
      <c r="AT22" s="84" t="n">
        <v>0.15</v>
      </c>
      <c r="AU22" s="51" t="inlineStr">
        <is>
          <t>Global consumer 3D printing product and service provider (3D printers, consumables, 3D scanners, laser engravers, accessories and 3D printed products and services)</t>
        </is>
      </c>
      <c r="AV22" s="51" t="inlineStr">
        <is>
          <t>Main Board - Rule 8.05(3) market capitalisation/revenue test</t>
        </is>
      </c>
      <c r="AW22" s="136" t="n">
        <v>46022</v>
      </c>
      <c r="AX22" s="137" t="n">
        <v>-63977000</v>
      </c>
      <c r="AY22" s="117" t="n">
        <v>277310000</v>
      </c>
      <c r="AZ22" s="117" t="n">
        <v>221875000</v>
      </c>
      <c r="BA22" s="117" t="n">
        <v>0</v>
      </c>
      <c r="BB22" s="138" t="n">
        <v>0.11</v>
      </c>
      <c r="BC22" s="139" t="n">
        <v>1</v>
      </c>
      <c r="BD22" s="80" t="n">
        <v>1</v>
      </c>
      <c r="BE22" s="161" t="n">
        <v>1</v>
      </c>
      <c r="BF22" s="161" t="n">
        <v>1</v>
      </c>
      <c r="BG22" s="161" t="n">
        <v>1</v>
      </c>
      <c r="BH22" s="161" t="n">
        <v>1</v>
      </c>
      <c r="BI22" s="161" t="n">
        <v>1</v>
      </c>
      <c r="BJ22" s="162" t="inlineStr">
        <is>
          <t>Qianhai Equity; Zhongyuan Qianhai; Smart IT Ark; Renzhe Buyou; Tencent VC; SCGC; Nanshan Hongtu; Pingshan Kaisheng; Guoxin South No. 4</t>
        </is>
      </c>
      <c r="BK22" s="163" t="n">
        <v>0.148</v>
      </c>
      <c r="BL22" s="161" t="inlineStr">
        <is>
          <t>NaN</t>
        </is>
      </c>
      <c r="BM22" s="164" t="inlineStr">
        <is>
          <t>Series A Financing</t>
        </is>
      </c>
      <c r="BN22" s="165" t="n">
        <v>4.9</v>
      </c>
      <c r="BO22" s="51" t="inlineStr">
        <is>
          <t>Natural persons (four co-founders acting in concert)</t>
        </is>
      </c>
      <c r="BP22" s="135" t="n">
        <v>0.6919999999999999</v>
      </c>
      <c r="BQ22" s="135" t="n">
        <v>0.6919999999999999</v>
      </c>
      <c r="BR22" s="137" t="n">
        <v>540955000</v>
      </c>
      <c r="BS22" s="51" t="inlineStr">
        <is>
          <t>NA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0</v>
      </c>
      <c r="BX22" s="77" t="n">
        <v>0</v>
      </c>
      <c r="BY22" s="77" t="n">
        <v>0</v>
      </c>
      <c r="BZ22" s="78" t="n">
        <v>0</v>
      </c>
      <c r="CA22" s="60" t="inlineStr">
        <is>
          <t>701020</t>
        </is>
      </c>
      <c r="CB22" s="76" t="inlineStr">
        <is>
          <t>HSICS (Hang Seng Industry Classification System) 2026</t>
        </is>
      </c>
      <c r="CC22" s="140" t="n">
        <v>41732</v>
      </c>
      <c r="CD22" s="171" t="n">
        <v>12.15</v>
      </c>
      <c r="CE22" s="76" t="inlineStr">
        <is>
          <t>NA</t>
        </is>
      </c>
      <c r="CF22" s="89" t="inlineStr">
        <is>
          <t>Room 1808, Jinxiu Hongdu Building, Meilong Avenue, Xinniu Community, Minzhi Street, Longhua District, Shenzhen, Guangdong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3127040000</v>
      </c>
      <c r="CO22" s="64" t="n">
        <v>-206237000</v>
      </c>
      <c r="CP22" s="64" t="n">
        <v>-182421000</v>
      </c>
      <c r="CQ22" s="141" t="n">
        <v>46162</v>
      </c>
      <c r="CR22" s="141" t="n">
        <v>46168</v>
      </c>
      <c r="CS22" s="63" t="n">
        <v>466840101</v>
      </c>
      <c r="CT22" s="64" t="n">
        <v>974890000</v>
      </c>
      <c r="CU22" s="64" t="n">
        <v>29541000</v>
      </c>
      <c r="CV22" s="59" t="inlineStr">
        <is>
          <t>Unqualified opinion (true and fair view)</t>
        </is>
      </c>
      <c r="CW22" s="64" t="n">
        <v>108100000</v>
      </c>
      <c r="CX22" s="51" t="inlineStr">
        <is>
          <t>Taikang Life; CITIC Industrial International; CPE Greater China; Martis Fund; BoYue Fund; GBAHIL; Apex; Oasis Fund; Jump Trading; Polymer; Dingxin Securities; Colloway; Seven Grand; ICSA; Optimas Capital</t>
        </is>
      </c>
      <c r="CY22" s="142" t="n">
        <v>0.499</v>
      </c>
      <c r="CZ22" s="136" t="n">
        <v>46355</v>
      </c>
      <c r="DA22" s="143" t="n">
        <v>3829.42</v>
      </c>
      <c r="DB22" s="63" t="n">
        <v>251375</v>
      </c>
      <c r="DC22" s="63" t="n">
        <v>28118695650</v>
      </c>
      <c r="DD22" s="59" t="inlineStr">
        <is>
          <t>Subscription level 3,829.42 times</t>
        </is>
      </c>
      <c r="DE22" s="141" t="inlineStr">
        <is>
          <t>NA</t>
        </is>
      </c>
      <c r="DF22" s="141" t="n">
        <v>46170</v>
      </c>
      <c r="DG22" s="63" t="n">
        <v>73427550</v>
      </c>
      <c r="DH22" s="63" t="n">
        <v>7342800</v>
      </c>
      <c r="DI22" s="63" t="n">
        <v>66084750</v>
      </c>
      <c r="DJ22" s="63" t="n">
        <v>11014050</v>
      </c>
      <c r="DK22" s="169" t="n">
        <v>1</v>
      </c>
      <c r="DL22" s="59" t="inlineStr">
        <is>
          <t>Claw-back triggered: N/A; No. of Offer Shares reallocated from the International Offering: 0</t>
        </is>
      </c>
      <c r="DM22" s="144" t="n">
        <v>1272320000</v>
      </c>
      <c r="DN22" s="142" t="n">
        <v>0.282</v>
      </c>
      <c r="DO22" s="51" t="n">
        <v>466840101</v>
      </c>
      <c r="DP22" s="142" t="n">
        <v>0.0788</v>
      </c>
      <c r="DQ22" s="59" t="inlineStr">
        <is>
          <t>Free float denominator = total issued shares upon listing (col_CZ=466,840,101); H Shares held by Cornerstone Investors and existing Pre-IPO investors are excluded (locked up)</t>
        </is>
      </c>
      <c r="DR22" s="63" t="n">
        <v>466840101</v>
      </c>
      <c r="DS22" s="142" t="n">
        <v>-0.0213656</v>
      </c>
      <c r="DT22" s="80" t="n">
        <v>29</v>
      </c>
      <c r="DU22" s="142" t="n">
        <v>0.026</v>
      </c>
      <c r="DV22" s="144" t="n">
        <v>53978000000</v>
      </c>
      <c r="DW22" s="145" t="n">
        <v>22.8</v>
      </c>
      <c r="DX22" s="169" t="n">
        <v>0.212766</v>
      </c>
      <c r="DY22" s="172" t="n">
        <v>293710200</v>
      </c>
      <c r="DZ22" s="146" t="n">
        <v>33.88</v>
      </c>
      <c r="EA22" s="146" t="n">
        <v>34</v>
      </c>
      <c r="EB22" s="146" t="n">
        <v>20.88</v>
      </c>
      <c r="EC22" s="63" t="n">
        <v>36474808</v>
      </c>
      <c r="ED22" s="169" t="n">
        <v>0.496746</v>
      </c>
      <c r="EE22" s="64" t="n">
        <v>1014387400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深圳市创想三维科技股份有限公司</t>
        </is>
      </c>
      <c r="EI22" s="174" t="inlineStr">
        <is>
          <t>Active</t>
        </is>
      </c>
      <c r="EJ22" s="175" t="n">
        <v>23.34</v>
      </c>
      <c r="EK22" s="176" t="n">
        <v>0.023684</v>
      </c>
      <c r="EL22" s="176" t="n">
        <v>0.241489</v>
      </c>
      <c r="EM22" s="176" t="n">
        <v>-0.099694</v>
      </c>
      <c r="EN22" s="176" t="n">
        <v>-0.128708</v>
      </c>
      <c r="EO22" s="179" t="n">
        <v>1.137</v>
      </c>
      <c r="EP22" s="179" t="n">
        <v>1.1749</v>
      </c>
      <c r="EQ22" s="178" t="n">
        <v>101318550</v>
      </c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China International Capital Corporation Hong Kong Securities Limited</t>
        </is>
      </c>
      <c r="FG22" s="185" t="inlineStr">
        <is>
          <t>2026-06-25</t>
        </is>
      </c>
      <c r="FH22" s="183" t="n">
        <v>0</v>
      </c>
      <c r="FI22" s="178" t="n">
        <v>11014050</v>
      </c>
      <c r="FJ22" s="176" t="n"/>
      <c r="FK22" s="185" t="inlineStr">
        <is>
          <t>2026-06-25</t>
        </is>
      </c>
      <c r="FL22" s="178" t="n">
        <v>11014050</v>
      </c>
      <c r="FM22" s="176" t="n">
        <v>1</v>
      </c>
      <c r="FN22" s="176" t="n">
        <v>-0.013575</v>
      </c>
      <c r="FO22" s="176" t="n">
        <v>-0.26565</v>
      </c>
      <c r="FP22" s="176" t="n">
        <v>0.114001</v>
      </c>
      <c r="FQ22" s="176" t="n">
        <v>0.011404</v>
      </c>
      <c r="FR22" s="179" t="n">
        <v>1.0086</v>
      </c>
      <c r="FS22" s="176" t="n">
        <v>0.023684</v>
      </c>
      <c r="FT22" s="179" t="n">
        <v>1.137</v>
      </c>
      <c r="FU22" s="176" t="n">
        <v>0.100877</v>
      </c>
      <c r="FV22" s="179" t="n">
        <v>1.0843</v>
      </c>
      <c r="FW22" s="179" t="n">
        <v>1.1639</v>
      </c>
      <c r="FX22" s="178" t="n">
        <v>41698803.08</v>
      </c>
      <c r="FY22" s="186" t="n"/>
      <c r="FZ22" s="183" t="n"/>
      <c r="GA22" s="176" t="n"/>
      <c r="GB22" s="176" t="n"/>
      <c r="GC22" s="185" t="inlineStr">
        <is>
          <t>2026-11-30</t>
        </is>
      </c>
      <c r="GD22" s="185" t="inlineStr">
        <is>
          <t>2027-05-29</t>
        </is>
      </c>
      <c r="GE22" s="176" t="n"/>
      <c r="GF22" s="176" t="n"/>
      <c r="GG22" s="179" t="n"/>
      <c r="GH22" s="181" t="inlineStr">
        <is>
          <t>CICC</t>
        </is>
      </c>
      <c r="GI22" s="183" t="n">
        <v>2</v>
      </c>
      <c r="GJ22" s="183" t="n">
        <v>0</v>
      </c>
      <c r="GK22" s="176" t="n">
        <v>0.025</v>
      </c>
      <c r="GL22" s="176" t="n">
        <v>0.01</v>
      </c>
      <c r="GM22" s="176" t="n">
        <v>0.035</v>
      </c>
      <c r="GN22" s="183" t="n"/>
      <c r="GO22" s="183" t="n">
        <v>0</v>
      </c>
      <c r="GP22" s="183" t="n">
        <v>0</v>
      </c>
      <c r="GQ22" s="183" t="n">
        <v>6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62</v>
      </c>
      <c r="B23" s="47" t="inlineStr">
        <is>
          <t>2553.HK</t>
        </is>
      </c>
      <c r="C23" s="44" t="inlineStr">
        <is>
          <t>Beijing Shougang LanzaTech Technology Co., Ltd. - H Shares</t>
        </is>
      </c>
      <c r="D23" s="189" t="n">
        <v>46168</v>
      </c>
      <c r="E23" s="189" t="n">
        <v>46176</v>
      </c>
      <c r="F23" s="43" t="inlineStr">
        <is>
          <t>Yue Xiu Capital Limited</t>
        </is>
      </c>
      <c r="G23" s="43" t="inlineStr">
        <is>
          <t>Ernst &amp; Young</t>
        </is>
      </c>
      <c r="H23" s="43" t="n"/>
      <c r="I23" s="131" t="n">
        <v>87600000</v>
      </c>
      <c r="J23" s="148" t="n">
        <v>496400000</v>
      </c>
      <c r="K23" s="133" t="n">
        <v>14.6</v>
      </c>
      <c r="L23" t="n">
        <v>400000000</v>
      </c>
      <c r="M23" s="67" t="n">
        <v>40000000</v>
      </c>
      <c r="N23" t="n">
        <v>360000000</v>
      </c>
      <c r="O23" t="n">
        <v>360000000</v>
      </c>
      <c r="P23" t="n">
        <v>0</v>
      </c>
      <c r="Q23" t="n">
        <v>40000000</v>
      </c>
      <c r="R23" s="67" t="n">
        <v>36000000</v>
      </c>
      <c r="S23" s="67" t="n">
        <v>4000000</v>
      </c>
      <c r="T23" s="147" t="n">
        <v>17.1</v>
      </c>
      <c r="U23" s="147" t="n">
        <v>14.6</v>
      </c>
      <c r="V23" s="169" t="n">
        <v>-0.078864</v>
      </c>
      <c r="W23" s="169" t="n">
        <v>0.157729</v>
      </c>
      <c r="X23" s="170" t="inlineStr">
        <is>
          <t>At low</t>
        </is>
      </c>
      <c r="Y23" s="26" t="inlineStr">
        <is>
          <t>RMB</t>
        </is>
      </c>
      <c r="Z23" s="137" t="n">
        <v>2680513000</v>
      </c>
      <c r="AA23" s="137" t="n">
        <v>2560572000</v>
      </c>
      <c r="AB23" s="137" t="n">
        <v>2504777000</v>
      </c>
      <c r="AC23" s="137" t="n">
        <v>1179100000</v>
      </c>
      <c r="AD23" s="137" t="n">
        <v>933532000</v>
      </c>
      <c r="AE23" s="137" t="n">
        <v>608618000</v>
      </c>
      <c r="AF23" s="137" t="n">
        <v>1501413000</v>
      </c>
      <c r="AG23" s="137" t="n">
        <v>1627040000</v>
      </c>
      <c r="AH23" s="137" t="n">
        <v>1896159000</v>
      </c>
      <c r="AI23" s="137" t="n">
        <v>592551000</v>
      </c>
      <c r="AJ23" s="137" t="n">
        <v>563611000</v>
      </c>
      <c r="AK23" s="137" t="n">
        <v>521698000</v>
      </c>
      <c r="AL23" s="137" t="n">
        <v>-109393000</v>
      </c>
      <c r="AM23" s="137" t="n">
        <v>-245065000</v>
      </c>
      <c r="AN23" s="137" t="n">
        <v>-324871000</v>
      </c>
      <c r="AO23" s="137" t="n">
        <v>-110147000</v>
      </c>
      <c r="AP23" s="137" t="n">
        <v>-245568000</v>
      </c>
      <c r="AQ23" s="137" t="n">
        <v>-324914000</v>
      </c>
      <c r="AR23" s="142" t="n">
        <v>0.05</v>
      </c>
      <c r="AS23" s="142" t="n">
        <v>0.05</v>
      </c>
      <c r="AT23" s="84" t="n">
        <v>0.15</v>
      </c>
      <c r="AU23" s="51" t="inlineStr">
        <is>
          <t>Carbon capture, utilization and storage (CCUS) industry — production of low-carbon products (ethanol and microbial protein) and provision of low-carbon integrated solutions</t>
        </is>
      </c>
      <c r="AV23" s="51" t="inlineStr">
        <is>
          <t>Main Board of the Stock Exchange — market capitalisation/revenue test under Rule 8.05(3) of the Listing Rules (Chapter 8)</t>
        </is>
      </c>
      <c r="AW23" s="136" t="n">
        <v>46022</v>
      </c>
      <c r="AX23" s="137" t="n">
        <v>86969000</v>
      </c>
      <c r="AY23" s="117" t="n">
        <v>68741000</v>
      </c>
      <c r="AZ23" s="117" t="n">
        <v>42455000</v>
      </c>
      <c r="BA23" s="117" t="n">
        <v>1088000</v>
      </c>
      <c r="BB23" s="138" t="n">
        <v>0.838</v>
      </c>
      <c r="BC23" s="139" t="n">
        <v>1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1</v>
      </c>
      <c r="BI23" s="161" t="inlineStr">
        <is>
          <t>NaN</t>
        </is>
      </c>
      <c r="BJ23" s="162" t="inlineStr">
        <is>
          <t>Caofeidian Fund; Shanghai Mingda Industry; Shanghai Dehui; NZ Tang Ming; Mitsui &amp; Co., Ltd.; Tang Ming Hong Kong; Zhuhai Jinsheng; Beijing Jiayeyuan; Qingdao Baiwei Zhihe; Ruihong Investment; Guangzhou Fanmei; Pingyang Puyi; Guofu Yonglang; Shanghai Guoping; Jiaxing Guoxing; Binhe SIC; Jiaxing Tianchen; Jinxin Kaiying</t>
        </is>
      </c>
      <c r="BK23" s="163" t="n">
        <v>0.7246</v>
      </c>
      <c r="BL23" s="161" t="n">
        <v>1</v>
      </c>
      <c r="BM23" s="164" t="inlineStr">
        <is>
          <t>Series A (June 2016)</t>
        </is>
      </c>
      <c r="BN23" s="165" t="n">
        <v>9.9</v>
      </c>
      <c r="BO23" s="51" t="inlineStr">
        <is>
          <t>State-owned enterprise — Shougang Group Co., Ltd., ultimately owned by Beijing SASAC</t>
        </is>
      </c>
      <c r="BP23" s="135" t="n">
        <v>0.356</v>
      </c>
      <c r="BQ23" s="135" t="n">
        <v>0.356</v>
      </c>
      <c r="BR23" s="137" t="n">
        <v>1080796000</v>
      </c>
      <c r="BS23" s="51" t="inlineStr">
        <is>
          <t>Commercialization and scalability validated — first-generation carbon reduction technology in industrial-scale production; second-generation carbon negative technology under development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053040</t>
        </is>
      </c>
      <c r="CB23" s="76" t="inlineStr">
        <is>
          <t>HSICS (Hang Seng Industry Classification System) 2026</t>
        </is>
      </c>
      <c r="CC23" s="140" t="n">
        <v>40858</v>
      </c>
      <c r="CD23" s="171" t="n">
        <v>14.56</v>
      </c>
      <c r="CE23" s="76" t="inlineStr">
        <is>
          <t>PRC</t>
        </is>
      </c>
      <c r="CF23" s="89" t="inlineStr">
        <is>
          <t>Room 1601-6, 16/F, Building 1, 1 Tianshunzhuang North Road, Shijingshan District, Beijing, PRC</t>
        </is>
      </c>
      <c r="CG23" s="91" t="n">
        <v>1000</v>
      </c>
      <c r="CH23" s="60" t="inlineStr">
        <is>
          <t>IFRS</t>
        </is>
      </c>
      <c r="CI23" s="141" t="n">
        <v>44927</v>
      </c>
      <c r="CJ23" s="141" t="n">
        <v>45291</v>
      </c>
      <c r="CK23" s="141" t="n">
        <v>45292</v>
      </c>
      <c r="CL23" s="141" t="n">
        <v>45657</v>
      </c>
      <c r="CM23" s="141" t="n">
        <v>45658</v>
      </c>
      <c r="CN23" s="64" t="n">
        <v>521698000</v>
      </c>
      <c r="CO23" s="64" t="n">
        <v>-324871000</v>
      </c>
      <c r="CP23" s="64" t="n">
        <v>-324914000</v>
      </c>
      <c r="CQ23" s="141" t="n">
        <v>46168</v>
      </c>
      <c r="CR23" s="141" t="n">
        <v>46171</v>
      </c>
      <c r="CS23" s="63" t="n">
        <v>266548803</v>
      </c>
      <c r="CT23" s="64" t="n">
        <v>-127652000</v>
      </c>
      <c r="CU23" s="64" t="n">
        <v>219832000</v>
      </c>
      <c r="CV23" s="59" t="inlineStr">
        <is>
          <t>NA</t>
        </is>
      </c>
      <c r="CW23" s="64" t="n">
        <v>101100000</v>
      </c>
      <c r="CX23" s="51" t="inlineStr">
        <is>
          <t>NA</t>
        </is>
      </c>
      <c r="CY23" s="142" t="n">
        <v>0</v>
      </c>
      <c r="CZ23" s="136" t="inlineStr">
        <is>
          <t>NA</t>
        </is>
      </c>
      <c r="DA23" s="143" t="n">
        <v>1421.54</v>
      </c>
      <c r="DB23" s="63" t="n">
        <v>109125</v>
      </c>
      <c r="DC23" s="63" t="n">
        <v>5686144400</v>
      </c>
      <c r="DD23" s="59" t="inlineStr">
        <is>
          <t>Subscription level 1,421.54 times (Hong Kong Public Offering); Claw-back triggered: N/A; International Offering subscription level 0.95 times</t>
        </is>
      </c>
      <c r="DE23" s="141" t="n">
        <v>46174</v>
      </c>
      <c r="DF23" s="141" t="n">
        <v>46175</v>
      </c>
      <c r="DG23" s="63" t="n">
        <v>40000000</v>
      </c>
      <c r="DH23" s="63" t="n">
        <v>6000000</v>
      </c>
      <c r="DI23" s="63" t="n">
        <v>34000000</v>
      </c>
      <c r="DJ23" s="63" t="n">
        <v>0</v>
      </c>
      <c r="DK23" s="169" t="n">
        <v>0</v>
      </c>
      <c r="DL23" s="59" t="inlineStr">
        <is>
          <t>No. of Offer Shares reallocated from the International Offering (reallocation) 2,000,000 H Shares</t>
        </is>
      </c>
      <c r="DM23" s="144" t="n">
        <v>486460000</v>
      </c>
      <c r="DN23" s="142" t="n">
        <v>0.4088</v>
      </c>
      <c r="DO23" s="51" t="n">
        <v>400000000</v>
      </c>
      <c r="DP23" s="142" t="n">
        <v>0.1</v>
      </c>
      <c r="DQ23" s="59" t="inlineStr">
        <is>
          <t>Free float denominator = total issued Shares upon Listing; numerator = H Shares held by the public and not subject to disposal restrictions (whether under contract, the Listing Rules, applicable laws or otherwise)</t>
        </is>
      </c>
      <c r="DR23" s="63" t="n">
        <v>400000000</v>
      </c>
      <c r="DS23" s="142" t="n">
        <v>-0.01193006</v>
      </c>
      <c r="DT23" s="80" t="n">
        <v>32</v>
      </c>
      <c r="DU23" s="142" t="n">
        <v>0.026</v>
      </c>
      <c r="DV23" s="144" t="n">
        <v>53927000000</v>
      </c>
      <c r="DW23" s="145" t="n">
        <v>21.06</v>
      </c>
      <c r="DX23" s="169" t="n">
        <v>0.442466</v>
      </c>
      <c r="DY23" s="172" t="n">
        <v>258400000</v>
      </c>
      <c r="DZ23" s="146" t="n">
        <v>28</v>
      </c>
      <c r="EA23" s="146" t="n">
        <v>29.98</v>
      </c>
      <c r="EB23" s="146" t="n">
        <v>18.02</v>
      </c>
      <c r="EC23" s="63" t="n">
        <v>37023483</v>
      </c>
      <c r="ED23" s="169" t="n">
        <v>0.925587</v>
      </c>
      <c r="EE23" s="64" t="n">
        <v>919523200</v>
      </c>
      <c r="EF23" s="60" t="inlineStr">
        <is>
          <t>Mechanism A</t>
        </is>
      </c>
      <c r="EG23" s="59" t="inlineStr">
        <is>
          <t>FINI (from 22/11/2023); 2025-08-04 pricing reform (Mechanism A/B; six-month cornerstone lock-up retained); this IPO: Mechanism A</t>
        </is>
      </c>
      <c r="EH23" t="inlineStr">
        <is>
          <t>北京首钢朗泽科技股份有限公司</t>
        </is>
      </c>
      <c r="EI23" s="174" t="inlineStr">
        <is>
          <t>Active</t>
        </is>
      </c>
      <c r="EJ23" s="175" t="n">
        <v>43.94</v>
      </c>
      <c r="EK23" s="176" t="n">
        <v>1.08642</v>
      </c>
      <c r="EL23" s="176" t="n">
        <v>2.009589</v>
      </c>
      <c r="EM23" s="176" t="n">
        <v>-0.10058</v>
      </c>
      <c r="EN23" s="176" t="n">
        <v>-0.11918</v>
      </c>
      <c r="EO23" s="179" t="n">
        <v>2.3197</v>
      </c>
      <c r="EP23" s="179" t="n">
        <v>2.3687</v>
      </c>
      <c r="EQ23" s="178" t="n">
        <v>132390535</v>
      </c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inlineStr">
        <is>
          <t>Standard</t>
        </is>
      </c>
      <c r="FF23" s="181" t="inlineStr">
        <is>
          <t>Yue Xiu Securities Company Limited</t>
        </is>
      </c>
      <c r="FG23" s="185" t="n"/>
      <c r="FH23" s="183" t="n"/>
      <c r="FI23" s="178" t="n"/>
      <c r="FJ23" s="176" t="n"/>
      <c r="FK23" s="185" t="inlineStr">
        <is>
          <t>2026-06-03</t>
        </is>
      </c>
      <c r="FL23" s="178" t="n"/>
      <c r="FM23" s="176" t="n"/>
      <c r="FN23" s="176" t="n"/>
      <c r="FO23" s="176" t="n"/>
      <c r="FP23" s="176" t="n"/>
      <c r="FQ23" s="176" t="n">
        <v>0.566952</v>
      </c>
      <c r="FR23" s="179" t="n">
        <v>1.635</v>
      </c>
      <c r="FS23" s="176" t="n">
        <v>1.08642</v>
      </c>
      <c r="FT23" s="179" t="n">
        <v>2.3197</v>
      </c>
      <c r="FU23" s="176" t="n">
        <v>0.108262</v>
      </c>
      <c r="FV23" s="179" t="n">
        <v>1.1267</v>
      </c>
      <c r="FW23" s="179" t="n">
        <v>1.2542</v>
      </c>
      <c r="FX23" s="178" t="n">
        <v>44945103.08</v>
      </c>
      <c r="FY23" s="186" t="n"/>
      <c r="FZ23" s="183" t="n"/>
      <c r="GA23" s="176" t="n"/>
      <c r="GB23" s="176" t="n"/>
      <c r="GC23" s="185" t="inlineStr">
        <is>
          <t>2026-12-04</t>
        </is>
      </c>
      <c r="GD23" s="185" t="inlineStr">
        <is>
          <t>2027-06-04</t>
        </is>
      </c>
      <c r="GE23" s="176" t="n"/>
      <c r="GF23" s="176" t="n"/>
      <c r="GG23" s="179" t="n"/>
      <c r="GH23" s="181" t="inlineStr">
        <is>
          <t>CICC</t>
        </is>
      </c>
      <c r="GI23" s="183" t="n">
        <v>2</v>
      </c>
      <c r="GJ23" s="183" t="n">
        <v>0</v>
      </c>
      <c r="GK23" s="176" t="n">
        <v>0.025</v>
      </c>
      <c r="GL23" s="176" t="n">
        <v>0.01</v>
      </c>
      <c r="GM23" s="176" t="n">
        <v>0.035</v>
      </c>
      <c r="GN23" s="183" t="n">
        <v>0</v>
      </c>
      <c r="GO23" s="183" t="n">
        <v>0</v>
      </c>
      <c r="GP23" s="183" t="n">
        <v>0</v>
      </c>
      <c r="GQ23" s="183" t="n">
        <v>6</v>
      </c>
      <c r="GR23" s="183" t="n">
        <v>0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63</v>
      </c>
      <c r="B24" s="47" t="inlineStr">
        <is>
          <t>1081.HK</t>
        </is>
      </c>
      <c r="C24" s="44" t="inlineStr">
        <is>
          <t>Dajin Heavy Industry Co., Ltd. - H Shares</t>
        </is>
      </c>
      <c r="D24" s="189" t="n">
        <v>46170</v>
      </c>
      <c r="E24" s="189" t="n">
        <v>46178</v>
      </c>
      <c r="F24" s="43" t="inlineStr">
        <is>
          <t>Huatai Financial Holdings (Hong Kong) Limited /
China Merchants Securities (HK) Co., Limited</t>
        </is>
      </c>
      <c r="G24" s="43" t="inlineStr">
        <is>
          <t>BDO Limited</t>
        </is>
      </c>
      <c r="H24" s="43" t="n"/>
      <c r="I24" s="131" t="n">
        <v>577454240</v>
      </c>
      <c r="J24" s="148" t="n">
        <v>6217689360</v>
      </c>
      <c r="K24" s="133" t="n">
        <v>66.40000000000001</v>
      </c>
      <c r="L24" t="n">
        <v>724715149</v>
      </c>
      <c r="M24" s="67" t="n">
        <v>86965800</v>
      </c>
      <c r="N24" t="n">
        <v>637749349</v>
      </c>
      <c r="O24" t="n">
        <v>637749349</v>
      </c>
      <c r="P24" t="n">
        <v>0</v>
      </c>
      <c r="Q24" t="n">
        <v>86965800</v>
      </c>
      <c r="R24" s="67" t="n">
        <v>78269200</v>
      </c>
      <c r="S24" s="67" t="n">
        <v>8696600</v>
      </c>
      <c r="T24" s="147" t="n">
        <v>66.40000000000001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10224814000</v>
      </c>
      <c r="AA24" s="137" t="n">
        <v>11561950000</v>
      </c>
      <c r="AB24" s="137" t="n">
        <v>14490551000</v>
      </c>
      <c r="AC24" s="137" t="n">
        <v>6914166000</v>
      </c>
      <c r="AD24" s="137" t="n">
        <v>7272009000</v>
      </c>
      <c r="AE24" s="137" t="n">
        <v>8280290000</v>
      </c>
      <c r="AF24" s="137" t="n">
        <v>3310648000</v>
      </c>
      <c r="AG24" s="137" t="n">
        <v>4289941000</v>
      </c>
      <c r="AH24" s="137" t="n">
        <v>6210261000</v>
      </c>
      <c r="AI24" s="137" t="n">
        <v>4325082000</v>
      </c>
      <c r="AJ24" s="137" t="n">
        <v>3779651000</v>
      </c>
      <c r="AK24" s="137" t="n">
        <v>6173550000</v>
      </c>
      <c r="AL24" s="137" t="n">
        <v>484725000</v>
      </c>
      <c r="AM24" s="137" t="n">
        <v>515752000</v>
      </c>
      <c r="AN24" s="137" t="n">
        <v>1265819000</v>
      </c>
      <c r="AO24" s="137" t="n">
        <v>425157000</v>
      </c>
      <c r="AP24" s="137" t="n">
        <v>473875000</v>
      </c>
      <c r="AQ24" s="137" t="n">
        <v>1103297000</v>
      </c>
      <c r="AR24" s="142" t="n">
        <v>0.012</v>
      </c>
      <c r="AS24" s="142" t="n">
        <v>0.012</v>
      </c>
      <c r="AT24" s="84" t="n">
        <v>0.15</v>
      </c>
      <c r="AU24" s="51" t="inlineStr">
        <is>
          <t>Offshore wind power equipment R&amp;D and manufacturing; heavy marine transportation; ship design and construction; wind and photovoltaic power generation; wind marshalling port operations</t>
        </is>
      </c>
      <c r="AV24" s="51" t="inlineStr">
        <is>
          <t>Chapter 19A of the Main Board Listing Rules (PRC issuer with A Shares listed on the Shenzhen Stock Exchange)</t>
        </is>
      </c>
      <c r="AW24" s="136" t="n">
        <v>46022</v>
      </c>
      <c r="AX24" s="137" t="n">
        <v>1144333000</v>
      </c>
      <c r="AY24" s="117" t="n">
        <v>2855774000</v>
      </c>
      <c r="AZ24" s="117" t="n">
        <v>288178000</v>
      </c>
      <c r="BA24" s="117" t="inlineStr">
        <is>
          <t>NaN</t>
        </is>
      </c>
      <c r="BB24" s="138" t="n">
        <v>0.792</v>
      </c>
      <c r="BC24" s="139" t="n">
        <v>1</v>
      </c>
      <c r="BD24" s="80" t="inlineStr">
        <is>
          <t>NaN</t>
        </is>
      </c>
      <c r="BE24" s="161" t="inlineStr">
        <is>
          <t>NaN</t>
        </is>
      </c>
      <c r="BF24" s="161" t="inlineStr">
        <is>
          <t>NaN</t>
        </is>
      </c>
      <c r="BG24" s="161" t="inlineStr">
        <is>
          <t>NaN</t>
        </is>
      </c>
      <c r="BH24" s="161" t="inlineStr">
        <is>
          <t>NaN</t>
        </is>
      </c>
      <c r="BI24" s="161" t="inlineStr">
        <is>
          <t>NaN</t>
        </is>
      </c>
      <c r="BJ24" s="162" t="inlineStr">
        <is>
          <t>NA</t>
        </is>
      </c>
      <c r="BK24" s="163" t="inlineStr">
        <is>
          <t>NaN</t>
        </is>
      </c>
      <c r="BL24" s="161" t="inlineStr">
        <is>
          <t>NaN</t>
        </is>
      </c>
      <c r="BM24" s="164" t="inlineStr">
        <is>
          <t>NA</t>
        </is>
      </c>
      <c r="BN24" s="165" t="inlineStr">
        <is>
          <t>NaN</t>
        </is>
      </c>
      <c r="BO24" s="51" t="inlineStr">
        <is>
          <t>Individual (Mr. Jin Xin)</t>
        </is>
      </c>
      <c r="BP24" s="135" t="n">
        <v>0.3533</v>
      </c>
      <c r="BQ24" s="135" t="n">
        <v>0.3533</v>
      </c>
      <c r="BR24" s="137" t="n">
        <v>2124871000</v>
      </c>
      <c r="BS24" s="51" t="inlineStr">
        <is>
          <t>NA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1</v>
      </c>
      <c r="BX24" s="77" t="n">
        <v>0</v>
      </c>
      <c r="BY24" s="77" t="n">
        <v>0</v>
      </c>
      <c r="BZ24" s="78" t="n">
        <v>0</v>
      </c>
      <c r="CA24" s="60" t="inlineStr">
        <is>
          <t>101030</t>
        </is>
      </c>
      <c r="CB24" s="76" t="inlineStr">
        <is>
          <t>HSICS (Hang Seng Industry Classification System) 2026</t>
        </is>
      </c>
      <c r="CC24" s="140" t="n">
        <v>37886</v>
      </c>
      <c r="CD24" s="171" t="n">
        <v>22.7</v>
      </c>
      <c r="CE24" s="76" t="inlineStr">
        <is>
          <t>NA</t>
        </is>
      </c>
      <c r="CF24" s="89" t="inlineStr">
        <is>
          <t>No. 155, Xinqiu Main Road, Xinqiu District, Fuxin City, Liaoning Province, the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6173550000</v>
      </c>
      <c r="CO24" s="64" t="n">
        <v>1265819000</v>
      </c>
      <c r="CP24" s="64" t="n">
        <v>1103297000</v>
      </c>
      <c r="CQ24" s="141" t="n">
        <v>46170</v>
      </c>
      <c r="CR24" s="141" t="n">
        <v>46175</v>
      </c>
      <c r="CS24" s="63" t="n">
        <v>86965800</v>
      </c>
      <c r="CT24" s="64" t="n">
        <v>1919220000</v>
      </c>
      <c r="CU24" s="64" t="n">
        <v>23118000</v>
      </c>
      <c r="CV24" s="59" t="inlineStr">
        <is>
          <t>Unqualified opinion (true and fair view)</t>
        </is>
      </c>
      <c r="CW24" s="64" t="n">
        <v>157800000</v>
      </c>
      <c r="CX24" s="51" t="inlineStr">
        <is>
          <t>GIC Private Limited; HHLR Advisors, Ltd.; Hillhouse Investment Management, Ltd.; CPE; UBS AM Singapore; Taikang Life; Eastspring Singapore; Eastspring HK; Pinpoint; ICBC Wealth; MWAL; Millennium; PSBC Wealth; Fullgoal HK; Fullgoal Fund</t>
        </is>
      </c>
      <c r="CY24" s="142" t="n">
        <v>0.4221</v>
      </c>
      <c r="CZ24" s="136" t="n">
        <v>46361</v>
      </c>
      <c r="DA24" s="143" t="n">
        <v>134.39</v>
      </c>
      <c r="DB24" s="63" t="n">
        <v>122627</v>
      </c>
      <c r="DC24" s="63" t="n">
        <v>1168777400</v>
      </c>
      <c r="DD24" s="59" t="inlineStr">
        <is>
          <t>Subscription level 134.39 times</t>
        </is>
      </c>
      <c r="DE24" s="141" t="n">
        <v>46176</v>
      </c>
      <c r="DF24" s="141" t="n">
        <v>46177</v>
      </c>
      <c r="DG24" s="63" t="n">
        <v>100010600</v>
      </c>
      <c r="DH24" s="63" t="n">
        <v>8696600</v>
      </c>
      <c r="DI24" s="63" t="n">
        <v>91314000</v>
      </c>
      <c r="DJ24" s="63" t="n">
        <v>2325900</v>
      </c>
      <c r="DK24" s="169" t="n">
        <v>0.155044</v>
      </c>
      <c r="DL24" s="59" t="inlineStr">
        <is>
          <t>Claw-back triggered: N/A; No. of Offer Shares reallocated from the International Offering: 0; Final no. of Offer Shares under the Hong Kong Public Offering: 8,696,600</t>
        </is>
      </c>
      <c r="DM24" s="144" t="n">
        <v>6465480000</v>
      </c>
      <c r="DN24" s="142" t="n">
        <v>0.1356</v>
      </c>
      <c r="DO24" s="51" t="n">
        <v>737759949</v>
      </c>
      <c r="DP24" s="142" t="n">
        <v>0.07829999999999999</v>
      </c>
      <c r="DQ24" s="59" t="inlineStr">
        <is>
          <t>Free float denominator = total issued shares upon listing (col_CZ); numerator = offer shares minus cornerstone allocation</t>
        </is>
      </c>
      <c r="DR24" s="63" t="n">
        <v>737759949</v>
      </c>
      <c r="DS24" s="142" t="n">
        <v>-0.02304355</v>
      </c>
      <c r="DT24" s="80" t="n">
        <v>35</v>
      </c>
      <c r="DU24" s="142" t="n">
        <v>0.026</v>
      </c>
      <c r="DV24" s="144" t="n">
        <v>53997000000</v>
      </c>
      <c r="DW24" s="145" t="n">
        <v>66.40000000000001</v>
      </c>
      <c r="DX24" s="169" t="n">
        <v>0</v>
      </c>
      <c r="DY24" s="172" t="n">
        <v>0</v>
      </c>
      <c r="DZ24" s="146" t="n">
        <v>66.40000000000001</v>
      </c>
      <c r="EA24" s="146" t="n">
        <v>66.45</v>
      </c>
      <c r="EB24" s="146" t="n">
        <v>59.05</v>
      </c>
      <c r="EC24" s="63" t="n">
        <v>17946800</v>
      </c>
      <c r="ED24" s="169" t="n">
        <v>0.179449</v>
      </c>
      <c r="EE24" s="64" t="n">
        <v>1163715750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大金重工股份有限公司</t>
        </is>
      </c>
      <c r="EI24" s="174" t="inlineStr">
        <is>
          <t>Active</t>
        </is>
      </c>
      <c r="EJ24" s="175" t="n">
        <v>50.748</v>
      </c>
      <c r="EK24" s="176" t="n">
        <v>-0.234547</v>
      </c>
      <c r="EL24" s="176" t="n">
        <v>-0.234547</v>
      </c>
      <c r="EM24" s="176" t="n">
        <v>-0.053907</v>
      </c>
      <c r="EN24" s="176" t="n">
        <v>-0.071017</v>
      </c>
      <c r="EO24" s="179" t="n">
        <v>0.8091</v>
      </c>
      <c r="EP24" s="179" t="n">
        <v>0.824</v>
      </c>
      <c r="EQ24" s="178" t="n">
        <v>131012383</v>
      </c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inlineStr">
        <is>
          <t>Standard</t>
        </is>
      </c>
      <c r="FF24" s="181" t="inlineStr">
        <is>
          <t>Huatai Financial Holdings (Hong Kong) Limited</t>
        </is>
      </c>
      <c r="FG24" s="185" t="inlineStr">
        <is>
          <t>2026-07-02</t>
        </is>
      </c>
      <c r="FH24" s="183" t="n">
        <v>1</v>
      </c>
      <c r="FI24" s="178" t="n">
        <v>15001500</v>
      </c>
      <c r="FJ24" s="176" t="n">
        <v>0.1267</v>
      </c>
      <c r="FK24" s="185" t="inlineStr">
        <is>
          <t>2026-07-02</t>
        </is>
      </c>
      <c r="FL24" s="178" t="n">
        <v>15001500</v>
      </c>
      <c r="FM24" s="176" t="n">
        <v>1</v>
      </c>
      <c r="FN24" s="176" t="n">
        <v>-0.273554</v>
      </c>
      <c r="FO24" s="176" t="n">
        <v>-0.44259</v>
      </c>
      <c r="FP24" s="176" t="n">
        <v>0.450419</v>
      </c>
      <c r="FQ24" s="176" t="n">
        <v>-0.098042</v>
      </c>
      <c r="FR24" s="179" t="n">
        <v>0.9285</v>
      </c>
      <c r="FS24" s="176" t="n">
        <v>-0.234547</v>
      </c>
      <c r="FT24" s="179" t="n">
        <v>0.8091</v>
      </c>
      <c r="FU24" s="176" t="n">
        <v>-0.58041</v>
      </c>
      <c r="FV24" s="179" t="n">
        <v>0.4121</v>
      </c>
      <c r="FW24" s="179" t="n">
        <v>0.453</v>
      </c>
      <c r="FX24" s="178" t="n">
        <v>74395745.23</v>
      </c>
      <c r="FY24" s="186" t="n"/>
      <c r="FZ24" s="183" t="n"/>
      <c r="GA24" s="176" t="n"/>
      <c r="GB24" s="176" t="n"/>
      <c r="GC24" s="185" t="inlineStr">
        <is>
          <t>2026-12-06</t>
        </is>
      </c>
      <c r="GD24" s="185" t="inlineStr">
        <is>
          <t>2027-06-05</t>
        </is>
      </c>
      <c r="GE24" s="176" t="n"/>
      <c r="GF24" s="176" t="n"/>
      <c r="GG24" s="179" t="n"/>
      <c r="GH24" s="181" t="inlineStr">
        <is>
          <t>CICC</t>
        </is>
      </c>
      <c r="GI24" s="183" t="n">
        <v>2</v>
      </c>
      <c r="GJ24" s="183" t="n">
        <v>0</v>
      </c>
      <c r="GK24" s="176" t="n">
        <v>0.025</v>
      </c>
      <c r="GL24" s="176" t="n">
        <v>0.01</v>
      </c>
      <c r="GM24" s="176" t="n">
        <v>0.035</v>
      </c>
      <c r="GN24" s="183" t="n"/>
      <c r="GO24" s="183" t="n">
        <v>0</v>
      </c>
      <c r="GP24" s="183" t="n">
        <v>0</v>
      </c>
      <c r="GQ24" s="183" t="n">
        <v>6</v>
      </c>
      <c r="GR24" s="183" t="n">
        <v>0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64</v>
      </c>
      <c r="B25" s="47" t="inlineStr">
        <is>
          <t>1779.HK</t>
        </is>
      </c>
      <c r="C25" s="44" t="inlineStr">
        <is>
          <t>LongBio Pharma (Suzhou) Co., Ltd. - B - H Shares</t>
        </is>
      </c>
      <c r="D25" s="189" t="n">
        <v>46170</v>
      </c>
      <c r="E25" s="189" t="n">
        <v>46178</v>
      </c>
      <c r="F25" s="43" t="inlineStr">
        <is>
          <t>Sinolink Securities (Hong Kong) Company Limited</t>
        </is>
      </c>
      <c r="G25" s="43" t="inlineStr">
        <is>
          <t>Ernst &amp; Young</t>
        </is>
      </c>
      <c r="H25" s="43" t="n"/>
      <c r="I25" s="131" t="n">
        <v>136342761</v>
      </c>
      <c r="J25" s="148" t="n">
        <v>1431558165</v>
      </c>
      <c r="K25" s="133" t="n">
        <v>96.06</v>
      </c>
      <c r="L25" t="n">
        <v>74193150</v>
      </c>
      <c r="M25" s="67" t="n">
        <v>14193150</v>
      </c>
      <c r="N25" t="n">
        <v>60000000</v>
      </c>
      <c r="O25" t="n">
        <v>60000000</v>
      </c>
      <c r="P25" t="n">
        <v>0</v>
      </c>
      <c r="Q25" t="n">
        <v>14193150</v>
      </c>
      <c r="R25" s="67" t="n">
        <v>12773800</v>
      </c>
      <c r="S25" s="67" t="n">
        <v>1419350</v>
      </c>
      <c r="T25" s="147" t="n">
        <v>96.06</v>
      </c>
      <c r="U25" s="147" t="n">
        <v>96.06</v>
      </c>
      <c r="V25" s="169" t="n">
        <v>0</v>
      </c>
      <c r="W25" s="169" t="n">
        <v>0</v>
      </c>
      <c r="X25" s="170" t="inlineStr">
        <is>
          <t>Fixed price</t>
        </is>
      </c>
      <c r="Y25" s="26" t="inlineStr">
        <is>
          <t>RMB</t>
        </is>
      </c>
      <c r="Z25" s="137" t="inlineStr">
        <is>
          <t>NaN</t>
        </is>
      </c>
      <c r="AA25" s="137" t="n">
        <v>148909000</v>
      </c>
      <c r="AB25" s="137" t="n">
        <v>227557000</v>
      </c>
      <c r="AC25" s="137" t="inlineStr">
        <is>
          <t>NaN</t>
        </is>
      </c>
      <c r="AD25" s="137" t="n">
        <v>-330284000</v>
      </c>
      <c r="AE25" s="137" t="n">
        <v>140515000</v>
      </c>
      <c r="AF25" s="137" t="inlineStr">
        <is>
          <t>NaN</t>
        </is>
      </c>
      <c r="AG25" s="137" t="n">
        <v>479193000</v>
      </c>
      <c r="AH25" s="137" t="n">
        <v>87042000</v>
      </c>
      <c r="AI25" s="137" t="inlineStr">
        <is>
          <t>NaN</t>
        </is>
      </c>
      <c r="AJ25" s="137" t="n">
        <v>0</v>
      </c>
      <c r="AK25" s="137" t="n">
        <v>0</v>
      </c>
      <c r="AL25" s="137" t="inlineStr">
        <is>
          <t>NaN</t>
        </is>
      </c>
      <c r="AM25" s="137" t="n">
        <v>-137321000</v>
      </c>
      <c r="AN25" s="137" t="n">
        <v>-175583000</v>
      </c>
      <c r="AO25" s="137" t="inlineStr">
        <is>
          <t>NaN</t>
        </is>
      </c>
      <c r="AP25" s="137" t="n">
        <v>-137321000</v>
      </c>
      <c r="AQ25" s="137" t="n">
        <v>-175583000</v>
      </c>
      <c r="AR25" s="142" t="n">
        <v>0.03</v>
      </c>
      <c r="AS25" s="142" t="n">
        <v>0.03</v>
      </c>
      <c r="AT25" s="84" t="n">
        <v>0.15</v>
      </c>
      <c r="AU25" s="51" t="inlineStr">
        <is>
          <t>Biopharmaceutical - clinical-stage biotech company for in-house discovery and development of biopharmaceuticals targeting allergic and autoimmune diseases</t>
        </is>
      </c>
      <c r="AV25" s="51" t="inlineStr">
        <is>
          <t>Chapter 18A of the Listing Rules (Main Board)</t>
        </is>
      </c>
      <c r="AW25" s="136" t="n">
        <v>46022</v>
      </c>
      <c r="AX25" s="137" t="n">
        <v>-121039000</v>
      </c>
      <c r="AY25" s="117" t="n">
        <v>95051000</v>
      </c>
      <c r="AZ25" s="117" t="n">
        <v>126622000</v>
      </c>
      <c r="BA25" s="117" t="n">
        <v>0</v>
      </c>
      <c r="BB25" s="138" t="n">
        <v>0</v>
      </c>
      <c r="BC25" s="139" t="n">
        <v>1</v>
      </c>
      <c r="BD25" s="80" t="n">
        <v>1</v>
      </c>
      <c r="BE25" s="161" t="n">
        <v>1</v>
      </c>
      <c r="BF25" s="161" t="n">
        <v>1</v>
      </c>
      <c r="BG25" s="161" t="n">
        <v>1</v>
      </c>
      <c r="BH25" s="161" t="n">
        <v>1</v>
      </c>
      <c r="BI25" s="161" t="n">
        <v>1</v>
      </c>
      <c r="BJ25" s="162" t="inlineStr">
        <is>
          <t>Huzhou Youxing; Suzhou Youxin; Suzhou Lianrui; Huzhou Youcheng; OFC Bohui Fund; OFC Jiaozi Fund; Yongshi Huijin; Yongshi Weizhen; HLC; Qingdao Hongyi; QM282; CSPC Sangel; Lingang Lanwan Fund II; Southeast Investment; Changshu Wuyue Angel; Shanxi Securities Alternative Investment; Anhui Anyuan; Hangzhou Beicheng; Changshu Sanyi; Qiming Rongjing; Qiming Rongqian; Hefei Hongta; Sangel Shunchuang; Xinsheng Huachuang; Hainan Renze</t>
        </is>
      </c>
      <c r="BK25" s="163" t="n">
        <v>0.5584</v>
      </c>
      <c r="BL25" s="161" t="n">
        <v>1</v>
      </c>
      <c r="BM25" s="164" t="inlineStr">
        <is>
          <t>Series A Financing</t>
        </is>
      </c>
      <c r="BN25" s="165" t="n">
        <v>5.41</v>
      </c>
      <c r="BO25" s="51" t="inlineStr">
        <is>
          <t>Individual</t>
        </is>
      </c>
      <c r="BP25" s="135" t="n">
        <v>0.3571</v>
      </c>
      <c r="BQ25" s="135" t="n">
        <v>0.3571</v>
      </c>
      <c r="BR25" s="137" t="n">
        <v>37923000</v>
      </c>
      <c r="BS25" s="51" t="inlineStr">
        <is>
          <t>Clinical stage (Phase II/III clinical trials; pre-revenue, not yet commercialized)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1</v>
      </c>
      <c r="BZ25" s="78" t="n">
        <v>0</v>
      </c>
      <c r="CA25" s="60" t="inlineStr">
        <is>
          <t>281020</t>
        </is>
      </c>
      <c r="CB25" s="76" t="inlineStr">
        <is>
          <t>HSICS (Hang Seng Industry Classification System) 2026</t>
        </is>
      </c>
      <c r="CC25" s="140" t="n">
        <v>44130</v>
      </c>
      <c r="CD25" s="171" t="n">
        <v>5.61</v>
      </c>
      <c r="CE25" s="76" t="inlineStr">
        <is>
          <t>NA</t>
        </is>
      </c>
      <c r="CF25" s="89" t="inlineStr">
        <is>
          <t>5th Floor, Building F, Area A, No. 128 Yinhe Road, Dongnan Subdistrict, Changshu City, Suzhou City, Jiangsu Province,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0</v>
      </c>
      <c r="CO25" s="64" t="n">
        <v>-175583000</v>
      </c>
      <c r="CP25" s="64" t="n">
        <v>-175583000</v>
      </c>
      <c r="CQ25" s="141" t="n">
        <v>46170</v>
      </c>
      <c r="CR25" s="141" t="n">
        <v>46175</v>
      </c>
      <c r="CS25" s="63" t="n">
        <v>72930268</v>
      </c>
      <c r="CT25" s="64" t="n">
        <v>0</v>
      </c>
      <c r="CU25" s="64" t="n">
        <v>4386000</v>
      </c>
      <c r="CV25" s="59" t="inlineStr">
        <is>
          <t>Unqualified opinion (true and fair view)</t>
        </is>
      </c>
      <c r="CW25" s="64" t="n">
        <v>108500000</v>
      </c>
      <c r="CX25" s="51" t="inlineStr">
        <is>
          <t>OrbiMed Genesis Master Fund, L.P.; The Biotech Growth Trust PLC; TruMed Health Innovation Fund LP; TruMed Healthcare Master Fund; Huatai Capital Investment Limited; Foresight Global Superior Choice SPC - Global Superior Choice Fund 1 SP; Foresight Global Superior Choice SPC - Vision Fund 1 SP; Foresight Global Superior Choice SPC - Horizon Fund 1 SP; Foresight Global Superior Choice SPC - Horizon Next Fund SP; Fullgoal Fund Management Co., Ltd.; Fullgoal Asset Management (HK) Limited; Value Partners Hong Kong Limited; Value Partners Limited; Mega Prime Development Limited; FR M CONSULTING CO., LTD; China Galaxy International Investment Company Limited</t>
        </is>
      </c>
      <c r="CY25" s="142" t="n">
        <v>0.4996</v>
      </c>
      <c r="CZ25" s="136" t="n">
        <v>46361</v>
      </c>
      <c r="DA25" s="143" t="n">
        <v>4762.58</v>
      </c>
      <c r="DB25" s="63" t="n">
        <v>266377</v>
      </c>
      <c r="DC25" s="63" t="n">
        <v>6759772650</v>
      </c>
      <c r="DD25" s="59" t="inlineStr">
        <is>
          <t>Subscription level 4,762.58 times</t>
        </is>
      </c>
      <c r="DE25" s="141" t="inlineStr">
        <is>
          <t>NA</t>
        </is>
      </c>
      <c r="DF25" s="141" t="n">
        <v>46177</v>
      </c>
      <c r="DG25" s="63" t="n">
        <v>14193150</v>
      </c>
      <c r="DH25" s="63" t="n">
        <v>1419350</v>
      </c>
      <c r="DI25" s="63" t="n">
        <v>12773800</v>
      </c>
      <c r="DJ25" s="63" t="n">
        <v>2128950</v>
      </c>
      <c r="DK25" s="169" t="n">
        <v>1</v>
      </c>
      <c r="DL25" s="59" t="inlineStr">
        <is>
          <t>Reallocation N/A; no Offer Shares reallocated from the International Offering (0); final Hong Kong Public Offering remains 1,419,350 H Shares (10.00% of the Global Offering)</t>
        </is>
      </c>
      <c r="DM25" s="144" t="n">
        <v>1254900000</v>
      </c>
      <c r="DN25" s="142" t="n">
        <v>0.4542</v>
      </c>
      <c r="DO25" s="51" t="n">
        <v>74193150</v>
      </c>
      <c r="DP25" s="142" t="n">
        <v>0.09569999999999999</v>
      </c>
      <c r="DQ25" s="59" t="inlineStr">
        <is>
          <t>Free float denominator = total issued shares upon listing (col_CZ); numerator = offer shares minus cornerstone allocation</t>
        </is>
      </c>
      <c r="DR25" s="63" t="n">
        <v>74193150</v>
      </c>
      <c r="DS25" s="142" t="n">
        <v>-0.02304355</v>
      </c>
      <c r="DT25" s="80" t="n">
        <v>35</v>
      </c>
      <c r="DU25" s="142" t="n">
        <v>0.026</v>
      </c>
      <c r="DV25" s="144" t="n">
        <v>53997000000</v>
      </c>
      <c r="DW25" s="145" t="n">
        <v>131.8</v>
      </c>
      <c r="DX25" s="169" t="n">
        <v>0.372059</v>
      </c>
      <c r="DY25" s="172" t="n">
        <v>507263181</v>
      </c>
      <c r="DZ25" s="146" t="n">
        <v>144.3</v>
      </c>
      <c r="EA25" s="146" t="n">
        <v>158</v>
      </c>
      <c r="EB25" s="146" t="n">
        <v>126.4</v>
      </c>
      <c r="EC25" s="63" t="n">
        <v>4011200</v>
      </c>
      <c r="ED25" s="169" t="n">
        <v>0.282615</v>
      </c>
      <c r="EE25" s="64" t="n">
        <v>618573100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天辰生物医药（苏州）股份有限公司</t>
        </is>
      </c>
      <c r="EI25" s="174" t="inlineStr">
        <is>
          <t>Active</t>
        </is>
      </c>
      <c r="EJ25" s="175" t="n">
        <v>107.4</v>
      </c>
      <c r="EK25" s="176" t="n">
        <v>-0.185129</v>
      </c>
      <c r="EL25" s="176" t="n">
        <v>0.118051</v>
      </c>
      <c r="EM25" s="176" t="n">
        <v>-0.053907</v>
      </c>
      <c r="EN25" s="176" t="n">
        <v>-0.071017</v>
      </c>
      <c r="EO25" s="179" t="n">
        <v>0.8613</v>
      </c>
      <c r="EP25" s="179" t="n">
        <v>0.8772</v>
      </c>
      <c r="EQ25" s="178" t="n">
        <v>66030405</v>
      </c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18A (Biotech / B-tag)</t>
        </is>
      </c>
      <c r="FF25" s="181" t="n"/>
      <c r="FG25" s="185" t="n"/>
      <c r="FH25" s="183" t="n"/>
      <c r="FI25" s="178" t="n"/>
      <c r="FJ25" s="176" t="n">
        <v>0.15</v>
      </c>
      <c r="FK25" s="185" t="inlineStr">
        <is>
          <t>2026-06-30</t>
        </is>
      </c>
      <c r="FL25" s="178" t="n">
        <v>2128950</v>
      </c>
      <c r="FM25" s="176" t="n">
        <v>1</v>
      </c>
      <c r="FN25" s="176" t="n"/>
      <c r="FO25" s="176" t="n"/>
      <c r="FP25" s="176" t="n"/>
      <c r="FQ25" s="176" t="n">
        <v>0.076631</v>
      </c>
      <c r="FR25" s="179" t="n">
        <v>1.1083</v>
      </c>
      <c r="FS25" s="176" t="n">
        <v>-0.185129</v>
      </c>
      <c r="FT25" s="179" t="n">
        <v>0.8613</v>
      </c>
      <c r="FU25" s="176" t="n">
        <v>-0.128983</v>
      </c>
      <c r="FV25" s="179" t="n">
        <v>0.8556</v>
      </c>
      <c r="FW25" s="179" t="n">
        <v>0.9404</v>
      </c>
      <c r="FX25" s="178" t="n">
        <v>29396598.46</v>
      </c>
      <c r="FY25" s="186" t="n"/>
      <c r="FZ25" s="183" t="n"/>
      <c r="GA25" s="176" t="n"/>
      <c r="GB25" s="176" t="n"/>
      <c r="GC25" s="185" t="inlineStr">
        <is>
          <t>2026-12-06</t>
        </is>
      </c>
      <c r="GD25" s="185" t="inlineStr">
        <is>
          <t>2027-06-06</t>
        </is>
      </c>
      <c r="GE25" s="176" t="n"/>
      <c r="GF25" s="176" t="n"/>
      <c r="GG25" s="179" t="n"/>
      <c r="GH25" s="181" t="inlineStr">
        <is>
          <t>CICC</t>
        </is>
      </c>
      <c r="GI25" s="183" t="n">
        <v>2</v>
      </c>
      <c r="GJ25" s="183" t="n">
        <v>0</v>
      </c>
      <c r="GK25" s="176" t="n">
        <v>0.025</v>
      </c>
      <c r="GL25" s="176" t="n">
        <v>0.01</v>
      </c>
      <c r="GM25" s="176" t="n">
        <v>0.035</v>
      </c>
      <c r="GN25" s="183" t="n"/>
      <c r="GO25" s="183" t="n">
        <v>0</v>
      </c>
      <c r="GP25" s="183" t="n">
        <v>0</v>
      </c>
      <c r="GQ25" s="183" t="n">
        <v>6</v>
      </c>
      <c r="GR25" s="183" t="n">
        <v>0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65</v>
      </c>
      <c r="B26" s="47" t="inlineStr">
        <is>
          <t>2290.HK</t>
        </is>
      </c>
      <c r="C26" s="44" t="inlineStr">
        <is>
          <t>Lung Fung Group Holdings Limited</t>
        </is>
      </c>
      <c r="D26" s="189" t="n">
        <v>46170</v>
      </c>
      <c r="E26" s="189" t="n">
        <v>46178</v>
      </c>
      <c r="F26" s="43" t="inlineStr">
        <is>
          <t>DBS Asia Capital Limited</t>
        </is>
      </c>
      <c r="G26" s="43" t="inlineStr">
        <is>
          <t>Deloitte Touche Tohmatsu</t>
        </is>
      </c>
      <c r="H26" s="43" t="inlineStr">
        <is>
          <t>AVISTA Valuation Advisory Limited</t>
        </is>
      </c>
      <c r="I26" s="131" t="n">
        <v>64750000</v>
      </c>
      <c r="J26" s="148" t="n">
        <v>582750000</v>
      </c>
      <c r="K26" s="133" t="n">
        <v>5.18</v>
      </c>
      <c r="L26" t="n">
        <v>500000000</v>
      </c>
      <c r="M26" s="67" t="n">
        <v>125000000</v>
      </c>
      <c r="N26" t="n">
        <v>375000000</v>
      </c>
      <c r="O26" t="n">
        <v>375000000</v>
      </c>
      <c r="P26" t="n">
        <v>0</v>
      </c>
      <c r="Q26" t="n">
        <v>125000000</v>
      </c>
      <c r="R26" s="67" t="n">
        <v>112500000</v>
      </c>
      <c r="S26" s="67" t="n">
        <v>12500000</v>
      </c>
      <c r="T26" s="147" t="n">
        <v>6.38</v>
      </c>
      <c r="U26" s="147" t="n">
        <v>5.18</v>
      </c>
      <c r="V26" s="169" t="n">
        <v>-0.103806</v>
      </c>
      <c r="W26" s="169" t="n">
        <v>0.207612</v>
      </c>
      <c r="X26" s="170" t="inlineStr">
        <is>
          <t>At low</t>
        </is>
      </c>
      <c r="Y26" s="26" t="inlineStr">
        <is>
          <t>HKD</t>
        </is>
      </c>
      <c r="Z26" s="137" t="n">
        <v>1334961000</v>
      </c>
      <c r="AA26" s="137" t="n">
        <v>1288971000</v>
      </c>
      <c r="AB26" s="137" t="n">
        <v>1336986000</v>
      </c>
      <c r="AC26" s="137" t="n">
        <v>129520000</v>
      </c>
      <c r="AD26" s="137" t="n">
        <v>44382000</v>
      </c>
      <c r="AE26" s="137" t="n">
        <v>55431000</v>
      </c>
      <c r="AF26" s="137" t="n">
        <v>1205441000</v>
      </c>
      <c r="AG26" s="137" t="n">
        <v>1244589000</v>
      </c>
      <c r="AH26" s="137" t="n">
        <v>1281555000</v>
      </c>
      <c r="AI26" s="137" t="n">
        <v>2020731000</v>
      </c>
      <c r="AJ26" s="137" t="n">
        <v>2460478000</v>
      </c>
      <c r="AK26" s="137" t="n">
        <v>3052702500</v>
      </c>
      <c r="AL26" s="137" t="n">
        <v>180857000</v>
      </c>
      <c r="AM26" s="137" t="n">
        <v>218021000</v>
      </c>
      <c r="AN26" s="137" t="n">
        <v>268146000</v>
      </c>
      <c r="AO26" s="137" t="n">
        <v>144536000</v>
      </c>
      <c r="AP26" s="137" t="n">
        <v>170432000</v>
      </c>
      <c r="AQ26" s="137" t="n">
        <v>222574500</v>
      </c>
      <c r="AR26" s="142" t="n">
        <v>0.0238</v>
      </c>
      <c r="AS26" s="142" t="n">
        <v>0.0238</v>
      </c>
      <c r="AT26" s="84" t="n">
        <v>0.15</v>
      </c>
      <c r="AU26" s="51" t="inlineStr">
        <is>
          <t>Retail of beauty, health and pharmaceutical products</t>
        </is>
      </c>
      <c r="AV26" s="51" t="inlineStr">
        <is>
          <t>Main Board</t>
        </is>
      </c>
      <c r="AW26" s="136" t="n">
        <v>45991</v>
      </c>
      <c r="AX26" s="137" t="n">
        <v>1081612000</v>
      </c>
      <c r="AY26" s="117" t="n">
        <v>49896000</v>
      </c>
      <c r="AZ26" s="117" t="inlineStr">
        <is>
          <t>NaN</t>
        </is>
      </c>
      <c r="BA26" s="117" t="n">
        <v>0</v>
      </c>
      <c r="BB26" s="138" t="inlineStr">
        <is>
          <t>NaN</t>
        </is>
      </c>
      <c r="BC26" s="139" t="n">
        <v>0.666667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n">
        <v>0</v>
      </c>
      <c r="BM26" s="164" t="inlineStr">
        <is>
          <t>None</t>
        </is>
      </c>
      <c r="BN26" s="165" t="inlineStr">
        <is>
          <t>NaN</t>
        </is>
      </c>
      <c r="BO26" s="51" t="inlineStr">
        <is>
          <t>Individual (natural persons acting in concert)</t>
        </is>
      </c>
      <c r="BP26" s="135" t="n">
        <v>0.75</v>
      </c>
      <c r="BQ26" s="135" t="n">
        <v>0.75</v>
      </c>
      <c r="BR26" s="137" t="n">
        <v>1005859000</v>
      </c>
      <c r="BS26" s="51" t="inlineStr">
        <is>
          <t>NA</t>
        </is>
      </c>
      <c r="BT26" s="142" t="n">
        <v>0.2</v>
      </c>
      <c r="BU26" s="60" t="inlineStr">
        <is>
          <t>Main Board</t>
        </is>
      </c>
      <c r="BV26" s="89" t="inlineStr">
        <is>
          <t>Ordinary shares</t>
        </is>
      </c>
      <c r="BW26" s="61" t="n">
        <v>0</v>
      </c>
      <c r="BX26" s="77" t="n">
        <v>0</v>
      </c>
      <c r="BY26" s="77" t="n">
        <v>0</v>
      </c>
      <c r="BZ26" s="78" t="n">
        <v>0</v>
      </c>
      <c r="CA26" s="60" t="inlineStr">
        <is>
          <t>237050</t>
        </is>
      </c>
      <c r="CB26" s="76" t="inlineStr">
        <is>
          <t>HSICS (Hang Seng Industry Classification System) 2026</t>
        </is>
      </c>
      <c r="CC26" s="140" t="n">
        <v>45933</v>
      </c>
      <c r="CD26" s="171" t="n">
        <v>0.67</v>
      </c>
      <c r="CE26" s="76" t="inlineStr">
        <is>
          <t>Cayman Islands</t>
        </is>
      </c>
      <c r="CF26" s="89" t="inlineStr">
        <is>
          <t>5/F, Lung Fung Group Centre, 23 Yip Cheong Street, Fanling, Hong Kong</t>
        </is>
      </c>
      <c r="CG26" s="91" t="n"/>
      <c r="CH26" s="60" t="inlineStr">
        <is>
          <t>HKFRS</t>
        </is>
      </c>
      <c r="CI26" s="141" t="n">
        <v>45017</v>
      </c>
      <c r="CJ26" s="141" t="n">
        <v>45382</v>
      </c>
      <c r="CK26" s="141" t="n">
        <v>45383</v>
      </c>
      <c r="CL26" s="141" t="n">
        <v>45747</v>
      </c>
      <c r="CM26" s="141" t="n">
        <v>45748</v>
      </c>
      <c r="CN26" s="64" t="n">
        <v>2035135000</v>
      </c>
      <c r="CO26" s="64" t="n">
        <v>178764000</v>
      </c>
      <c r="CP26" s="64" t="n">
        <v>148383000</v>
      </c>
      <c r="CQ26" s="141" t="n">
        <v>46170</v>
      </c>
      <c r="CR26" s="141" t="n">
        <v>46175</v>
      </c>
      <c r="CS26" s="63" t="n">
        <v>500000000</v>
      </c>
      <c r="CT26" s="64" t="n">
        <v>628730000</v>
      </c>
      <c r="CU26" s="64" t="n">
        <v>28716000</v>
      </c>
      <c r="CV26" s="59" t="inlineStr">
        <is>
          <t>Unqualified</t>
        </is>
      </c>
      <c r="CW26" s="64" t="n">
        <v>50400000</v>
      </c>
      <c r="CX26" s="51" t="inlineStr">
        <is>
          <t>NA</t>
        </is>
      </c>
      <c r="CY26" s="142" t="n">
        <v>0</v>
      </c>
      <c r="CZ26" s="136" t="inlineStr">
        <is>
          <t>NA</t>
        </is>
      </c>
      <c r="DA26" s="143" t="n">
        <v>664.92</v>
      </c>
      <c r="DB26" s="63" t="n">
        <v>133189</v>
      </c>
      <c r="DC26" s="63" t="n">
        <v>6362250000</v>
      </c>
      <c r="DD26" s="59" t="inlineStr">
        <is>
          <t>Subscription level 664.92 times (原文用『Subscription level』而非『over-subscribed by』)</t>
        </is>
      </c>
      <c r="DE26" s="141" t="n">
        <v>46176</v>
      </c>
      <c r="DF26" s="141" t="n">
        <v>46177</v>
      </c>
      <c r="DG26" s="63" t="n">
        <v>125000000</v>
      </c>
      <c r="DH26" s="63" t="n">
        <v>12500000</v>
      </c>
      <c r="DI26" s="63" t="n">
        <v>112500000</v>
      </c>
      <c r="DJ26" s="63" t="n">
        <v>0</v>
      </c>
      <c r="DK26" s="169" t="n">
        <v>0</v>
      </c>
      <c r="DL26" s="59" t="inlineStr">
        <is>
          <t>Reallocation No：国际配售回拨至香港公开发售 0 股，最终香港公开发售维持 12,500,000 股（占全球发售 10%）</t>
        </is>
      </c>
      <c r="DM26" s="144" t="n">
        <v>599600000</v>
      </c>
      <c r="DN26" s="142" t="n">
        <v>0.25</v>
      </c>
      <c r="DO26" s="51" t="n">
        <v>500000000</v>
      </c>
      <c r="DP26" s="142" t="n">
        <v>0.25</v>
      </c>
      <c r="DQ26" s="59" t="inlineStr">
        <is>
          <t>自由流通分母 = 上市时已发行股份总数 500,000,000 股（col_CZ）；分子 = 全球发售股份 125,000,000 股（col_CS）减去基石获配 0 股（col_CK×col_CS=0），本次无基石投资者且公告披露 125,000,000 股不受任何处置限制</t>
        </is>
      </c>
      <c r="DR26" s="63" t="n">
        <v>500000000</v>
      </c>
      <c r="DS26" s="142" t="n">
        <v>-0.02304355</v>
      </c>
      <c r="DT26" s="80" t="n">
        <v>35</v>
      </c>
      <c r="DU26" s="142" t="n">
        <v>0.026</v>
      </c>
      <c r="DV26" s="144" t="n">
        <v>53997000000</v>
      </c>
      <c r="DW26" s="145" t="n">
        <v>2.81</v>
      </c>
      <c r="DX26" s="169" t="n">
        <v>-0.457529</v>
      </c>
      <c r="DY26" s="172" t="n">
        <v>-296250000</v>
      </c>
      <c r="DZ26" s="146" t="n">
        <v>4.32</v>
      </c>
      <c r="EA26" s="146" t="n">
        <v>4.6</v>
      </c>
      <c r="EB26" s="146" t="n">
        <v>2.8</v>
      </c>
      <c r="EC26" s="63" t="n">
        <v>85471206</v>
      </c>
      <c r="ED26" s="169" t="n">
        <v>0.68377</v>
      </c>
      <c r="EE26" s="64" t="n">
        <v>346179400</v>
      </c>
      <c r="EF26" s="60" t="inlineStr">
        <is>
          <t>NA</t>
        </is>
      </c>
      <c r="EG26" s="59" t="inlineStr">
        <is>
          <t>FINI (from 22/11/2023); 2025-08-04 pricing reform (Mechanism A/B; six-month cornerstone lock-up retained)</t>
        </is>
      </c>
      <c r="EH26" t="inlineStr">
        <is>
          <t>龙丰集团控股有限公司</t>
        </is>
      </c>
      <c r="EI26" s="174" t="inlineStr">
        <is>
          <t>Active</t>
        </is>
      </c>
      <c r="EJ26" s="175" t="n">
        <v>3.6</v>
      </c>
      <c r="EK26" s="176" t="n">
        <v>0.281139</v>
      </c>
      <c r="EL26" s="176" t="n">
        <v>-0.305019</v>
      </c>
      <c r="EM26" s="176" t="n">
        <v>-0.053907</v>
      </c>
      <c r="EN26" s="176" t="n">
        <v>-0.071017</v>
      </c>
      <c r="EO26" s="179" t="n">
        <v>1.3541</v>
      </c>
      <c r="EP26" s="179" t="n">
        <v>1.3791</v>
      </c>
      <c r="EQ26" s="178" t="n">
        <v>36461920</v>
      </c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inlineStr">
        <is>
          <t>Standard</t>
        </is>
      </c>
      <c r="FF26" s="181" t="n"/>
      <c r="FG26" s="185" t="n"/>
      <c r="FH26" s="183" t="n"/>
      <c r="FI26" s="178" t="n"/>
      <c r="FJ26" s="176" t="n"/>
      <c r="FK26" s="185" t="n"/>
      <c r="FL26" s="178" t="n"/>
      <c r="FM26" s="176" t="n"/>
      <c r="FN26" s="176" t="n"/>
      <c r="FO26" s="176" t="n"/>
      <c r="FP26" s="176" t="n"/>
      <c r="FQ26" s="176" t="n">
        <v>-0.021352</v>
      </c>
      <c r="FR26" s="179" t="n">
        <v>1.0074</v>
      </c>
      <c r="FS26" s="176" t="n">
        <v>0.281139</v>
      </c>
      <c r="FT26" s="179" t="n">
        <v>1.3541</v>
      </c>
      <c r="FU26" s="176" t="n">
        <v>0.441281</v>
      </c>
      <c r="FV26" s="179" t="n">
        <v>1.4157</v>
      </c>
      <c r="FW26" s="179" t="n">
        <v>1.5561</v>
      </c>
      <c r="FX26" s="178" t="n">
        <v>18026963.08</v>
      </c>
      <c r="FY26" s="186" t="n"/>
      <c r="FZ26" s="183" t="n"/>
      <c r="GA26" s="176" t="n"/>
      <c r="GB26" s="176" t="n"/>
      <c r="GC26" s="185" t="inlineStr">
        <is>
          <t>2026-12-06</t>
        </is>
      </c>
      <c r="GD26" s="185" t="inlineStr">
        <is>
          <t>2027-06-06</t>
        </is>
      </c>
      <c r="GE26" s="176" t="n"/>
      <c r="GF26" s="176" t="n"/>
      <c r="GG26" s="179" t="n"/>
      <c r="GH26" s="181" t="inlineStr">
        <is>
          <t>CICC</t>
        </is>
      </c>
      <c r="GI26" s="183" t="n">
        <v>2</v>
      </c>
      <c r="GJ26" s="183" t="n">
        <v>0</v>
      </c>
      <c r="GK26" s="176" t="n">
        <v>0.025</v>
      </c>
      <c r="GL26" s="176" t="n">
        <v>0.01</v>
      </c>
      <c r="GM26" s="176" t="n">
        <v>0.035</v>
      </c>
      <c r="GN26" s="183" t="n">
        <v>0</v>
      </c>
      <c r="GO26" s="183" t="n">
        <v>0</v>
      </c>
      <c r="GP26" s="183" t="n">
        <v>0</v>
      </c>
      <c r="GQ26" s="183" t="n">
        <v>6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66</v>
      </c>
      <c r="B27" s="47" t="inlineStr">
        <is>
          <t>6658.HK</t>
        </is>
      </c>
      <c r="C27" s="44" t="inlineStr">
        <is>
          <t>Liuliumei Co., Ltd. - H Shares</t>
        </is>
      </c>
      <c r="D27" s="189" t="n">
        <v>46178</v>
      </c>
      <c r="E27" s="189" t="n">
        <v>46188</v>
      </c>
      <c r="F27" s="43" t="inlineStr">
        <is>
          <t>CITIC Securities (Hong Kong) Limited / 
Guoyuan Capital (Hong Kong) Limited</t>
        </is>
      </c>
      <c r="G27" s="43" t="inlineStr">
        <is>
          <t>Ernst &amp; Young</t>
        </is>
      </c>
      <c r="H27" s="43" t="n"/>
      <c r="I27" s="131" t="n">
        <v>49964470</v>
      </c>
      <c r="J27" s="148" t="n">
        <v>449641008</v>
      </c>
      <c r="K27" s="133" t="n">
        <v>43.58</v>
      </c>
      <c r="L27" t="n">
        <v>78811208</v>
      </c>
      <c r="M27" s="67" t="n">
        <v>11464100</v>
      </c>
      <c r="N27" t="n">
        <v>67347108</v>
      </c>
      <c r="O27" t="n">
        <v>67347108</v>
      </c>
      <c r="P27" t="n">
        <v>0</v>
      </c>
      <c r="Q27" t="n">
        <v>11464100</v>
      </c>
      <c r="R27" s="67" t="n">
        <v>10317600</v>
      </c>
      <c r="S27" s="67" t="n">
        <v>1146500</v>
      </c>
      <c r="T27" s="147" t="n">
        <v>43.58</v>
      </c>
      <c r="U27" s="147" t="n">
        <v>43.58</v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1394662000</v>
      </c>
      <c r="AA27" s="137" t="n">
        <v>1670967000</v>
      </c>
      <c r="AB27" s="137" t="n">
        <v>1990073000</v>
      </c>
      <c r="AC27" s="137" t="n">
        <v>265465000</v>
      </c>
      <c r="AD27" s="137" t="n">
        <v>617948000</v>
      </c>
      <c r="AE27" s="137" t="n">
        <v>881627000</v>
      </c>
      <c r="AF27" s="137" t="n">
        <v>1129197000</v>
      </c>
      <c r="AG27" s="137" t="n">
        <v>1053019000</v>
      </c>
      <c r="AH27" s="137" t="n">
        <v>1108446000</v>
      </c>
      <c r="AI27" s="137" t="n">
        <v>1322042000</v>
      </c>
      <c r="AJ27" s="137" t="n">
        <v>1616018000</v>
      </c>
      <c r="AK27" s="137" t="n">
        <v>1710731000</v>
      </c>
      <c r="AL27" s="137" t="n">
        <v>110603000</v>
      </c>
      <c r="AM27" s="137" t="n">
        <v>180407000</v>
      </c>
      <c r="AN27" s="137" t="n">
        <v>219175000</v>
      </c>
      <c r="AO27" s="137" t="n">
        <v>99231000</v>
      </c>
      <c r="AP27" s="137" t="n">
        <v>147719000</v>
      </c>
      <c r="AQ27" s="137" t="n">
        <v>182088000</v>
      </c>
      <c r="AR27" s="142" t="n">
        <v>0.025</v>
      </c>
      <c r="AS27" s="142" t="n">
        <v>0.025</v>
      </c>
      <c r="AT27" s="84" t="n">
        <v>0.15</v>
      </c>
      <c r="AU27" s="51" t="inlineStr">
        <is>
          <t>Fruit snack company focusing on plum-based products</t>
        </is>
      </c>
      <c r="AV27" s="51" t="inlineStr">
        <is>
          <t>Main Board of the Stock Exchange — Chapter 19A of the Listing Rules (PRC issuer with H Shares)</t>
        </is>
      </c>
      <c r="AW27" s="136" t="n">
        <v>46022</v>
      </c>
      <c r="AX27" s="137" t="n">
        <v>74474000</v>
      </c>
      <c r="AY27" s="117" t="n">
        <v>33904000</v>
      </c>
      <c r="AZ27" s="117" t="n">
        <v>27885000</v>
      </c>
      <c r="BA27" s="117" t="n">
        <v>0</v>
      </c>
      <c r="BB27" s="138" t="n">
        <v>0.458</v>
      </c>
      <c r="BC27" s="139" t="n">
        <v>1</v>
      </c>
      <c r="BD27" s="80" t="n">
        <v>1</v>
      </c>
      <c r="BE27" s="161" t="n">
        <v>1</v>
      </c>
      <c r="BF27" s="161" t="n">
        <v>1</v>
      </c>
      <c r="BG27" s="161" t="n">
        <v>0</v>
      </c>
      <c r="BH27" s="161" t="n">
        <v>1</v>
      </c>
      <c r="BI27" s="161" t="n">
        <v>1</v>
      </c>
      <c r="BJ27" s="162" t="inlineStr">
        <is>
          <t>Beijing Sequoia; Mr. Li Qing; Shenzhen Junrong; Nuoxiang Jinhong; Nuoxiang Dongchen; Huaan Fund; Xingnong Fund</t>
        </is>
      </c>
      <c r="BK27" s="163" t="n">
        <v>0.1045</v>
      </c>
      <c r="BL27" s="161" t="n">
        <v>1</v>
      </c>
      <c r="BM27" s="164" t="inlineStr">
        <is>
          <t>Series A (Beijing Sequoia, June 2015)</t>
        </is>
      </c>
      <c r="BN27" s="165" t="n">
        <v>10.96</v>
      </c>
      <c r="BO27" s="51" t="inlineStr">
        <is>
          <t>Individual natural person(s) acting in concert (Mr. Yang and Ms. Li) and their shareholding platforms</t>
        </is>
      </c>
      <c r="BP27" s="135" t="n">
        <v>0.75</v>
      </c>
      <c r="BQ27" s="135" t="n">
        <v>0.75</v>
      </c>
      <c r="BR27" s="137" t="n">
        <v>478359000</v>
      </c>
      <c r="BS27" s="51" t="inlineStr">
        <is>
          <t>NA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0</v>
      </c>
      <c r="BX27" s="77" t="n">
        <v>0</v>
      </c>
      <c r="BY27" s="77" t="n">
        <v>0</v>
      </c>
      <c r="BZ27" s="78" t="n">
        <v>0</v>
      </c>
      <c r="CA27" s="60" t="inlineStr">
        <is>
          <t>251010</t>
        </is>
      </c>
      <c r="CB27" s="76" t="inlineStr">
        <is>
          <t>HSICS (Hang Seng Industry Classification System) 2026</t>
        </is>
      </c>
      <c r="CC27" s="140" t="n">
        <v>40060</v>
      </c>
      <c r="CD27" s="171" t="n">
        <v>16.78</v>
      </c>
      <c r="CE27" s="76" t="inlineStr">
        <is>
          <t>NA</t>
        </is>
      </c>
      <c r="CF27" s="89" t="inlineStr">
        <is>
          <t>3 Zhongjiang Road, Economic Development Zone, Fanchang District, Wuhu City, Anhui Province,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1710731000</v>
      </c>
      <c r="CO27" s="64" t="n">
        <v>219175000</v>
      </c>
      <c r="CP27" s="64" t="n">
        <v>182088000</v>
      </c>
      <c r="CQ27" s="141" t="n">
        <v>46178</v>
      </c>
      <c r="CR27" s="141" t="n">
        <v>46183</v>
      </c>
      <c r="CS27" s="63" t="n">
        <v>78811208</v>
      </c>
      <c r="CT27" s="64" t="n">
        <v>608700000</v>
      </c>
      <c r="CU27" s="64" t="n">
        <v>168633000</v>
      </c>
      <c r="CV27" s="59" t="inlineStr">
        <is>
          <t>Unqualified (true and fair view)</t>
        </is>
      </c>
      <c r="CW27" s="64" t="n">
        <v>59500000</v>
      </c>
      <c r="CX27" s="51" t="inlineStr">
        <is>
          <t>Fanchang Revitalization; Top New</t>
        </is>
      </c>
      <c r="CY27" s="142" t="n">
        <v>0.2955</v>
      </c>
      <c r="CZ27" s="136" t="n">
        <v>46371</v>
      </c>
      <c r="DA27" s="143" t="n">
        <v>6586.73</v>
      </c>
      <c r="DB27" s="63" t="n">
        <v>180507</v>
      </c>
      <c r="DC27" s="63" t="n">
        <v>7551685900</v>
      </c>
      <c r="DD27" s="59" t="inlineStr">
        <is>
          <t>Subscription level 6,586.73 times</t>
        </is>
      </c>
      <c r="DE27" s="141" t="inlineStr">
        <is>
          <t>NA</t>
        </is>
      </c>
      <c r="DF27" s="141" t="n">
        <v>46185</v>
      </c>
      <c r="DG27" s="63" t="n">
        <v>11464100</v>
      </c>
      <c r="DH27" s="63" t="n">
        <v>1146500</v>
      </c>
      <c r="DI27" s="63" t="n">
        <v>10317600</v>
      </c>
      <c r="DJ27" s="63" t="n">
        <v>0</v>
      </c>
      <c r="DK27" s="169" t="n">
        <v>0</v>
      </c>
      <c r="DL27" s="59" t="inlineStr">
        <is>
          <t>Claw-back triggered: N/A；无回拨/重新分配，最终香港公开发售股数 1,146,500 股与初始相同，占全球发售 10%。</t>
        </is>
      </c>
      <c r="DM27" s="144" t="n">
        <v>440100000</v>
      </c>
      <c r="DN27" s="142" t="n">
        <v>0.250001</v>
      </c>
      <c r="DO27" s="51" t="n">
        <v>78811208</v>
      </c>
      <c r="DP27" s="142" t="n">
        <v>0.1025</v>
      </c>
      <c r="DQ27" s="59" t="inlineStr">
        <is>
          <t>Free float denominator = total issued share capital upon Listing (78,811,208 Shares; numerator = Offer Shares not subject to disposal restrictions = 8,077,000 = col_CS 11,464,100 − 基石 3,387,100).</t>
        </is>
      </c>
      <c r="DR27" s="63" t="n">
        <v>78811208</v>
      </c>
      <c r="DS27" s="142" t="n">
        <v>-0.03663642</v>
      </c>
      <c r="DT27" s="80" t="n">
        <v>37</v>
      </c>
      <c r="DU27" s="142" t="n">
        <v>0.026403</v>
      </c>
      <c r="DV27" s="144" t="n">
        <v>53947000000</v>
      </c>
      <c r="DW27" s="145" t="n">
        <v>128</v>
      </c>
      <c r="DX27" s="169" t="n">
        <v>1.937127</v>
      </c>
      <c r="DY27" s="172" t="n">
        <v>967799322</v>
      </c>
      <c r="DZ27" s="146" t="n">
        <v>95</v>
      </c>
      <c r="EA27" s="146" t="n">
        <v>130.1</v>
      </c>
      <c r="EB27" s="146" t="n">
        <v>91</v>
      </c>
      <c r="EC27" s="63" t="n">
        <v>4304020</v>
      </c>
      <c r="ED27" s="169" t="n">
        <v>0.375435</v>
      </c>
      <c r="EE27" s="64" t="n">
        <v>450445800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溜溜梅股份有限公司</t>
        </is>
      </c>
      <c r="EI27" s="174" t="inlineStr">
        <is>
          <t>Active</t>
        </is>
      </c>
      <c r="EJ27" s="175" t="n">
        <v>163.3</v>
      </c>
      <c r="EK27" s="176" t="n">
        <v>0.275781</v>
      </c>
      <c r="EL27" s="176" t="n">
        <v>2.747132</v>
      </c>
      <c r="EM27" s="176" t="n">
        <v>-0.020205</v>
      </c>
      <c r="EN27" s="176" t="n">
        <v>-0.018071</v>
      </c>
      <c r="EO27" s="179" t="n">
        <v>1.3021</v>
      </c>
      <c r="EP27" s="179" t="n">
        <v>1.2993</v>
      </c>
      <c r="EQ27" s="178" t="n">
        <v>64391735</v>
      </c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inlineStr">
        <is>
          <t>Standard</t>
        </is>
      </c>
      <c r="FF27" s="181" t="n"/>
      <c r="FG27" s="185" t="n"/>
      <c r="FH27" s="183" t="n"/>
      <c r="FI27" s="178" t="n"/>
      <c r="FJ27" s="176" t="n"/>
      <c r="FK27" s="185" t="inlineStr">
        <is>
          <t>2026-06-15</t>
        </is>
      </c>
      <c r="FL27" s="178" t="n">
        <v>0</v>
      </c>
      <c r="FM27" s="176" t="n">
        <v>0</v>
      </c>
      <c r="FN27" s="176" t="n"/>
      <c r="FO27" s="176" t="n"/>
      <c r="FP27" s="176" t="n"/>
      <c r="FQ27" s="176" t="n">
        <v>0.172656</v>
      </c>
      <c r="FR27" s="179" t="n">
        <v>1.2257</v>
      </c>
      <c r="FS27" s="176" t="n">
        <v>0.275781</v>
      </c>
      <c r="FT27" s="179" t="n">
        <v>1.3021</v>
      </c>
      <c r="FU27" s="176" t="n">
        <v>0.371094</v>
      </c>
      <c r="FV27" s="179" t="n">
        <v>1.3808</v>
      </c>
      <c r="FW27" s="179" t="n">
        <v>1.5226</v>
      </c>
      <c r="FX27" s="178" t="n">
        <v>36224690.77</v>
      </c>
      <c r="FY27" s="186" t="n"/>
      <c r="FZ27" s="183" t="n"/>
      <c r="GA27" s="176" t="n"/>
      <c r="GB27" s="176" t="n"/>
      <c r="GC27" s="185" t="inlineStr">
        <is>
          <t>2026-12-16</t>
        </is>
      </c>
      <c r="GD27" s="185" t="inlineStr">
        <is>
          <t>2027-06-16</t>
        </is>
      </c>
      <c r="GE27" s="176" t="n"/>
      <c r="GF27" s="176" t="n"/>
      <c r="GG27" s="179" t="n"/>
      <c r="GH27" s="181" t="inlineStr">
        <is>
          <t>CICC</t>
        </is>
      </c>
      <c r="GI27" s="183" t="n">
        <v>2</v>
      </c>
      <c r="GJ27" s="183" t="n">
        <v>0</v>
      </c>
      <c r="GK27" s="176" t="n">
        <v>0.025</v>
      </c>
      <c r="GL27" s="176" t="n">
        <v>0.01</v>
      </c>
      <c r="GM27" s="176" t="n">
        <v>0.035</v>
      </c>
      <c r="GN27" s="183" t="n"/>
      <c r="GO27" s="183" t="n">
        <v>0</v>
      </c>
      <c r="GP27" s="183" t="n">
        <v>0</v>
      </c>
      <c r="GQ27" s="183" t="n">
        <v>6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67</v>
      </c>
      <c r="B28" s="47" t="inlineStr">
        <is>
          <t>6675.HK</t>
        </is>
      </c>
      <c r="C28" s="44" t="inlineStr">
        <is>
          <t>SENASIC Electronics Technology Co., Ltd. - H Shares</t>
        </is>
      </c>
      <c r="D28" s="189" t="n">
        <v>46182</v>
      </c>
      <c r="E28" s="189" t="n">
        <v>46190</v>
      </c>
      <c r="F28" s="43" t="inlineStr">
        <is>
          <t>China International Capital Corporation Hong Kong Securities Limited /
Guotai Junan Capital Limited</t>
        </is>
      </c>
      <c r="G28" s="43" t="inlineStr">
        <is>
          <t>KPMG</t>
        </is>
      </c>
      <c r="H28" s="43" t="n"/>
      <c r="I28" s="131" t="n">
        <v>98057088</v>
      </c>
      <c r="J28" s="148" t="n">
        <v>934927920</v>
      </c>
      <c r="K28" s="133" t="n">
        <v>18.36</v>
      </c>
      <c r="L28" t="n">
        <v>379041820</v>
      </c>
      <c r="M28" s="67" t="n">
        <v>53407000</v>
      </c>
      <c r="N28" t="n">
        <v>325634820</v>
      </c>
      <c r="O28" t="n">
        <v>325634820</v>
      </c>
      <c r="P28" t="n">
        <v>0</v>
      </c>
      <c r="Q28" t="n">
        <v>53407000</v>
      </c>
      <c r="R28" s="67" t="n">
        <v>48066200</v>
      </c>
      <c r="S28" s="67" t="n">
        <v>5340800</v>
      </c>
      <c r="T28" s="147" t="n">
        <v>18.36</v>
      </c>
      <c r="U28" s="147" t="n">
        <v>18.36</v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634097000</v>
      </c>
      <c r="AA28" s="137" t="n">
        <v>692736000</v>
      </c>
      <c r="AB28" s="137" t="n">
        <v>740473000</v>
      </c>
      <c r="AC28" s="137" t="n">
        <v>-840273000</v>
      </c>
      <c r="AD28" s="137" t="n">
        <v>-1159619000</v>
      </c>
      <c r="AE28" s="137" t="n">
        <v>-1479012000</v>
      </c>
      <c r="AF28" s="137" t="n">
        <v>1474370000</v>
      </c>
      <c r="AG28" s="137" t="n">
        <v>1852355000</v>
      </c>
      <c r="AH28" s="137" t="n">
        <v>2219485000</v>
      </c>
      <c r="AI28" s="137" t="n">
        <v>223483000</v>
      </c>
      <c r="AJ28" s="137" t="n">
        <v>347540000</v>
      </c>
      <c r="AK28" s="137" t="n">
        <v>477861000</v>
      </c>
      <c r="AL28" s="137" t="n">
        <v>-355400000</v>
      </c>
      <c r="AM28" s="137" t="n">
        <v>-351339000</v>
      </c>
      <c r="AN28" s="137" t="n">
        <v>-330564000</v>
      </c>
      <c r="AO28" s="137" t="n">
        <v>-355801000</v>
      </c>
      <c r="AP28" s="137" t="n">
        <v>-351339000</v>
      </c>
      <c r="AQ28" s="137" t="n">
        <v>-330564000</v>
      </c>
      <c r="AR28" s="142" t="n">
        <v>0.03</v>
      </c>
      <c r="AS28" s="142" t="n">
        <v>0.03</v>
      </c>
      <c r="AT28" s="84" t="n">
        <v>0.15</v>
      </c>
      <c r="AU28" s="51" t="inlineStr">
        <is>
          <t>Fabless design, research and development and sales of automotive-grade wireless sensor SoCs (intelligent tire sensing SoCs, BMS SoCs, USI SoCs)</t>
        </is>
      </c>
      <c r="AV28" s="51" t="inlineStr">
        <is>
          <t>Chapter 19A of the Main Board Listing Rules (PRC H Share issuer, Main Board of the Stock Exchange)</t>
        </is>
      </c>
      <c r="AW28" s="136" t="n">
        <v>46022</v>
      </c>
      <c r="AX28" s="137" t="n">
        <v>-173637000</v>
      </c>
      <c r="AY28" s="117" t="n">
        <v>201347000</v>
      </c>
      <c r="AZ28" s="117" t="n">
        <v>101531000</v>
      </c>
      <c r="BA28" s="117" t="n">
        <v>0</v>
      </c>
      <c r="BB28" s="138" t="n">
        <v>0.523</v>
      </c>
      <c r="BC28" s="139" t="n">
        <v>1</v>
      </c>
      <c r="BD28" s="80" t="n">
        <v>1</v>
      </c>
      <c r="BE28" s="161" t="n">
        <v>1</v>
      </c>
      <c r="BF28" s="161" t="n">
        <v>1</v>
      </c>
      <c r="BG28" s="161" t="n">
        <v>1</v>
      </c>
      <c r="BH28" s="161" t="n">
        <v>1</v>
      </c>
      <c r="BI28" s="161" t="inlineStr">
        <is>
          <t>NaN</t>
        </is>
      </c>
      <c r="BJ28" s="162" t="inlineStr">
        <is>
          <t>Jiakaisheng; Huaxin Chuangyuan; SANY Gongying; Nanshan Hongtai; Shenzhen Huiyue; Shenzhen Tianhui; Qufu Tianbo; Jingwei; Hai Feng Investment; Changjiang Chendao; Nanjing Jinti; Thriving Capital; Ningbo Cenyou; Baolong Automotive; Guoce Investment; Jiaxing Xingxin; Ningbo Jiechuang; Shangqi Huizhu; Shangqi Delian; Shuangyi Hengrun; Wuxi Hancheng; Yibin Chendao; Guangqi Yuexiu; Yibin Lvneng; Changshun Zhiying; Geely; Mixed Reform Fund; Jiyuan Haoyue; Jiyuan Haoyuan; CICVC; Guangqi Zhiyuan; SANY; Changshun Jianye; Haiwang Fund; Junwang Chuangxin; Zhuhai Xinde; Dongguan Xinde; Huajin Lingyi; Huajin Shangying; Huachun Baoxin; Jianfa Emerging Industry; Jianfa Changrong; CVC; Jianfa Investment</t>
        </is>
      </c>
      <c r="BK28" s="163" t="n">
        <v>0.6579</v>
      </c>
      <c r="BL28" s="161" t="n">
        <v>1</v>
      </c>
      <c r="BM28" s="164" t="inlineStr">
        <is>
          <t>Angel Investments</t>
        </is>
      </c>
      <c r="BN28" s="165" t="n">
        <v>10.77</v>
      </c>
      <c r="BO28" s="51" t="inlineStr">
        <is>
          <t>Natural persons acting in concert (Dr. Li and Mr. Li, Single Largest Group of Shareholders)</t>
        </is>
      </c>
      <c r="BP28" s="135" t="n">
        <v>0.2771</v>
      </c>
      <c r="BQ28" s="135" t="n">
        <v>0.2771</v>
      </c>
      <c r="BR28" s="137" t="n">
        <v>87898000</v>
      </c>
      <c r="BS28" s="51" t="inlineStr">
        <is>
          <t>Commercialized / mass production (TPMS SoCs in mass production since 2018; cumulative automotive sensor SoC shipments 241.9 million units as of December 31, 2025)</t>
        </is>
      </c>
      <c r="BT28" s="142" t="n">
        <v>0</v>
      </c>
      <c r="BU28" s="60" t="inlineStr">
        <is>
          <t>Main Board</t>
        </is>
      </c>
      <c r="BV28" s="89" t="inlineStr">
        <is>
          <t>H Shares</t>
        </is>
      </c>
      <c r="BW28" s="61" t="n">
        <v>0</v>
      </c>
      <c r="BX28" s="77" t="n">
        <v>0</v>
      </c>
      <c r="BY28" s="77" t="n">
        <v>0</v>
      </c>
      <c r="BZ28" s="78" t="n">
        <v>0</v>
      </c>
      <c r="CA28" s="60" t="inlineStr">
        <is>
          <t>703010</t>
        </is>
      </c>
      <c r="CB28" s="76" t="inlineStr">
        <is>
          <t>HSICS (Hang Seng Industry Classification System) 2026</t>
        </is>
      </c>
      <c r="CC28" s="140" t="n">
        <v>42082</v>
      </c>
      <c r="CD28" s="171" t="n">
        <v>11.25</v>
      </c>
      <c r="CE28" s="76" t="inlineStr">
        <is>
          <t>NA</t>
        </is>
      </c>
      <c r="CF28" s="89" t="inlineStr">
        <is>
          <t>Room 601, No. 10, Lane 198, Zhangheng Road, Pudong New Area, Shanghai, PRC</t>
        </is>
      </c>
      <c r="CG28" s="91" t="n">
        <v>1000</v>
      </c>
      <c r="CH28" s="60" t="inlineStr">
        <is>
          <t>HKFRS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477861000</v>
      </c>
      <c r="CO28" s="64" t="n">
        <v>-330564000</v>
      </c>
      <c r="CP28" s="64" t="n">
        <v>-330564000</v>
      </c>
      <c r="CQ28" s="141" t="n">
        <v>46182</v>
      </c>
      <c r="CR28" s="141" t="n">
        <v>46185</v>
      </c>
      <c r="CS28" s="63" t="n">
        <v>379041820</v>
      </c>
      <c r="CT28" s="64" t="n">
        <v>133588000</v>
      </c>
      <c r="CU28" s="64" t="n">
        <v>10545000</v>
      </c>
      <c r="CV28" s="59" t="inlineStr">
        <is>
          <t>Unqualified opinion (true and fair view)</t>
        </is>
      </c>
      <c r="CW28" s="64" t="n">
        <v>73900000</v>
      </c>
      <c r="CX28" s="51" t="inlineStr">
        <is>
          <t>Sunwoda HK; Longwei HK; Oakwise; Tembusu; Andrew Y Yan; RIME; Thalassa Capital; Chample; Libra Fixed Income One SP</t>
        </is>
      </c>
      <c r="CY28" s="142" t="n">
        <v>0.2886</v>
      </c>
      <c r="CZ28" s="136" t="n">
        <v>46373</v>
      </c>
      <c r="DA28" s="143" t="n">
        <v>5144.97</v>
      </c>
      <c r="DB28" s="63" t="n">
        <v>237930</v>
      </c>
      <c r="DC28" s="63" t="n">
        <v>27478241600</v>
      </c>
      <c r="DD28" s="59" t="inlineStr">
        <is>
          <t>Subscription level 5,144.97 times</t>
        </is>
      </c>
      <c r="DE28" s="141" t="inlineStr">
        <is>
          <t>NA</t>
        </is>
      </c>
      <c r="DF28" s="141" t="n">
        <v>46189</v>
      </c>
      <c r="DG28" s="63" t="n">
        <v>53407000</v>
      </c>
      <c r="DH28" s="63" t="n">
        <v>5340800</v>
      </c>
      <c r="DI28" s="63" t="n">
        <v>48066200</v>
      </c>
      <c r="DJ28" s="63" t="n">
        <v>2855800</v>
      </c>
      <c r="DK28" s="169" t="n">
        <v>0.356483</v>
      </c>
      <c r="DL28" s="59" t="inlineStr">
        <is>
          <t>Claw-back triggered: N/A; no Offer Shares reallocated from the International Offering (0); final Hong Kong Public Offering 5,340,800 (10% of the Global Offering).</t>
        </is>
      </c>
      <c r="DM28" s="144" t="n">
        <v>912520000</v>
      </c>
      <c r="DN28" s="142" t="n">
        <v>0.7060999999999999</v>
      </c>
      <c r="DO28" s="51" t="n">
        <v>379041820</v>
      </c>
      <c r="DP28" s="142" t="n">
        <v>0.1002</v>
      </c>
      <c r="DQ28" s="59" t="inlineStr">
        <is>
          <t>Free float denominator = total issued shares upon listing (col_CZ); numerator = offer shares minus cornerstone allocation</t>
        </is>
      </c>
      <c r="DR28" s="63" t="n">
        <v>379041820</v>
      </c>
      <c r="DS28" s="142" t="n">
        <v>-0.06579786999999999</v>
      </c>
      <c r="DT28" s="80" t="n">
        <v>36</v>
      </c>
      <c r="DU28" s="142" t="n">
        <v>0.0273673</v>
      </c>
      <c r="DV28" s="144" t="n">
        <v>54867000000</v>
      </c>
      <c r="DW28" s="145" t="n">
        <v>41.7</v>
      </c>
      <c r="DX28" s="169" t="n">
        <v>1.271242</v>
      </c>
      <c r="DY28" s="172" t="n">
        <v>1246519380</v>
      </c>
      <c r="DZ28" s="146" t="n">
        <v>31.6</v>
      </c>
      <c r="EA28" s="146" t="n">
        <v>41.9</v>
      </c>
      <c r="EB28" s="146" t="n">
        <v>31.58</v>
      </c>
      <c r="EC28" s="63" t="n">
        <v>16473920</v>
      </c>
      <c r="ED28" s="169" t="n">
        <v>0.30846</v>
      </c>
      <c r="EE28" s="64" t="n">
        <v>587352100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琻捷电子科技(江苏)股份有限公司</t>
        </is>
      </c>
      <c r="EI28" s="174" t="inlineStr">
        <is>
          <t>Active</t>
        </is>
      </c>
      <c r="EJ28" s="175" t="n">
        <v>25.22</v>
      </c>
      <c r="EK28" s="176" t="n">
        <v>-0.395204</v>
      </c>
      <c r="EL28" s="176" t="n">
        <v>0.373638</v>
      </c>
      <c r="EM28" s="176" t="n">
        <v>0.028646</v>
      </c>
      <c r="EN28" s="176" t="n">
        <v>0.035418</v>
      </c>
      <c r="EO28" s="179" t="n">
        <v>0.588</v>
      </c>
      <c r="EP28" s="179" t="n">
        <v>0.5841</v>
      </c>
      <c r="EQ28" s="178" t="n">
        <v>52065655</v>
      </c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inlineStr">
        <is>
          <t>Standard</t>
        </is>
      </c>
      <c r="FF28" s="181" t="inlineStr">
        <is>
          <t>China International Capital Corporation Hong Kong Securities Limited</t>
        </is>
      </c>
      <c r="FG28" s="185" t="inlineStr">
        <is>
          <t>2026-07-12</t>
        </is>
      </c>
      <c r="FH28" s="183" t="n">
        <v>0</v>
      </c>
      <c r="FI28" s="178" t="n">
        <v>2855800</v>
      </c>
      <c r="FJ28" s="176" t="n"/>
      <c r="FK28" s="185" t="inlineStr">
        <is>
          <t>2026-07-12</t>
        </is>
      </c>
      <c r="FL28" s="178" t="n">
        <v>2855800</v>
      </c>
      <c r="FM28" s="176" t="n">
        <v>1</v>
      </c>
      <c r="FN28" s="176" t="n">
        <v>-0.36398</v>
      </c>
      <c r="FO28" s="176" t="n">
        <v>0.446139</v>
      </c>
      <c r="FP28" s="176" t="n">
        <v>0.143642</v>
      </c>
      <c r="FQ28" s="176" t="n">
        <v>-0.168825</v>
      </c>
      <c r="FR28" s="179" t="n">
        <v>0.8631</v>
      </c>
      <c r="FS28" s="176" t="n">
        <v>-0.395204</v>
      </c>
      <c r="FT28" s="179" t="n">
        <v>0.588</v>
      </c>
      <c r="FU28" s="176" t="n">
        <v>-0.315588</v>
      </c>
      <c r="FV28" s="179" t="n">
        <v>0.6763</v>
      </c>
      <c r="FW28" s="179" t="n">
        <v>0.7413</v>
      </c>
      <c r="FX28" s="178" t="n">
        <v>23916401.54</v>
      </c>
      <c r="FY28" s="186" t="n"/>
      <c r="FZ28" s="183" t="n"/>
      <c r="GA28" s="176" t="n"/>
      <c r="GB28" s="176" t="n"/>
      <c r="GC28" s="185" t="inlineStr">
        <is>
          <t>2026-12-18</t>
        </is>
      </c>
      <c r="GD28" s="185" t="inlineStr">
        <is>
          <t>2027-06-17</t>
        </is>
      </c>
      <c r="GE28" s="176" t="n"/>
      <c r="GF28" s="176" t="n"/>
      <c r="GG28" s="179" t="n"/>
      <c r="GH28" s="181" t="inlineStr">
        <is>
          <t>CICC</t>
        </is>
      </c>
      <c r="GI28" s="183" t="n">
        <v>2</v>
      </c>
      <c r="GJ28" s="183" t="n">
        <v>0</v>
      </c>
      <c r="GK28" s="176" t="n">
        <v>0.025</v>
      </c>
      <c r="GL28" s="176" t="n">
        <v>0.01</v>
      </c>
      <c r="GM28" s="176" t="n">
        <v>0.035</v>
      </c>
      <c r="GN28" s="183" t="n"/>
      <c r="GO28" s="183" t="n">
        <v>0</v>
      </c>
      <c r="GP28" s="183" t="n">
        <v>0</v>
      </c>
      <c r="GQ28" s="183" t="n">
        <v>6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68</v>
      </c>
      <c r="B29" s="47" t="inlineStr">
        <is>
          <t>1392.HK</t>
        </is>
      </c>
      <c r="C29" s="44" t="inlineStr">
        <is>
          <t>Shenzhen HQVT Technology Co., Ltd. - H Shares</t>
        </is>
      </c>
      <c r="D29" s="189" t="n">
        <v>46184</v>
      </c>
      <c r="E29" s="189" t="n">
        <v>46195</v>
      </c>
      <c r="F29" s="43" t="inlineStr">
        <is>
          <t>CMBC International Capital Limited / 
SPDB International Capital Limited</t>
        </is>
      </c>
      <c r="G29" s="43" t="inlineStr">
        <is>
          <t>Confucius International CPA Limited</t>
        </is>
      </c>
      <c r="H29" s="43" t="n"/>
      <c r="I29" s="131" t="n">
        <v>61318800</v>
      </c>
      <c r="J29" s="148" t="n">
        <v>551851200</v>
      </c>
      <c r="K29" s="133" t="n">
        <v>7.2</v>
      </c>
      <c r="L29" t="n">
        <v>774208420</v>
      </c>
      <c r="M29" s="67" t="n">
        <v>85162500</v>
      </c>
      <c r="N29" t="n">
        <v>689045920</v>
      </c>
      <c r="O29" t="n">
        <v>689045920</v>
      </c>
      <c r="P29" t="n">
        <v>0</v>
      </c>
      <c r="Q29" t="n">
        <v>85162500</v>
      </c>
      <c r="R29" s="67" t="n">
        <v>76646000</v>
      </c>
      <c r="S29" s="67" t="n">
        <v>8516500</v>
      </c>
      <c r="T29" s="147" t="n">
        <v>7.2</v>
      </c>
      <c r="U29" s="147" t="n">
        <v>7.2</v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260961000</v>
      </c>
      <c r="AA29" s="137" t="n">
        <v>405242000</v>
      </c>
      <c r="AB29" s="137" t="n">
        <v>723892000</v>
      </c>
      <c r="AC29" s="137" t="n">
        <v>161433000</v>
      </c>
      <c r="AD29" s="137" t="n">
        <v>234377000</v>
      </c>
      <c r="AE29" s="137" t="n">
        <v>362196000</v>
      </c>
      <c r="AF29" s="137" t="n">
        <v>99528000</v>
      </c>
      <c r="AG29" s="137" t="n">
        <v>170865000</v>
      </c>
      <c r="AH29" s="137" t="n">
        <v>361696000</v>
      </c>
      <c r="AI29" s="137" t="n">
        <v>117063000</v>
      </c>
      <c r="AJ29" s="137" t="n">
        <v>522568000</v>
      </c>
      <c r="AK29" s="137" t="n">
        <v>668519000</v>
      </c>
      <c r="AL29" s="137" t="n">
        <v>-22854000</v>
      </c>
      <c r="AM29" s="137" t="n">
        <v>42459000</v>
      </c>
      <c r="AN29" s="137" t="n">
        <v>27491000</v>
      </c>
      <c r="AO29" s="137" t="n">
        <v>-18413000</v>
      </c>
      <c r="AP29" s="137" t="n">
        <v>40412000</v>
      </c>
      <c r="AQ29" s="137" t="n">
        <v>29354000</v>
      </c>
      <c r="AR29" s="142" t="n">
        <v>0.04</v>
      </c>
      <c r="AS29" s="142" t="n">
        <v>0.04</v>
      </c>
      <c r="AT29" s="84" t="inlineStr">
        <is>
          <t>NaN</t>
        </is>
      </c>
      <c r="AU29" s="51" t="inlineStr">
        <is>
          <t>Multispectral AI technology enterprise (multispectral AI modules, perception terminals and large model services)</t>
        </is>
      </c>
      <c r="AV29" s="51" t="inlineStr">
        <is>
          <t>Main Board of the Stock Exchange - market capitalisation/revenue test under Rule 8.05(3)</t>
        </is>
      </c>
      <c r="AW29" s="136" t="n">
        <v>46022</v>
      </c>
      <c r="AX29" s="137" t="n">
        <v>-129915000</v>
      </c>
      <c r="AY29" s="117" t="n">
        <v>65556000</v>
      </c>
      <c r="AZ29" s="117" t="n">
        <v>50793000</v>
      </c>
      <c r="BA29" s="117" t="n">
        <v>54477000</v>
      </c>
      <c r="BB29" s="138" t="n">
        <v>0.468</v>
      </c>
      <c r="BC29" s="139" t="n">
        <v>1</v>
      </c>
      <c r="BD29" s="80" t="n">
        <v>1</v>
      </c>
      <c r="BE29" s="161" t="n">
        <v>1</v>
      </c>
      <c r="BF29" s="161" t="n">
        <v>1</v>
      </c>
      <c r="BG29" s="161" t="n">
        <v>0</v>
      </c>
      <c r="BH29" s="161" t="n">
        <v>1</v>
      </c>
      <c r="BI29" s="161" t="inlineStr">
        <is>
          <t>NaN</t>
        </is>
      </c>
      <c r="BJ29" s="162" t="inlineStr">
        <is>
          <t>Kaiying No. 8; Kaiying No. 9; Kaiying No. 10; Taolue New Energy; Taolue Xinwang; Jinlan Sunshine; Gaoxintou; Chengdu Zhongxiaodan; Rencai No. 2; Shenrong Ruihe; Xiaohe Investment LP; Fuquan No. 1; Panhui Investment; Kezhihua; Zhide No. 9; Mr. Zhu Zhenkui</t>
        </is>
      </c>
      <c r="BK29" s="163" t="n">
        <v>0.3174</v>
      </c>
      <c r="BL29" s="161" t="n">
        <v>1</v>
      </c>
      <c r="BM29" s="164" t="inlineStr">
        <is>
          <t>Series A (30 November 2020)</t>
        </is>
      </c>
      <c r="BN29" s="165" t="n">
        <v>5.53</v>
      </c>
      <c r="BO29" s="51" t="inlineStr">
        <is>
          <t>Founder / natural person (Mr. Zhou Bo)</t>
        </is>
      </c>
      <c r="BP29" s="135" t="n">
        <v>0.435</v>
      </c>
      <c r="BQ29" s="135" t="n">
        <v>0.435</v>
      </c>
      <c r="BR29" s="137" t="n">
        <v>213682000</v>
      </c>
      <c r="BS29" s="51" t="inlineStr">
        <is>
          <t>Commercialisation / revenue-generating stage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0</v>
      </c>
      <c r="BX29" s="77" t="n">
        <v>0</v>
      </c>
      <c r="BY29" s="77" t="n">
        <v>0</v>
      </c>
      <c r="BZ29" s="78" t="n">
        <v>0</v>
      </c>
      <c r="CA29" s="60" t="inlineStr">
        <is>
          <t>702030</t>
        </is>
      </c>
      <c r="CB29" s="76" t="inlineStr">
        <is>
          <t>HSICS (Hang Seng Industry Classification System) 2026</t>
        </is>
      </c>
      <c r="CC29" s="140" t="n">
        <v>41367</v>
      </c>
      <c r="CD29" s="171" t="n">
        <v>13.22</v>
      </c>
      <c r="CE29" s="76" t="inlineStr">
        <is>
          <t>PRC</t>
        </is>
      </c>
      <c r="CF29" s="89" t="inlineStr">
        <is>
          <t>3/F, Building 8, Taihua Wutong Industrial Park, Gushu Development Zone, Xixiang Street, Bao'an District, Shenzhen, PRC</t>
        </is>
      </c>
      <c r="CG29" s="91" t="n">
        <v>1000</v>
      </c>
      <c r="CH29" s="60" t="inlineStr">
        <is>
          <t>IFRS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668519000</v>
      </c>
      <c r="CO29" s="64" t="n">
        <v>27491000</v>
      </c>
      <c r="CP29" s="64" t="n">
        <v>29354000</v>
      </c>
      <c r="CQ29" s="141" t="n">
        <v>46184</v>
      </c>
      <c r="CR29" s="141" t="n">
        <v>46189</v>
      </c>
      <c r="CS29" s="63" t="n">
        <v>756143940</v>
      </c>
      <c r="CT29" s="64" t="n">
        <v>149392000</v>
      </c>
      <c r="CU29" s="64" t="n">
        <v>81476000</v>
      </c>
      <c r="CV29" s="59" t="inlineStr">
        <is>
          <t>Unqualified opinion (true and fair view)</t>
        </is>
      </c>
      <c r="CW29" s="64" t="n">
        <v>76300000</v>
      </c>
      <c r="CX29" s="51" t="inlineStr">
        <is>
          <t>NA</t>
        </is>
      </c>
      <c r="CY29" s="142" t="n">
        <v>0</v>
      </c>
      <c r="CZ29" s="136" t="inlineStr">
        <is>
          <t>NA</t>
        </is>
      </c>
      <c r="DA29" s="143" t="n">
        <v>7181.21</v>
      </c>
      <c r="DB29" s="63" t="n">
        <v>252640</v>
      </c>
      <c r="DC29" s="63" t="n">
        <v>84572151000</v>
      </c>
      <c r="DD29" s="59" t="inlineStr">
        <is>
          <t>Subscription level 7,181.21 times</t>
        </is>
      </c>
      <c r="DE29" s="141" t="inlineStr">
        <is>
          <t>NA</t>
        </is>
      </c>
      <c r="DF29" s="141" t="n">
        <v>46191</v>
      </c>
      <c r="DG29" s="63" t="n">
        <v>85162500</v>
      </c>
      <c r="DH29" s="63" t="n">
        <v>8516500</v>
      </c>
      <c r="DI29" s="63" t="n">
        <v>76646000</v>
      </c>
      <c r="DJ29" s="63" t="n">
        <v>0</v>
      </c>
      <c r="DK29" s="169" t="n">
        <v>0</v>
      </c>
      <c r="DL29" s="59" t="inlineStr">
        <is>
          <t>Claw-back triggered: N/A; No. of Offer Shares reallocated from the International Placing: 0</t>
        </is>
      </c>
      <c r="DM29" s="144" t="n">
        <v>536830000</v>
      </c>
      <c r="DN29" s="142" t="n">
        <v>0.3788</v>
      </c>
      <c r="DO29" s="51" t="n">
        <v>774208420</v>
      </c>
      <c r="DP29" s="142" t="n">
        <v>0.11</v>
      </c>
      <c r="DQ29" s="59" t="inlineStr">
        <is>
          <t>Free float denominator = total issued shares upon listing (col_CZ); numerator = offer shares minus cornerstone allocation</t>
        </is>
      </c>
      <c r="DR29" s="63" t="n">
        <v>774208420</v>
      </c>
      <c r="DS29" s="142" t="n">
        <v>-0.07362819</v>
      </c>
      <c r="DT29" s="80" t="n">
        <v>36</v>
      </c>
      <c r="DU29" s="142" t="n">
        <v>0.0267964</v>
      </c>
      <c r="DV29" s="144" t="n">
        <v>53886000000</v>
      </c>
      <c r="DW29" s="145" t="n">
        <v>26.7</v>
      </c>
      <c r="DX29" s="169" t="n">
        <v>2.708333</v>
      </c>
      <c r="DY29" s="172" t="n">
        <v>1660668750</v>
      </c>
      <c r="DZ29" s="146" t="n">
        <v>29</v>
      </c>
      <c r="EA29" s="146" t="n">
        <v>30</v>
      </c>
      <c r="EB29" s="146" t="n">
        <v>25</v>
      </c>
      <c r="EC29" s="63" t="n">
        <v>27583246</v>
      </c>
      <c r="ED29" s="169" t="n">
        <v>0.32389</v>
      </c>
      <c r="EE29" s="64" t="n">
        <v>708518700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深圳海清智元科技股份有限公司</t>
        </is>
      </c>
      <c r="EI29" s="174" t="inlineStr">
        <is>
          <t>Active</t>
        </is>
      </c>
      <c r="EJ29" s="175" t="n">
        <v>13.7</v>
      </c>
      <c r="EK29" s="176" t="n">
        <v>-0.486891</v>
      </c>
      <c r="EL29" s="176" t="n">
        <v>0.902778</v>
      </c>
      <c r="EM29" s="176" t="n">
        <v>0.05783</v>
      </c>
      <c r="EN29" s="176" t="n">
        <v>0.044564</v>
      </c>
      <c r="EO29" s="179" t="n">
        <v>0.4851</v>
      </c>
      <c r="EP29" s="179" t="n">
        <v>0.4912</v>
      </c>
      <c r="EQ29" s="178" t="n">
        <v>66501635</v>
      </c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inlineStr">
        <is>
          <t>Standard</t>
        </is>
      </c>
      <c r="FF29" s="181" t="n"/>
      <c r="FG29" s="185" t="n"/>
      <c r="FH29" s="183" t="n"/>
      <c r="FI29" s="178" t="n"/>
      <c r="FJ29" s="176" t="n">
        <v>0.3788</v>
      </c>
      <c r="FK29" s="185" t="n"/>
      <c r="FL29" s="178" t="n"/>
      <c r="FM29" s="176" t="n"/>
      <c r="FN29" s="176" t="n"/>
      <c r="FO29" s="176" t="n"/>
      <c r="FP29" s="176" t="n"/>
      <c r="FQ29" s="176" t="n">
        <v>-0.303745</v>
      </c>
      <c r="FR29" s="179" t="n">
        <v>0.7299</v>
      </c>
      <c r="FS29" s="176" t="n">
        <v>-0.486891</v>
      </c>
      <c r="FT29" s="179" t="n">
        <v>0.4851</v>
      </c>
      <c r="FU29" s="176" t="n">
        <v>0.286891</v>
      </c>
      <c r="FV29" s="179" t="n">
        <v>1.2192</v>
      </c>
      <c r="FW29" s="179" t="n">
        <v>1.3191</v>
      </c>
      <c r="FX29" s="178" t="n">
        <v>68659872.73</v>
      </c>
      <c r="FY29" s="186" t="n"/>
      <c r="FZ29" s="183" t="n"/>
      <c r="GA29" s="176" t="n"/>
      <c r="GB29" s="176" t="n"/>
      <c r="GC29" s="185" t="inlineStr">
        <is>
          <t>2026-12-23</t>
        </is>
      </c>
      <c r="GD29" s="185" t="inlineStr">
        <is>
          <t>2027-06-23</t>
        </is>
      </c>
      <c r="GE29" s="176" t="n"/>
      <c r="GF29" s="176" t="n"/>
      <c r="GG29" s="179" t="n"/>
      <c r="GH29" s="181" t="inlineStr">
        <is>
          <t>CICC</t>
        </is>
      </c>
      <c r="GI29" s="183" t="n">
        <v>2</v>
      </c>
      <c r="GJ29" s="183" t="n">
        <v>0</v>
      </c>
      <c r="GK29" s="176" t="n">
        <v>0.025</v>
      </c>
      <c r="GL29" s="176" t="n">
        <v>0.01</v>
      </c>
      <c r="GM29" s="176" t="n">
        <v>0.035</v>
      </c>
      <c r="GN29" s="183" t="n">
        <v>0</v>
      </c>
      <c r="GO29" s="183" t="n">
        <v>0</v>
      </c>
      <c r="GP29" s="183" t="n">
        <v>0</v>
      </c>
      <c r="GQ29" s="183" t="n">
        <v>6</v>
      </c>
      <c r="GR29" s="183" t="n">
        <v>0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69</v>
      </c>
      <c r="B30" s="47" t="inlineStr">
        <is>
          <t>6067.HK</t>
        </is>
      </c>
      <c r="C30" s="44" t="inlineStr">
        <is>
          <t>Shenzhen Senior Technology Material Co., Ltd. - H Shares</t>
        </is>
      </c>
      <c r="D30" s="189" t="n">
        <v>46185</v>
      </c>
      <c r="E30" s="189" t="n">
        <v>46196</v>
      </c>
      <c r="F30" s="43" t="inlineStr">
        <is>
          <t>China Securities (International) Corporate Finance Company Limited</t>
        </is>
      </c>
      <c r="G30" s="43" t="inlineStr">
        <is>
          <t>Rongcheng (Hong Kong) CPA Limited</t>
        </is>
      </c>
      <c r="H30" s="43" t="inlineStr">
        <is>
          <t>Knight Frank Petty Limited</t>
        </is>
      </c>
      <c r="I30" s="131" t="n">
        <v>134273450</v>
      </c>
      <c r="J30" s="148" t="n">
        <v>1208447580</v>
      </c>
      <c r="K30" s="133" t="n">
        <v>8.98</v>
      </c>
      <c r="L30" t="n">
        <v>1495234139</v>
      </c>
      <c r="M30" s="67" t="n">
        <v>149523500</v>
      </c>
      <c r="N30" t="n">
        <v>1345710639</v>
      </c>
      <c r="O30" t="n">
        <v>1345710639</v>
      </c>
      <c r="P30" t="n">
        <v>0</v>
      </c>
      <c r="Q30" t="n">
        <v>149523500</v>
      </c>
      <c r="R30" s="67" t="n">
        <v>134571000</v>
      </c>
      <c r="S30" s="67" t="n">
        <v>14952500</v>
      </c>
      <c r="T30" s="147" t="n">
        <v>8.98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17945462000</v>
      </c>
      <c r="AA30" s="137" t="n">
        <v>23145535000</v>
      </c>
      <c r="AB30" s="137" t="n">
        <v>24793110000</v>
      </c>
      <c r="AC30" s="137" t="n">
        <v>9958777000</v>
      </c>
      <c r="AD30" s="137" t="n">
        <v>9971122000</v>
      </c>
      <c r="AE30" s="137" t="n">
        <v>10140752000</v>
      </c>
      <c r="AF30" s="137" t="n">
        <v>7986685000</v>
      </c>
      <c r="AG30" s="137" t="n">
        <v>13174413000</v>
      </c>
      <c r="AH30" s="137" t="n">
        <v>14652358000</v>
      </c>
      <c r="AI30" s="137" t="n">
        <v>2981863000</v>
      </c>
      <c r="AJ30" s="137" t="n">
        <v>3506153000</v>
      </c>
      <c r="AK30" s="137" t="n">
        <v>4076845000</v>
      </c>
      <c r="AL30" s="137" t="n">
        <v>717048000</v>
      </c>
      <c r="AM30" s="137" t="n">
        <v>407019000</v>
      </c>
      <c r="AN30" s="137" t="n">
        <v>120463000</v>
      </c>
      <c r="AO30" s="137" t="n">
        <v>593695000</v>
      </c>
      <c r="AP30" s="137" t="n">
        <v>370708000</v>
      </c>
      <c r="AQ30" s="137" t="n">
        <v>143110000</v>
      </c>
      <c r="AR30" s="142" t="n">
        <v>0.01</v>
      </c>
      <c r="AS30" s="142" t="n">
        <v>0.01</v>
      </c>
      <c r="AT30" s="84" t="n">
        <v>0</v>
      </c>
      <c r="AU30" s="51" t="inlineStr">
        <is>
          <t>Lithium-ion battery separator manufacturer (research, development, production and sales)</t>
        </is>
      </c>
      <c r="AV30" s="51" t="inlineStr">
        <is>
          <t>Chapter 19A of the Listing Rules (PRC issuer with other listed shares)</t>
        </is>
      </c>
      <c r="AW30" s="136" t="n">
        <v>46022</v>
      </c>
      <c r="AX30" s="137" t="n">
        <v>752512000</v>
      </c>
      <c r="AY30" s="117" t="n">
        <v>1187671000</v>
      </c>
      <c r="AZ30" s="117" t="n">
        <v>278380000</v>
      </c>
      <c r="BA30" s="117" t="n">
        <v>0</v>
      </c>
      <c r="BB30" s="138" t="n">
        <v>0.608</v>
      </c>
      <c r="BC30" s="139" t="n">
        <v>1</v>
      </c>
      <c r="BD30" s="80" t="n">
        <v>1</v>
      </c>
      <c r="BE30" s="161" t="n">
        <v>1</v>
      </c>
      <c r="BF30" s="161" t="n">
        <v>1</v>
      </c>
      <c r="BG30" s="161" t="n">
        <v>1</v>
      </c>
      <c r="BH30" s="161" t="inlineStr">
        <is>
          <t>NaN</t>
        </is>
      </c>
      <c r="BI30" s="161" t="inlineStr">
        <is>
          <t>NaN</t>
        </is>
      </c>
      <c r="BJ30" s="162" t="inlineStr">
        <is>
          <t>Shenzhen Oriental Fortune Venture Capital (Limited Partnership); Shenzhen Chuangdongfang Growth Investment Enterprise (Limited Partnership); Shenzhen Xiaoyang Science &amp; Technology Investment Co., Ltd.; Sichuan Zhongcheng Management Consulting Co., Ltd.; Shenzhen Xinyu Industrial Co., Ltd.</t>
        </is>
      </c>
      <c r="BK30" s="163" t="n">
        <v>0.2661</v>
      </c>
      <c r="BL30" s="161" t="inlineStr">
        <is>
          <t>NaN</t>
        </is>
      </c>
      <c r="BM30" s="164" t="inlineStr">
        <is>
          <t>2008 conversion into joint stock company</t>
        </is>
      </c>
      <c r="BN30" s="165" t="n">
        <v>17.77</v>
      </c>
      <c r="BO30" s="51" t="inlineStr">
        <is>
          <t>Natural persons - no controlling shareholder; Prof. Chen and Ms. Chen are the Single Largest Shareholders</t>
        </is>
      </c>
      <c r="BP30" s="135" t="n">
        <v>0.11425</v>
      </c>
      <c r="BQ30" s="135" t="n">
        <v>0.11425</v>
      </c>
      <c r="BR30" s="137" t="n">
        <v>12415603000</v>
      </c>
      <c r="BS30" s="51" t="inlineStr">
        <is>
          <t>Commercialized - mass production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1</v>
      </c>
      <c r="BX30" s="77" t="n">
        <v>0</v>
      </c>
      <c r="BY30" s="77" t="n">
        <v>0</v>
      </c>
      <c r="BZ30" s="78" t="n">
        <v>0</v>
      </c>
      <c r="CA30" s="60" t="inlineStr">
        <is>
          <t>101070</t>
        </is>
      </c>
      <c r="CB30" s="76" t="inlineStr">
        <is>
          <t>HSICS (Hang Seng Industry Classification System) 2026</t>
        </is>
      </c>
      <c r="CC30" s="140" t="n">
        <v>37881</v>
      </c>
      <c r="CD30" s="171" t="n">
        <v>22.77</v>
      </c>
      <c r="CE30" s="76" t="inlineStr">
        <is>
          <t>NA</t>
        </is>
      </c>
      <c r="CF30" s="89" t="inlineStr">
        <is>
          <t>Gongming office, Guangming District, Shenzhen City, Guangdong Province, Tianyuan Road North, the PRC</t>
        </is>
      </c>
      <c r="CG30" s="91" t="n">
        <v>1000</v>
      </c>
      <c r="CH30" s="60" t="inlineStr">
        <is>
          <t>IFRS Accounting Standards</t>
        </is>
      </c>
      <c r="CI30" s="141" t="n">
        <v>44927</v>
      </c>
      <c r="CJ30" s="141" t="n">
        <v>45291</v>
      </c>
      <c r="CK30" s="141" t="n">
        <v>45292</v>
      </c>
      <c r="CL30" s="141" t="n">
        <v>45657</v>
      </c>
      <c r="CM30" s="141" t="n">
        <v>45658</v>
      </c>
      <c r="CN30" s="64" t="n">
        <v>4076845000</v>
      </c>
      <c r="CO30" s="64" t="n">
        <v>120463000</v>
      </c>
      <c r="CP30" s="64" t="n">
        <v>143110000</v>
      </c>
      <c r="CQ30" s="141" t="n">
        <v>46185</v>
      </c>
      <c r="CR30" s="141" t="n">
        <v>46190</v>
      </c>
      <c r="CS30" s="63" t="n">
        <v>149523500</v>
      </c>
      <c r="CT30" s="64" t="n">
        <v>883205000</v>
      </c>
      <c r="CU30" s="64" t="n">
        <v>3737322000</v>
      </c>
      <c r="CV30" s="59" t="inlineStr">
        <is>
          <t>Unqualified - true and fair view</t>
        </is>
      </c>
      <c r="CW30" s="64" t="n">
        <v>79900000</v>
      </c>
      <c r="CX30" s="51" t="inlineStr">
        <is>
          <t>Fullgoal; GF Fund; Taikang Life; Harvest Synergy SP; Springs Capital (Hong Kong); Gaoteng Enterprise Management and CICC Financial Trading Limited (in connection with OTC Swaps); Sunwoda Treasury; JINKOSOLAR INVESTMENT; Mondeomax; Bona Star; SINSANWA; SHEEN NATION; Chen Feng</t>
        </is>
      </c>
      <c r="CY30" s="142" t="n">
        <v>0.4514</v>
      </c>
      <c r="CZ30" s="136" t="n">
        <v>46379</v>
      </c>
      <c r="DA30" s="143" t="n">
        <v>1563.16</v>
      </c>
      <c r="DB30" s="63" t="n">
        <v>209580</v>
      </c>
      <c r="DC30" s="63" t="n">
        <v>23373135000</v>
      </c>
      <c r="DD30" s="59" t="inlineStr">
        <is>
          <t>Subscription level 1,563.16 times</t>
        </is>
      </c>
      <c r="DE30" s="141" t="n">
        <v>46191</v>
      </c>
      <c r="DF30" s="141" t="n">
        <v>46195</v>
      </c>
      <c r="DG30" s="63" t="n">
        <v>149523500</v>
      </c>
      <c r="DH30" s="63" t="n">
        <v>14952500</v>
      </c>
      <c r="DI30" s="63" t="n">
        <v>134571000</v>
      </c>
      <c r="DJ30" s="63" t="n">
        <v>0</v>
      </c>
      <c r="DK30" s="169" t="n">
        <v>0</v>
      </c>
      <c r="DL30" s="59" t="inlineStr">
        <is>
          <t>Claw-back triggered: N/A; 0 Offer Shares reallocated from the International Offering; final HK Public Offering 14,952,500 (10% of the Global Offering)</t>
        </is>
      </c>
      <c r="DM30" s="144" t="n">
        <v>1281000000</v>
      </c>
      <c r="DN30" s="142" t="n">
        <v>0.1013</v>
      </c>
      <c r="DO30" s="51" t="n">
        <v>1495234139</v>
      </c>
      <c r="DP30" s="142" t="n">
        <v>0.0549</v>
      </c>
      <c r="DQ30" s="59" t="inlineStr">
        <is>
          <t>Free float denominator = total issued shares upon listing (col_CZ); numerator = offer shares minus cornerstone allocation</t>
        </is>
      </c>
      <c r="DR30" s="63" t="n">
        <v>1495234139</v>
      </c>
      <c r="DS30" s="142" t="n">
        <v>-0.08106394</v>
      </c>
      <c r="DT30" s="80" t="n">
        <v>36</v>
      </c>
      <c r="DU30" s="142" t="n">
        <v>0.0266208</v>
      </c>
      <c r="DV30" s="144" t="n">
        <v>53886000000</v>
      </c>
      <c r="DW30" s="145" t="n">
        <v>11</v>
      </c>
      <c r="DX30" s="169" t="n">
        <v>0.224944</v>
      </c>
      <c r="DY30" s="172" t="n">
        <v>302037470</v>
      </c>
      <c r="DZ30" s="146" t="n">
        <v>12.43</v>
      </c>
      <c r="EA30" s="146" t="n">
        <v>13.41</v>
      </c>
      <c r="EB30" s="146" t="n">
        <v>11</v>
      </c>
      <c r="EC30" s="63" t="n">
        <v>66432145</v>
      </c>
      <c r="ED30" s="169" t="n">
        <v>0.444292</v>
      </c>
      <c r="EE30" s="64" t="n">
        <v>812566300</v>
      </c>
      <c r="EF30" s="60" t="inlineStr">
        <is>
          <t>Mechanism A</t>
        </is>
      </c>
      <c r="EG30" s="59" t="inlineStr">
        <is>
          <t>FINI (from 22/11/2023); 2025-08-04 pricing reform (Mechanism A/B; six-month cornerstone lock-up retained); this IPO: Mechanism A</t>
        </is>
      </c>
      <c r="EH30" t="inlineStr">
        <is>
          <t>深圳市星源材质科技股份有限公司</t>
        </is>
      </c>
      <c r="EI30" s="174" t="inlineStr">
        <is>
          <t>Active</t>
        </is>
      </c>
      <c r="EJ30" s="175" t="n">
        <v>7.82</v>
      </c>
      <c r="EK30" s="176" t="n">
        <v>-0.289091</v>
      </c>
      <c r="EL30" s="176" t="n">
        <v>-0.129176</v>
      </c>
      <c r="EM30" s="176" t="n">
        <v>0.076962</v>
      </c>
      <c r="EN30" s="176" t="n">
        <v>0.094474</v>
      </c>
      <c r="EO30" s="179" t="n">
        <v>0.6601</v>
      </c>
      <c r="EP30" s="179" t="n">
        <v>0.6495</v>
      </c>
      <c r="EQ30" s="178" t="n">
        <v>122249705</v>
      </c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inlineStr">
        <is>
          <t>Standard</t>
        </is>
      </c>
      <c r="FF30" s="181" t="n"/>
      <c r="FG30" s="185" t="n"/>
      <c r="FH30" s="183" t="n"/>
      <c r="FI30" s="178" t="n"/>
      <c r="FJ30" s="176" t="n"/>
      <c r="FK30" s="185" t="n"/>
      <c r="FL30" s="178" t="n"/>
      <c r="FM30" s="176" t="n"/>
      <c r="FN30" s="176" t="n"/>
      <c r="FO30" s="176" t="n"/>
      <c r="FP30" s="176" t="n"/>
      <c r="FQ30" s="176" t="n">
        <v>-0.154545</v>
      </c>
      <c r="FR30" s="179" t="n">
        <v>0.8568</v>
      </c>
      <c r="FS30" s="176" t="n">
        <v>-0.289091</v>
      </c>
      <c r="FT30" s="179" t="n">
        <v>0.6601</v>
      </c>
      <c r="FU30" s="176" t="n">
        <v>-0.271364</v>
      </c>
      <c r="FV30" s="179" t="n"/>
      <c r="FW30" s="179" t="n"/>
      <c r="FX30" s="178" t="n">
        <v>51522631.82</v>
      </c>
      <c r="FY30" s="186" t="n"/>
      <c r="FZ30" s="183" t="n"/>
      <c r="GA30" s="176" t="n"/>
      <c r="GB30" s="176" t="n"/>
      <c r="GC30" s="185" t="n"/>
      <c r="GD30" s="185" t="n"/>
      <c r="GE30" s="176" t="n"/>
      <c r="GF30" s="176" t="n"/>
      <c r="GG30" s="179" t="n"/>
      <c r="GH30" s="181" t="inlineStr">
        <is>
          <t>CICC</t>
        </is>
      </c>
      <c r="GI30" s="183" t="n">
        <v>2</v>
      </c>
      <c r="GJ30" s="183" t="n">
        <v>0</v>
      </c>
      <c r="GK30" s="176" t="n">
        <v>0.025</v>
      </c>
      <c r="GL30" s="176" t="n">
        <v>0.01</v>
      </c>
      <c r="GM30" s="176" t="n">
        <v>0.035</v>
      </c>
      <c r="GN30" s="183" t="n"/>
      <c r="GO30" s="183" t="n">
        <v>0</v>
      </c>
      <c r="GP30" s="183" t="n">
        <v>0</v>
      </c>
      <c r="GQ30" s="183" t="n">
        <v>6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70</v>
      </c>
      <c r="B31" s="47" t="inlineStr">
        <is>
          <t>6132.HK</t>
        </is>
      </c>
      <c r="C31" s="44" t="inlineStr">
        <is>
          <t>HJ Science Co., Ltd. - B - H Shares</t>
        </is>
      </c>
      <c r="D31" s="189" t="n">
        <v>46185</v>
      </c>
      <c r="E31" s="189" t="n">
        <v>46196</v>
      </c>
      <c r="F31" s="43" t="inlineStr">
        <is>
          <t>CITIC Securities (Hong Kong) Limited</t>
        </is>
      </c>
      <c r="G31" s="43" t="inlineStr">
        <is>
          <t>Deloitte Touche Tohmatsu</t>
        </is>
      </c>
      <c r="H31" s="43" t="n"/>
      <c r="I31" s="131" t="n">
        <v>111248000</v>
      </c>
      <c r="J31" s="148" t="n">
        <v>1001232000</v>
      </c>
      <c r="K31" s="133" t="n">
        <v>81.8</v>
      </c>
      <c r="L31" t="n">
        <v>73599605</v>
      </c>
      <c r="M31" s="67" t="n">
        <v>13600000</v>
      </c>
      <c r="N31" t="n">
        <v>59999605</v>
      </c>
      <c r="O31" t="n">
        <v>59999605</v>
      </c>
      <c r="P31" t="n">
        <v>0</v>
      </c>
      <c r="Q31" t="n">
        <v>13600000</v>
      </c>
      <c r="R31" s="67" t="n">
        <v>12240000</v>
      </c>
      <c r="S31" s="67" t="n">
        <v>1360000</v>
      </c>
      <c r="T31" s="147" t="n">
        <v>81.8</v>
      </c>
      <c r="U31" s="147" t="n">
        <v>81.8</v>
      </c>
      <c r="V31" s="169" t="n">
        <v>0</v>
      </c>
      <c r="W31" s="169" t="n">
        <v>0</v>
      </c>
      <c r="X31" s="170" t="inlineStr">
        <is>
          <t>Fixed price</t>
        </is>
      </c>
      <c r="Y31" s="26" t="inlineStr">
        <is>
          <t>RMB</t>
        </is>
      </c>
      <c r="Z31" s="137" t="inlineStr">
        <is>
          <t>NaN</t>
        </is>
      </c>
      <c r="AA31" s="137" t="n">
        <v>430173000</v>
      </c>
      <c r="AB31" s="137" t="n">
        <v>432609000</v>
      </c>
      <c r="AC31" s="137" t="inlineStr">
        <is>
          <t>NaN</t>
        </is>
      </c>
      <c r="AD31" s="137" t="n">
        <v>376235000</v>
      </c>
      <c r="AE31" s="137" t="n">
        <v>336200000</v>
      </c>
      <c r="AF31" s="137" t="inlineStr">
        <is>
          <t>NaN</t>
        </is>
      </c>
      <c r="AG31" s="137" t="n">
        <v>53938000</v>
      </c>
      <c r="AH31" s="137" t="n">
        <v>96409000</v>
      </c>
      <c r="AI31" s="137" t="inlineStr">
        <is>
          <t>NaN</t>
        </is>
      </c>
      <c r="AJ31" s="137" t="n">
        <v>1800000</v>
      </c>
      <c r="AK31" s="137" t="n">
        <v>12982000</v>
      </c>
      <c r="AL31" s="137" t="inlineStr">
        <is>
          <t>NaN</t>
        </is>
      </c>
      <c r="AM31" s="137" t="n">
        <v>-202317000</v>
      </c>
      <c r="AN31" s="137" t="n">
        <v>-135080000</v>
      </c>
      <c r="AO31" s="137" t="inlineStr">
        <is>
          <t>NaN</t>
        </is>
      </c>
      <c r="AP31" s="137" t="n">
        <v>-202317000</v>
      </c>
      <c r="AQ31" s="137" t="n">
        <v>-135084000</v>
      </c>
      <c r="AR31" s="142" t="n">
        <v>0.035</v>
      </c>
      <c r="AS31" s="142" t="n">
        <v>0.035</v>
      </c>
      <c r="AT31" s="84" t="n">
        <v>0.15</v>
      </c>
      <c r="AU31" s="51" t="inlineStr">
        <is>
          <t>Biopharmaceutical — discovery and development of small-molecule innovative drugs</t>
        </is>
      </c>
      <c r="AV31" s="51" t="inlineStr">
        <is>
          <t>Chapter 18A of the Listing Rules (Main Board)</t>
        </is>
      </c>
      <c r="AW31" s="136" t="n">
        <v>46022</v>
      </c>
      <c r="AX31" s="137" t="n">
        <v>-89434000</v>
      </c>
      <c r="AY31" s="117" t="n">
        <v>3720000</v>
      </c>
      <c r="AZ31" s="117" t="n">
        <v>110178000</v>
      </c>
      <c r="BA31" s="117" t="n">
        <v>0</v>
      </c>
      <c r="BB31" s="138" t="n">
        <v>1</v>
      </c>
      <c r="BC31" s="139" t="n">
        <v>1</v>
      </c>
      <c r="BD31" s="80" t="n">
        <v>1</v>
      </c>
      <c r="BE31" s="161" t="n">
        <v>1</v>
      </c>
      <c r="BF31" s="161" t="n">
        <v>1</v>
      </c>
      <c r="BG31" s="161" t="n">
        <v>1</v>
      </c>
      <c r="BH31" s="161" t="n">
        <v>1</v>
      </c>
      <c r="BI31" s="161" t="n">
        <v>1</v>
      </c>
      <c r="BJ31" s="162" t="inlineStr">
        <is>
          <t>SDIC Shanghai; Junlian Xinkang; Suzhou Fanmao; Huaige Ruixin; Huaige Health; Ruiji Phase III; Junshi Biosciences; Peikun Jingrong; Peikun Songfu; STAT Fund; Xiamen Jianfa; Shengyu Heike; Jiangjin Fund; Chengyu Tuanjiehu Fund; Wuxi Runyuan; Huike Fund; Ruiji Phase X; Huace Xinming; Baohe Linghang; Chengdu Chunlei; Ms. Zhang Naiye</t>
        </is>
      </c>
      <c r="BK31" s="163" t="n">
        <v>0.3466</v>
      </c>
      <c r="BL31" s="161" t="n">
        <v>1</v>
      </c>
      <c r="BM31" s="164" t="inlineStr">
        <is>
          <t>Series A Financing</t>
        </is>
      </c>
      <c r="BN31" s="165" t="n">
        <v>8.470000000000001</v>
      </c>
      <c r="BO31" s="51" t="inlineStr">
        <is>
          <t>Individual (natural person)</t>
        </is>
      </c>
      <c r="BP31" s="135" t="n">
        <v>0.4687</v>
      </c>
      <c r="BQ31" s="135" t="n">
        <v>0.4687</v>
      </c>
      <c r="BR31" s="137" t="n">
        <v>12646000</v>
      </c>
      <c r="BS31" s="51" t="inlineStr">
        <is>
          <t>Clinical-stage (no products approved for commercial sale)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1</v>
      </c>
      <c r="BZ31" s="78" t="n">
        <v>0</v>
      </c>
      <c r="CA31" s="60" t="inlineStr">
        <is>
          <t>281050</t>
        </is>
      </c>
      <c r="CB31" s="76" t="inlineStr">
        <is>
          <t>HSICS (Hang Seng Industry Classification System) 2026</t>
        </is>
      </c>
      <c r="CC31" s="140" t="n">
        <v>42786</v>
      </c>
      <c r="CD31" s="171" t="n">
        <v>9.34</v>
      </c>
      <c r="CE31" s="76" t="inlineStr">
        <is>
          <t>NA</t>
        </is>
      </c>
      <c r="CF31" s="89" t="inlineStr">
        <is>
          <t>No. 501, 5/F, Unit 1, Building 4, No. 18 North Section of Bayi Road, Yongning Town, Wenjiang District, Chengdu,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12982000</v>
      </c>
      <c r="CO31" s="64" t="n">
        <v>-135080000</v>
      </c>
      <c r="CP31" s="64" t="n">
        <v>-135084000</v>
      </c>
      <c r="CQ31" s="141" t="n">
        <v>46185</v>
      </c>
      <c r="CR31" s="141" t="n">
        <v>46190</v>
      </c>
      <c r="CS31" s="63" t="n">
        <v>73599605</v>
      </c>
      <c r="CT31" s="64" t="inlineStr">
        <is>
          <t>NaN</t>
        </is>
      </c>
      <c r="CU31" s="64" t="n">
        <v>1500000</v>
      </c>
      <c r="CV31" s="59" t="inlineStr">
        <is>
          <t>Unqualified opinion (true and fair view)</t>
        </is>
      </c>
      <c r="CW31" s="64" t="n">
        <v>93700000</v>
      </c>
      <c r="CX31" s="51" t="inlineStr">
        <is>
          <t>Foresight Global Superior Choice SPC—Global Superior Choice Fund 1 SP; Foresight Global Superior Choice SPC—Vision Fund 1 SP; Foresight Global Superior Choice SPC—Horizon Fund 1 SP; Foresight Global Superior Choice SPC—Horizon Next Fund SP; Foresight International Series–Foresight China Equity Fund; Key Broad Future Limited; LBC HK Opportunity Fund Limited; Sage Partners Master Fund; Panjing Harbourview Investment Fund; Taikang Life Insurance Co., Ltd.</t>
        </is>
      </c>
      <c r="CY31" s="142" t="n">
        <v>0.4579</v>
      </c>
      <c r="CZ31" s="136" t="n">
        <v>46379</v>
      </c>
      <c r="DA31" s="143" t="n">
        <v>2007.6</v>
      </c>
      <c r="DB31" s="63" t="n">
        <v>173284</v>
      </c>
      <c r="DC31" s="63" t="n">
        <v>2730338000</v>
      </c>
      <c r="DD31" s="59" t="inlineStr">
        <is>
          <t>Subscription level 2,007.60 times</t>
        </is>
      </c>
      <c r="DE31" s="141" t="inlineStr">
        <is>
          <t>NA</t>
        </is>
      </c>
      <c r="DF31" s="141" t="n">
        <v>46195</v>
      </c>
      <c r="DG31" s="63" t="n">
        <v>13600000</v>
      </c>
      <c r="DH31" s="63" t="n">
        <v>1360000</v>
      </c>
      <c r="DI31" s="63" t="n">
        <v>12240000</v>
      </c>
      <c r="DJ31" s="63" t="n">
        <v>0</v>
      </c>
      <c r="DK31" s="169" t="n">
        <v>0</v>
      </c>
      <c r="DL31" s="59" t="inlineStr">
        <is>
          <t>Reallocation: N/A (no Offer Shares reallocated from the International Offering)</t>
        </is>
      </c>
      <c r="DM31" s="144" t="n">
        <v>1018700000</v>
      </c>
      <c r="DN31" s="142" t="n">
        <v>0.5313</v>
      </c>
      <c r="DO31" s="51" t="n">
        <v>73599605</v>
      </c>
      <c r="DP31" s="142" t="n">
        <v>0.1002</v>
      </c>
      <c r="DQ31" s="59" t="inlineStr">
        <is>
          <t>Free float denominator = total issued Shares upon Listing (before exercise of the Over-allotment Option); excludes H Shares held by existing Shareholders and Cornerstone Investors subject to lock-up. Numerator = Offer Shares minus cornerstone allocation.</t>
        </is>
      </c>
      <c r="DR31" s="63" t="n">
        <v>73599605</v>
      </c>
      <c r="DS31" s="142" t="n">
        <v>-0.08106394</v>
      </c>
      <c r="DT31" s="80" t="n">
        <v>36</v>
      </c>
      <c r="DU31" s="142" t="n">
        <v>0.0266208</v>
      </c>
      <c r="DV31" s="144" t="n">
        <v>53886000000</v>
      </c>
      <c r="DW31" s="145" t="n">
        <v>35.26</v>
      </c>
      <c r="DX31" s="169" t="n">
        <v>-0.568949</v>
      </c>
      <c r="DY31" s="172" t="n">
        <v>-632944000</v>
      </c>
      <c r="DZ31" s="146" t="n">
        <v>81.8</v>
      </c>
      <c r="EA31" s="146" t="n">
        <v>82</v>
      </c>
      <c r="EB31" s="146" t="n">
        <v>35.26</v>
      </c>
      <c r="EC31" s="63" t="n">
        <v>8250640</v>
      </c>
      <c r="ED31" s="169" t="n">
        <v>0.606665</v>
      </c>
      <c r="EE31" s="64" t="n">
        <v>602404800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华健未来（成都）科技股份有限公司</t>
        </is>
      </c>
      <c r="EI31" s="174" t="inlineStr">
        <is>
          <t>Active</t>
        </is>
      </c>
      <c r="EJ31" s="175" t="n">
        <v>45</v>
      </c>
      <c r="EK31" s="176" t="n">
        <v>0.276234</v>
      </c>
      <c r="EL31" s="176" t="n">
        <v>-0.449878</v>
      </c>
      <c r="EM31" s="176" t="n">
        <v>0.076962</v>
      </c>
      <c r="EN31" s="176" t="n">
        <v>0.094474</v>
      </c>
      <c r="EO31" s="179" t="n">
        <v>1.185</v>
      </c>
      <c r="EP31" s="179" t="n">
        <v>1.1661</v>
      </c>
      <c r="EQ31" s="178" t="n">
        <v>48766375</v>
      </c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inlineStr">
        <is>
          <t>18A (Biotech / B-tag)</t>
        </is>
      </c>
      <c r="FF31" s="181" t="inlineStr">
        <is>
          <t>CLSA Limited</t>
        </is>
      </c>
      <c r="FG31" s="185" t="n"/>
      <c r="FH31" s="183" t="n"/>
      <c r="FI31" s="178" t="n"/>
      <c r="FJ31" s="176" t="n"/>
      <c r="FK31" s="185" t="inlineStr">
        <is>
          <t>2026-06-23</t>
        </is>
      </c>
      <c r="FL31" s="178" t="n">
        <v>0</v>
      </c>
      <c r="FM31" s="176" t="n">
        <v>0</v>
      </c>
      <c r="FN31" s="176" t="n"/>
      <c r="FO31" s="176" t="n"/>
      <c r="FP31" s="176" t="n"/>
      <c r="FQ31" s="176" t="n">
        <v>0.08905299999999999</v>
      </c>
      <c r="FR31" s="179" t="n">
        <v>1.1037</v>
      </c>
      <c r="FS31" s="176" t="n">
        <v>0.276234</v>
      </c>
      <c r="FT31" s="179" t="n">
        <v>1.185</v>
      </c>
      <c r="FU31" s="176" t="n">
        <v>0.16903</v>
      </c>
      <c r="FV31" s="179" t="n"/>
      <c r="FW31" s="179" t="n"/>
      <c r="FX31" s="178" t="n">
        <v>17423125.76</v>
      </c>
      <c r="FY31" s="186" t="n"/>
      <c r="FZ31" s="183" t="n"/>
      <c r="GA31" s="176" t="n"/>
      <c r="GB31" s="176" t="n"/>
      <c r="GC31" s="185" t="inlineStr">
        <is>
          <t>2026-12-24</t>
        </is>
      </c>
      <c r="GD31" s="185" t="inlineStr">
        <is>
          <t>2027-06-24</t>
        </is>
      </c>
      <c r="GE31" s="176" t="n"/>
      <c r="GF31" s="176" t="n"/>
      <c r="GG31" s="179" t="n"/>
      <c r="GH31" s="181" t="inlineStr">
        <is>
          <t>CICC</t>
        </is>
      </c>
      <c r="GI31" s="183" t="n">
        <v>2</v>
      </c>
      <c r="GJ31" s="183" t="n">
        <v>0</v>
      </c>
      <c r="GK31" s="176" t="n">
        <v>0.025</v>
      </c>
      <c r="GL31" s="176" t="n">
        <v>0.01</v>
      </c>
      <c r="GM31" s="176" t="n">
        <v>0.035</v>
      </c>
      <c r="GN31" s="183" t="n"/>
      <c r="GO31" s="183" t="n">
        <v>0</v>
      </c>
      <c r="GP31" s="183" t="n">
        <v>0</v>
      </c>
      <c r="GQ31" s="183" t="n">
        <v>6</v>
      </c>
      <c r="GR31" s="183" t="n">
        <v>0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71</v>
      </c>
      <c r="B32" s="47" t="inlineStr">
        <is>
          <t>2335.HK</t>
        </is>
      </c>
      <c r="C32" s="44" t="inlineStr">
        <is>
          <t>Shaanxi Micot Pharmaceutical Technology Co., Ltd. - B - H Shares</t>
        </is>
      </c>
      <c r="D32" s="189" t="n">
        <v>46188</v>
      </c>
      <c r="E32" s="189" t="n">
        <v>46197</v>
      </c>
      <c r="F32" s="43" t="inlineStr">
        <is>
          <t>CCB International Capital Limited / 
China Merchants Securities (HK) Co., Limited</t>
        </is>
      </c>
      <c r="G32" s="43" t="inlineStr">
        <is>
          <t>Deloitte Touche Tohmatsu</t>
        </is>
      </c>
      <c r="H32" s="43" t="n"/>
      <c r="I32" s="131" t="n">
        <v>105661920</v>
      </c>
      <c r="J32" s="148" t="n">
        <v>950928160</v>
      </c>
      <c r="K32" s="133" t="n">
        <v>18.2</v>
      </c>
      <c r="L32" t="n">
        <v>331740350</v>
      </c>
      <c r="M32" s="67" t="n">
        <v>58054400</v>
      </c>
      <c r="N32" t="n">
        <v>273685950</v>
      </c>
      <c r="O32" t="n">
        <v>273685950</v>
      </c>
      <c r="P32" t="n">
        <v>0</v>
      </c>
      <c r="Q32" t="n">
        <v>58054400</v>
      </c>
      <c r="R32" s="67" t="n">
        <v>52248800</v>
      </c>
      <c r="S32" s="67" t="n">
        <v>5805600</v>
      </c>
      <c r="T32" s="147" t="n">
        <v>21</v>
      </c>
      <c r="U32" s="147" t="n">
        <v>18.2</v>
      </c>
      <c r="V32" s="169" t="n">
        <v>-0.07142900000000001</v>
      </c>
      <c r="W32" s="169" t="n">
        <v>0.142857</v>
      </c>
      <c r="X32" s="170" t="inlineStr">
        <is>
          <t>At low</t>
        </is>
      </c>
      <c r="Y32" s="26" t="inlineStr">
        <is>
          <t>RMB</t>
        </is>
      </c>
      <c r="Z32" s="137" t="inlineStr">
        <is>
          <t>NaN</t>
        </is>
      </c>
      <c r="AA32" s="137" t="n">
        <v>247258000</v>
      </c>
      <c r="AB32" s="137" t="n">
        <v>331461000</v>
      </c>
      <c r="AC32" s="137" t="inlineStr">
        <is>
          <t>NaN</t>
        </is>
      </c>
      <c r="AD32" s="137" t="n">
        <v>126793000</v>
      </c>
      <c r="AE32" s="137" t="n">
        <v>-959885000</v>
      </c>
      <c r="AF32" s="137" t="inlineStr">
        <is>
          <t>NaN</t>
        </is>
      </c>
      <c r="AG32" s="137" t="n">
        <v>120465000</v>
      </c>
      <c r="AH32" s="137" t="n">
        <v>1291346000</v>
      </c>
      <c r="AI32" s="137" t="n">
        <v>0</v>
      </c>
      <c r="AJ32" s="137" t="n">
        <v>0</v>
      </c>
      <c r="AK32" s="137" t="n">
        <v>0</v>
      </c>
      <c r="AL32" s="137" t="inlineStr">
        <is>
          <t>NaN</t>
        </is>
      </c>
      <c r="AM32" s="137" t="n">
        <v>-156808000</v>
      </c>
      <c r="AN32" s="137" t="n">
        <v>-184914000</v>
      </c>
      <c r="AO32" s="137" t="inlineStr">
        <is>
          <t>NaN</t>
        </is>
      </c>
      <c r="AP32" s="137" t="n">
        <v>-156832000</v>
      </c>
      <c r="AQ32" s="137" t="n">
        <v>-184914000</v>
      </c>
      <c r="AR32" s="142" t="n">
        <v>0.025</v>
      </c>
      <c r="AS32" s="142" t="n">
        <v>0.025</v>
      </c>
      <c r="AT32" s="84" t="n">
        <v>0.15</v>
      </c>
      <c r="AU32" s="51" t="inlineStr">
        <is>
          <t>Biotechnology company specializing in the discovery, development and commercialization of bi-/multi-specific peptide drugs for the treatment of metabolic diseases as well as cardiovascular and cerebrovascular diseases</t>
        </is>
      </c>
      <c r="AV32" s="51" t="inlineStr">
        <is>
          <t>Chapter 18A of the Listing Rules</t>
        </is>
      </c>
      <c r="AW32" s="136" t="n">
        <v>46022</v>
      </c>
      <c r="AX32" s="137" t="n">
        <v>-137130000</v>
      </c>
      <c r="AY32" s="117" t="n">
        <v>80556000</v>
      </c>
      <c r="AZ32" s="117" t="n">
        <v>130089000</v>
      </c>
      <c r="BA32" s="117" t="n">
        <v>0</v>
      </c>
      <c r="BB32" s="138" t="inlineStr">
        <is>
          <t>NaN</t>
        </is>
      </c>
      <c r="BC32" s="139" t="n">
        <v>1</v>
      </c>
      <c r="BD32" s="80" t="n">
        <v>1</v>
      </c>
      <c r="BE32" s="161" t="n">
        <v>1</v>
      </c>
      <c r="BF32" s="161" t="n">
        <v>1</v>
      </c>
      <c r="BG32" s="161" t="inlineStr">
        <is>
          <t>NaN</t>
        </is>
      </c>
      <c r="BH32" s="161" t="n">
        <v>1</v>
      </c>
      <c r="BI32" s="161" t="n">
        <v>1</v>
      </c>
      <c r="BJ32" s="162" t="inlineStr">
        <is>
          <t>Beta Achieve Limited; Tianjin Huaxin Pharmaceutical Venture Capital Partnership (Limited Partnership); Shaanxi Junying Growth Industry Development Fund Partnership (Limited Partnership); Shaanxi New Materials High-Tech Venture Investment Fund (Limited Partnership); Xi'an Jingcheng Daxing Enterprise Management Partnership (Limited Partnership); Xi'an Tongshang Investment Partnership (Limited Partnership); Suzhou Mainiv Venture Investment Partnership (Limited Partnership); Suzhou Rongsheng Xianxing Venture Investment Partnership (Limited Partnership); Ningbo Meishan Bonded Port Area Fengchuan Hongbo Investment Management Partnership (Limited Partnership); Xinyu Shanjin Runji Equity Investment Partnership (Limited Partnership); Xi'an Tangxing Technology Venture Capital Investment Partnership (Limited Partnership); Xi'an Huiyu Investment Fund Partnership (Limited Partnership); Shaanxi Huichang Listed Reserve Enterprise Equity Investment Fund Partnership (Limited Partnership); Hangzhou Quandewang Enterprise Management Co., Ltd.; Hainan Ruizheng Enterprise Management Partnership (Limited Partnership); Shengzhou Yinyun Heman Enterprise Management Partnership (Limited Partnership); Hainan Wanfeng Investment Partnership (Limited Partnership); Shaanxi Junying Jiacheng Pharmaceutical Industry Development Fund Partnership (Limited Partnership); Linhai Qize Maite Venture Investment Partnership (Limited Partnership); Maicheng Century (Xi'an) Enterprise Management Partnership Enterprise (Limited Partnership); Jinan Liuji Enterprise Management Partnership Enterprise (Limited Partnership); Shaanxi Jingang Nongtou Biomedical Industry Development Equity Investment Partnership (Limited Partnership); Shaanxi Innovation Relay Equity Investment Partnership (Limited Partnership)</t>
        </is>
      </c>
      <c r="BK32" s="163" t="n">
        <v>0.4736</v>
      </c>
      <c r="BL32" s="161" t="n">
        <v>1</v>
      </c>
      <c r="BM32" s="164" t="inlineStr">
        <is>
          <t>Series A Financing</t>
        </is>
      </c>
      <c r="BN32" s="165" t="n">
        <v>6.88</v>
      </c>
      <c r="BO32" s="51" t="inlineStr">
        <is>
          <t>Natural person founders (Dr. Wang Bing and Dr. Wang Mei)</t>
        </is>
      </c>
      <c r="BP32" s="135" t="n">
        <v>0.4343</v>
      </c>
      <c r="BQ32" s="135" t="n">
        <v>0.4343</v>
      </c>
      <c r="BR32" s="137" t="n">
        <v>1208719000</v>
      </c>
      <c r="BS32" s="51" t="inlineStr">
        <is>
          <t>Clinical development stage; no drug candidates approved or commercialized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1</v>
      </c>
      <c r="BZ32" s="78" t="n">
        <v>0</v>
      </c>
      <c r="CA32" s="60" t="inlineStr">
        <is>
          <t>281020</t>
        </is>
      </c>
      <c r="CB32" s="76" t="inlineStr">
        <is>
          <t>HSICS (Hang Seng Industry Classification System) 2026</t>
        </is>
      </c>
      <c r="CC32" s="140" t="n">
        <v>39101</v>
      </c>
      <c r="CD32" s="171" t="n">
        <v>19.43</v>
      </c>
      <c r="CE32" s="76" t="inlineStr">
        <is>
          <t>NA</t>
        </is>
      </c>
      <c r="CF32" s="89" t="inlineStr">
        <is>
          <t>Building 6, Collaborative Innovation Port, Chang'an District, Xi'an, Shaanxi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0</v>
      </c>
      <c r="CO32" s="64" t="n">
        <v>-184914000</v>
      </c>
      <c r="CP32" s="64" t="n">
        <v>-184914000</v>
      </c>
      <c r="CQ32" s="141" t="n">
        <v>46188</v>
      </c>
      <c r="CR32" s="141" t="n">
        <v>46191</v>
      </c>
      <c r="CS32" s="63" t="n">
        <v>280071100</v>
      </c>
      <c r="CT32" s="64" t="n">
        <v>0</v>
      </c>
      <c r="CU32" s="64" t="n">
        <v>878000</v>
      </c>
      <c r="CV32" s="59" t="inlineStr">
        <is>
          <t>Unqualified opinion (true and fair view)</t>
        </is>
      </c>
      <c r="CW32" s="64" t="n">
        <v>70600000</v>
      </c>
      <c r="CX32" s="51" t="inlineStr">
        <is>
          <t>Qiyuan High-tech Innovation Investment (Hong Kong) Limited; Everest Medicines Limited; Summit Capital Limited</t>
        </is>
      </c>
      <c r="CY32" s="142" t="n">
        <v>0.4251</v>
      </c>
      <c r="CZ32" s="136" t="n">
        <v>46380</v>
      </c>
      <c r="DA32" s="143" t="n">
        <v>1181.46</v>
      </c>
      <c r="DB32" s="63" t="n">
        <v>153832</v>
      </c>
      <c r="DC32" s="63" t="n">
        <v>6859084176</v>
      </c>
      <c r="DD32" s="59" t="inlineStr">
        <is>
          <t>Subscription level 1,181.46 times</t>
        </is>
      </c>
      <c r="DE32" s="141" t="n">
        <v>46195</v>
      </c>
      <c r="DF32" s="141" t="n">
        <v>46196</v>
      </c>
      <c r="DG32" s="63" t="n">
        <v>58054400</v>
      </c>
      <c r="DH32" s="63" t="n">
        <v>5805600</v>
      </c>
      <c r="DI32" s="63" t="n">
        <v>52248800</v>
      </c>
      <c r="DJ32" s="63" t="n">
        <v>0</v>
      </c>
      <c r="DK32" s="169" t="n">
        <v>0</v>
      </c>
      <c r="DL32" s="59" t="inlineStr">
        <is>
          <t>NA</t>
        </is>
      </c>
      <c r="DM32" s="144" t="n">
        <v>989300000</v>
      </c>
      <c r="DN32" s="142" t="n">
        <v>0.4374</v>
      </c>
      <c r="DO32" s="51" t="n">
        <v>331740350</v>
      </c>
      <c r="DP32" s="142" t="n">
        <v>0.1006</v>
      </c>
      <c r="DQ32" s="59" t="inlineStr">
        <is>
          <t>Existing Shareholders 273,685,950 Shares (12-month PRC lock-up) and Cornerstone Investors 24,681,000 Shares (6-month lock-up) are excluded from the free float; denominator is the total issued share capital upon Listing (331,740,350 Shares).</t>
        </is>
      </c>
      <c r="DR32" s="63" t="n">
        <v>331740350</v>
      </c>
      <c r="DS32" s="142" t="n">
        <v>-0.06331943</v>
      </c>
      <c r="DT32" s="80" t="n">
        <v>36</v>
      </c>
      <c r="DU32" s="142" t="n">
        <v>0.027</v>
      </c>
      <c r="DV32" s="144" t="n">
        <v>53886000000</v>
      </c>
      <c r="DW32" s="145" t="n">
        <v>36.9</v>
      </c>
      <c r="DX32" s="169" t="n">
        <v>1.027473</v>
      </c>
      <c r="DY32" s="172" t="n">
        <v>1085617280</v>
      </c>
      <c r="DZ32" s="146" t="n">
        <v>34.02</v>
      </c>
      <c r="EA32" s="146" t="n">
        <v>37.1</v>
      </c>
      <c r="EB32" s="146" t="n">
        <v>32.2</v>
      </c>
      <c r="EC32" s="63" t="n">
        <v>11330500</v>
      </c>
      <c r="ED32" s="169" t="n">
        <v>0.19517</v>
      </c>
      <c r="EE32" s="64" t="n">
        <v>379187200</v>
      </c>
      <c r="EF32" s="60" t="inlineStr">
        <is>
          <t>NA</t>
        </is>
      </c>
      <c r="EG32" s="59" t="inlineStr">
        <is>
          <t>FINI (from 22/11/2023); 2025-08-04 pricing reform (Mechanism A/B; six-month cornerstone lock-up retained)</t>
        </is>
      </c>
      <c r="EH32" t="inlineStr">
        <is>
          <t>陕西麦科奥特医药科技股份有限公司</t>
        </is>
      </c>
      <c r="EI32" s="174" t="inlineStr">
        <is>
          <t>Active</t>
        </is>
      </c>
      <c r="EJ32" s="175" t="n">
        <v>34.3</v>
      </c>
      <c r="EK32" s="176" t="n">
        <v>-0.070461</v>
      </c>
      <c r="EL32" s="176" t="n">
        <v>0.884615</v>
      </c>
      <c r="EM32" s="176" t="n">
        <v>0.063235</v>
      </c>
      <c r="EN32" s="176" t="n">
        <v>0.042244</v>
      </c>
      <c r="EO32" s="179" t="n">
        <v>0.8743</v>
      </c>
      <c r="EP32" s="179" t="n">
        <v>0.8919</v>
      </c>
      <c r="EQ32" s="178" t="n">
        <v>45809080</v>
      </c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inlineStr">
        <is>
          <t>18A (Biotech / B-tag)</t>
        </is>
      </c>
      <c r="FF32" s="181" t="inlineStr">
        <is>
          <t>CCB International Capital Limited</t>
        </is>
      </c>
      <c r="FG32" s="185" t="n"/>
      <c r="FH32" s="183" t="n"/>
      <c r="FI32" s="178" t="n"/>
      <c r="FJ32" s="176" t="n"/>
      <c r="FK32" s="185" t="inlineStr">
        <is>
          <t>2026-07-18</t>
        </is>
      </c>
      <c r="FL32" s="178" t="n">
        <v>0</v>
      </c>
      <c r="FM32" s="176" t="n">
        <v>0</v>
      </c>
      <c r="FN32" s="176" t="n"/>
      <c r="FO32" s="176" t="n"/>
      <c r="FP32" s="176" t="n"/>
      <c r="FQ32" s="176" t="n">
        <v>-0.009756000000000001</v>
      </c>
      <c r="FR32" s="179" t="n">
        <v>1.0132</v>
      </c>
      <c r="FS32" s="176" t="n">
        <v>-0.070461</v>
      </c>
      <c r="FT32" s="179" t="n">
        <v>0.8743</v>
      </c>
      <c r="FU32" s="176" t="n">
        <v>-0.40542</v>
      </c>
      <c r="FV32" s="179" t="n"/>
      <c r="FW32" s="179" t="n"/>
      <c r="FX32" s="178" t="n">
        <v>23514884.85</v>
      </c>
      <c r="FY32" s="186" t="n"/>
      <c r="FZ32" s="183" t="n"/>
      <c r="GA32" s="176" t="n"/>
      <c r="GB32" s="176" t="n"/>
      <c r="GC32" s="185" t="inlineStr">
        <is>
          <t>2026-12-25</t>
        </is>
      </c>
      <c r="GD32" s="185" t="inlineStr">
        <is>
          <t>2027-06-25</t>
        </is>
      </c>
      <c r="GE32" s="176" t="n"/>
      <c r="GF32" s="176" t="n"/>
      <c r="GG32" s="179" t="n"/>
      <c r="GH32" s="181" t="inlineStr">
        <is>
          <t>CICC</t>
        </is>
      </c>
      <c r="GI32" s="183" t="n">
        <v>2</v>
      </c>
      <c r="GJ32" s="183" t="n">
        <v>0</v>
      </c>
      <c r="GK32" s="176" t="n">
        <v>0.025</v>
      </c>
      <c r="GL32" s="176" t="n">
        <v>0.01</v>
      </c>
      <c r="GM32" s="176" t="n">
        <v>0.035</v>
      </c>
      <c r="GN32" s="183" t="n"/>
      <c r="GO32" s="183" t="n">
        <v>0</v>
      </c>
      <c r="GP32" s="183" t="n">
        <v>0</v>
      </c>
      <c r="GQ32" s="183" t="n">
        <v>6</v>
      </c>
      <c r="GR32" s="183" t="n">
        <v>0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72</v>
      </c>
      <c r="B33" s="47" t="inlineStr">
        <is>
          <t>6106.HK</t>
        </is>
      </c>
      <c r="C33" s="44" t="inlineStr">
        <is>
          <t>Shanghai Seer Intelligent Technology Co., Ltd. - H Shares</t>
        </is>
      </c>
      <c r="D33" s="189" t="n">
        <v>46188</v>
      </c>
      <c r="E33" s="189" t="n">
        <v>46197</v>
      </c>
      <c r="F33" s="43" t="inlineStr">
        <is>
          <t>China International Capital Corporation Hong Kong Securities Limited</t>
        </is>
      </c>
      <c r="G33" s="43" t="inlineStr">
        <is>
          <t>Ernst &amp; Young</t>
        </is>
      </c>
      <c r="H33" s="43" t="n"/>
      <c r="I33" s="131" t="n">
        <v>213309200</v>
      </c>
      <c r="J33" s="148" t="n">
        <v>853216480</v>
      </c>
      <c r="K33" s="133" t="n">
        <v>101.6</v>
      </c>
      <c r="L33" t="n">
        <v>110497300</v>
      </c>
      <c r="M33" s="67" t="n">
        <v>10497300</v>
      </c>
      <c r="N33" t="n">
        <v>100000000</v>
      </c>
      <c r="O33" t="n">
        <v>100000000</v>
      </c>
      <c r="P33" t="n">
        <v>0</v>
      </c>
      <c r="Q33" t="n">
        <v>10497300</v>
      </c>
      <c r="R33" s="67" t="n">
        <v>9972400</v>
      </c>
      <c r="S33" s="67" t="n">
        <v>524900</v>
      </c>
      <c r="T33" s="147" t="n">
        <v>101.6</v>
      </c>
      <c r="U33" s="147" t="n">
        <v>101.6</v>
      </c>
      <c r="V33" s="169" t="n">
        <v>0</v>
      </c>
      <c r="W33" s="169" t="n">
        <v>0</v>
      </c>
      <c r="X33" s="170" t="inlineStr">
        <is>
          <t>Fixed price</t>
        </is>
      </c>
      <c r="Y33" s="26" t="inlineStr">
        <is>
          <t>RMB</t>
        </is>
      </c>
      <c r="Z33" s="137" t="n">
        <v>282084000</v>
      </c>
      <c r="AA33" s="137" t="n">
        <v>343059000</v>
      </c>
      <c r="AB33" s="137" t="n">
        <v>509501000</v>
      </c>
      <c r="AC33" s="137" t="n">
        <v>108146000</v>
      </c>
      <c r="AD33" s="137" t="n">
        <v>97756000</v>
      </c>
      <c r="AE33" s="137" t="n">
        <v>148988000</v>
      </c>
      <c r="AF33" s="137" t="n">
        <v>173938000</v>
      </c>
      <c r="AG33" s="137" t="n">
        <v>245303000</v>
      </c>
      <c r="AH33" s="137" t="n">
        <v>360513000</v>
      </c>
      <c r="AI33" s="137" t="n">
        <v>249023000</v>
      </c>
      <c r="AJ33" s="137" t="n">
        <v>339323000</v>
      </c>
      <c r="AK33" s="137" t="n">
        <v>441877000</v>
      </c>
      <c r="AL33" s="137" t="n">
        <v>-46984000</v>
      </c>
      <c r="AM33" s="137" t="n">
        <v>-41157000</v>
      </c>
      <c r="AN33" s="137" t="n">
        <v>-46797000</v>
      </c>
      <c r="AO33" s="137" t="n">
        <v>-47704000</v>
      </c>
      <c r="AP33" s="137" t="n">
        <v>-42308000</v>
      </c>
      <c r="AQ33" s="137" t="n">
        <v>-47066000</v>
      </c>
      <c r="AR33" s="142" t="n">
        <v>0.025</v>
      </c>
      <c r="AS33" s="142" t="n">
        <v>0.025</v>
      </c>
      <c r="AT33" s="84" t="n">
        <v>0.15</v>
      </c>
      <c r="AU33" s="51" t="inlineStr">
        <is>
          <t>Intelligent robotics — robotic controllers, robots, software and accessories</t>
        </is>
      </c>
      <c r="AV33" s="51" t="inlineStr">
        <is>
          <t>Main Board of the Stock Exchange under Chapter 18C of the Listing Rules (Specialist Technology Company)</t>
        </is>
      </c>
      <c r="AW33" s="136" t="n">
        <v>46022</v>
      </c>
      <c r="AX33" s="137" t="n">
        <v>-27798000</v>
      </c>
      <c r="AY33" s="117" t="n">
        <v>153940000</v>
      </c>
      <c r="AZ33" s="117" t="n">
        <v>79168000</v>
      </c>
      <c r="BA33" s="117" t="n">
        <v>0</v>
      </c>
      <c r="BB33" s="138" t="n">
        <v>0.154</v>
      </c>
      <c r="BC33" s="139" t="n">
        <v>1</v>
      </c>
      <c r="BD33" s="80" t="n">
        <v>1</v>
      </c>
      <c r="BE33" s="161" t="n">
        <v>1</v>
      </c>
      <c r="BF33" s="161" t="n">
        <v>1</v>
      </c>
      <c r="BG33" s="161" t="n">
        <v>1</v>
      </c>
      <c r="BH33" s="161" t="n">
        <v>1</v>
      </c>
      <c r="BI33" s="161" t="n">
        <v>1</v>
      </c>
      <c r="BJ33" s="162" t="inlineStr">
        <is>
          <t>Zhuhai Yinshan Modern Logistics Industry Equity Investment Fund (Limited Partnership); Ningbo Meishan Bonded Port Area Huilidaoqin Investment Management Center (Limited Partnership); Ecovacs (Hainan) Investment Co., Ltd.; Tianjin Dehui Investment Management Partnership (Limited Partnership); Hangzhou Yuanqiao Zhixing Venture Capital Partnership Enterprise (Limited Partnership); Nanjing SAIF Equity Investment Fund (L.P.); Hangzhou Fuyang SAIF Yi’an Equity Investment Partnership (Limited Partnership); Hangzhou Xiaoshan Haolan Equity Investment Fund Partnership Enterprise (Limited Partnership); Nanjing SAIF Yulin Equity Investment Partnership Enterprise (Limited Partnership); Jiaxing Tengyuan Investment Partnership (Limited Partnership); Wuxi Liangxi Science and Technology City Hongtai Xinzhi Investment Partnership Enterprise (Limited Partnership)</t>
        </is>
      </c>
      <c r="BK33" s="163" t="n">
        <v>0.4264</v>
      </c>
      <c r="BL33" s="161" t="n">
        <v>1</v>
      </c>
      <c r="BM33" s="164" t="inlineStr">
        <is>
          <t>Series A</t>
        </is>
      </c>
      <c r="BN33" s="165" t="n">
        <v>5.74</v>
      </c>
      <c r="BO33" s="51" t="inlineStr">
        <is>
          <t>Individual (Mr. Zhao)</t>
        </is>
      </c>
      <c r="BP33" s="135" t="n">
        <v>0.4786</v>
      </c>
      <c r="BQ33" s="135" t="n">
        <v>0.4786</v>
      </c>
      <c r="BR33" s="137" t="n">
        <v>141318000</v>
      </c>
      <c r="BS33" s="51" t="inlineStr">
        <is>
          <t>Commercial Company (Chapter 18C): products commercialized and revenue-generating</t>
        </is>
      </c>
      <c r="BT33" s="142" t="n">
        <v>0</v>
      </c>
      <c r="BU33" s="60" t="inlineStr">
        <is>
          <t>Main Board</t>
        </is>
      </c>
      <c r="BV33" s="89" t="inlineStr">
        <is>
          <t>Ordinary Shares</t>
        </is>
      </c>
      <c r="BW33" s="61" t="n">
        <v>0</v>
      </c>
      <c r="BX33" s="77" t="n">
        <v>0</v>
      </c>
      <c r="BY33" s="77" t="n">
        <v>0</v>
      </c>
      <c r="BZ33" s="78" t="n">
        <v>1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43943</v>
      </c>
      <c r="CD33" s="171" t="n">
        <v>6.17</v>
      </c>
      <c r="CE33" s="76" t="inlineStr">
        <is>
          <t>NA</t>
        </is>
      </c>
      <c r="CF33" s="89" t="inlineStr">
        <is>
          <t>40/F, Dah Sing Financial Centre, 248 Queen’s Road East, Wanchai, Hong Kong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441877000</v>
      </c>
      <c r="CO33" s="64" t="n">
        <v>-46797000</v>
      </c>
      <c r="CP33" s="64" t="n">
        <v>-47066000</v>
      </c>
      <c r="CQ33" s="141" t="n">
        <v>46188</v>
      </c>
      <c r="CR33" s="141" t="n">
        <v>46191</v>
      </c>
      <c r="CS33" s="63" t="n">
        <v>110497300</v>
      </c>
      <c r="CT33" s="64" t="n">
        <v>209295000</v>
      </c>
      <c r="CU33" s="64" t="n">
        <v>4800000</v>
      </c>
      <c r="CV33" s="59" t="inlineStr">
        <is>
          <t>Unqualified — true and fair view</t>
        </is>
      </c>
      <c r="CW33" s="64" t="n">
        <v>71200000</v>
      </c>
      <c r="CX33" s="51" t="inlineStr">
        <is>
          <t>HHLRA (HHLR Advisors, Ltd.); Yuanbao Family Office; 3W Fund; GF Fund (GF Fund Management Co., Ltd. and GF International Investment Management Limited); Ruihua Investment; Zhonghe Capital (Splendid Zhonghe Investment); Yishao Capital; Nova Kerry Inc.</t>
        </is>
      </c>
      <c r="CY33" s="142" t="n">
        <v>0.4334</v>
      </c>
      <c r="CZ33" s="136" t="n">
        <v>46380</v>
      </c>
      <c r="DA33" s="143" t="n">
        <v>5934.56</v>
      </c>
      <c r="DB33" s="63" t="n">
        <v>222966</v>
      </c>
      <c r="DC33" s="63" t="n">
        <v>3115050544</v>
      </c>
      <c r="DD33" s="59" t="inlineStr">
        <is>
          <t>Subscription level 5,934.56 times</t>
        </is>
      </c>
      <c r="DE33" s="141" t="inlineStr">
        <is>
          <t>NA</t>
        </is>
      </c>
      <c r="DF33" s="141" t="n">
        <v>46196</v>
      </c>
      <c r="DG33" s="63" t="n">
        <v>10497300</v>
      </c>
      <c r="DH33" s="63" t="n">
        <v>2099500</v>
      </c>
      <c r="DI33" s="63" t="n">
        <v>8397800</v>
      </c>
      <c r="DJ33" s="63" t="n">
        <v>0</v>
      </c>
      <c r="DK33" s="169" t="n">
        <v>0</v>
      </c>
      <c r="DL33" s="59" t="inlineStr">
        <is>
          <t>1,574,600 Offer Shares reallocated from the International Offering to the Hong Kong Public Offering (claw-back) so that the Hong Kong Public Offering totals 2,099,500 Offer Shares (20% of the Offer Shares initially available under the Global Offering)</t>
        </is>
      </c>
      <c r="DM33" s="144" t="n">
        <v>995400000</v>
      </c>
      <c r="DN33" s="142" t="n">
        <v>0.3924</v>
      </c>
      <c r="DO33" s="51" t="n">
        <v>110497300</v>
      </c>
      <c r="DP33" s="142" t="inlineStr">
        <is>
          <t>NaN</t>
        </is>
      </c>
      <c r="DQ33" s="59" t="inlineStr">
        <is>
          <t>NA</t>
        </is>
      </c>
      <c r="DR33" s="63" t="inlineStr">
        <is>
          <t>NaN</t>
        </is>
      </c>
      <c r="DS33" s="142" t="n">
        <v>-0.06331943</v>
      </c>
      <c r="DT33" s="80" t="n">
        <v>36</v>
      </c>
      <c r="DU33" s="142" t="n">
        <v>0.027</v>
      </c>
      <c r="DV33" s="144" t="n">
        <v>53886000000</v>
      </c>
      <c r="DW33" s="145" t="n">
        <v>106</v>
      </c>
      <c r="DX33" s="169" t="n">
        <v>0.043307</v>
      </c>
      <c r="DY33" s="172" t="n">
        <v>46188120</v>
      </c>
      <c r="DZ33" s="146" t="n">
        <v>101.6</v>
      </c>
      <c r="EA33" s="146" t="n">
        <v>140.5</v>
      </c>
      <c r="EB33" s="146" t="n">
        <v>101.6</v>
      </c>
      <c r="EC33" s="63" t="n">
        <v>6299740</v>
      </c>
      <c r="ED33" s="169" t="n">
        <v>0.6001300000000001</v>
      </c>
      <c r="EE33" s="64" t="n">
        <v>673166100</v>
      </c>
      <c r="EF33" s="60" t="inlineStr">
        <is>
          <t>Mechanism A</t>
        </is>
      </c>
      <c r="EG33" s="59" t="inlineStr">
        <is>
          <t>FINI (from 22/11/2023); 2025-08-04 pricing reform (Mechanism A/B; six-month cornerstone lock-up retained); this IPO: Mechanism A</t>
        </is>
      </c>
      <c r="EH33" t="inlineStr">
        <is>
          <t>上海仙工智能科技股份有限公司</t>
        </is>
      </c>
      <c r="EI33" s="174" t="inlineStr">
        <is>
          <t>Active</t>
        </is>
      </c>
      <c r="EJ33" s="175" t="n">
        <v>59</v>
      </c>
      <c r="EK33" s="176" t="n">
        <v>-0.443396</v>
      </c>
      <c r="EL33" s="176" t="n">
        <v>-0.419291</v>
      </c>
      <c r="EM33" s="176" t="n">
        <v>0.063235</v>
      </c>
      <c r="EN33" s="176" t="n">
        <v>0.042244</v>
      </c>
      <c r="EO33" s="179" t="n">
        <v>0.5235</v>
      </c>
      <c r="EP33" s="179" t="n">
        <v>0.534</v>
      </c>
      <c r="EQ33" s="178" t="n">
        <v>65131180</v>
      </c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inlineStr">
        <is>
          <t>18C (Specialist Tech)</t>
        </is>
      </c>
      <c r="FF33" s="181" t="inlineStr">
        <is>
          <t>China International Capital Corporation Hong Kong Securities Limited</t>
        </is>
      </c>
      <c r="FG33" s="185" t="n"/>
      <c r="FH33" s="183" t="n"/>
      <c r="FI33" s="178" t="n"/>
      <c r="FJ33" s="176" t="n">
        <v>0.2</v>
      </c>
      <c r="FK33" s="185" t="inlineStr">
        <is>
          <t>2026-06-24</t>
        </is>
      </c>
      <c r="FL33" s="178" t="n">
        <v>0</v>
      </c>
      <c r="FM33" s="176" t="n">
        <v>0</v>
      </c>
      <c r="FN33" s="176" t="n"/>
      <c r="FO33" s="176" t="n"/>
      <c r="FP33" s="176" t="n"/>
      <c r="FQ33" s="176" t="n">
        <v>-0.041509</v>
      </c>
      <c r="FR33" s="179" t="n">
        <v>0.9807</v>
      </c>
      <c r="FS33" s="176" t="n">
        <v>-0.443396</v>
      </c>
      <c r="FT33" s="179" t="n">
        <v>0.5235</v>
      </c>
      <c r="FU33" s="176" t="n">
        <v>-0.367925</v>
      </c>
      <c r="FV33" s="179" t="n"/>
      <c r="FW33" s="179" t="n"/>
      <c r="FX33" s="178" t="n">
        <v>35743862.12</v>
      </c>
      <c r="FY33" s="186" t="n"/>
      <c r="FZ33" s="183" t="n"/>
      <c r="GA33" s="176" t="n"/>
      <c r="GB33" s="176" t="n"/>
      <c r="GC33" s="185" t="n"/>
      <c r="GD33" s="185" t="inlineStr">
        <is>
          <t>2027-06-25</t>
        </is>
      </c>
      <c r="GE33" s="176" t="n"/>
      <c r="GF33" s="176" t="n"/>
      <c r="GG33" s="179" t="n"/>
      <c r="GH33" s="181" t="inlineStr">
        <is>
          <t>CICC</t>
        </is>
      </c>
      <c r="GI33" s="183" t="n">
        <v>2</v>
      </c>
      <c r="GJ33" s="183" t="n">
        <v>0</v>
      </c>
      <c r="GK33" s="176" t="n">
        <v>0.025</v>
      </c>
      <c r="GL33" s="176" t="n">
        <v>0.01</v>
      </c>
      <c r="GM33" s="176" t="n">
        <v>0.035</v>
      </c>
      <c r="GN33" s="183" t="n"/>
      <c r="GO33" s="183" t="n">
        <v>0</v>
      </c>
      <c r="GP33" s="183" t="n">
        <v>0</v>
      </c>
      <c r="GQ33" s="183" t="n">
        <v>6</v>
      </c>
      <c r="GR33" s="183" t="n">
        <v>0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73</v>
      </c>
      <c r="B34" s="47" t="inlineStr">
        <is>
          <t>1688.HK</t>
        </is>
      </c>
      <c r="C34" s="44" t="inlineStr">
        <is>
          <t>LINGYI iTECH (GUANGDONG) COMPANY - H Shares</t>
        </is>
      </c>
      <c r="D34" s="189" t="n">
        <v>46190</v>
      </c>
      <c r="E34" s="189" t="n">
        <v>46199</v>
      </c>
      <c r="F34" s="43" t="inlineStr">
        <is>
          <t>Guotai Junan Capital Limited</t>
        </is>
      </c>
      <c r="G34" s="43" t="inlineStr">
        <is>
          <t>Rongcheng (Hong Kong) CPA Limited</t>
        </is>
      </c>
      <c r="H34" s="43" t="n"/>
      <c r="I34" s="131" t="n">
        <v>826425838</v>
      </c>
      <c r="J34" s="148" t="n">
        <v>7437819101</v>
      </c>
      <c r="K34" s="133" t="n">
        <v>10.18</v>
      </c>
      <c r="L34" t="n">
        <v>8120010560</v>
      </c>
      <c r="M34" s="67" t="n">
        <v>811811880</v>
      </c>
      <c r="N34" t="n">
        <v>7308198680</v>
      </c>
      <c r="O34" t="n">
        <v>7308198680</v>
      </c>
      <c r="P34" t="n">
        <v>0</v>
      </c>
      <c r="Q34" t="n">
        <v>811811880</v>
      </c>
      <c r="R34" s="67" t="n">
        <v>730630560</v>
      </c>
      <c r="S34" s="67" t="n">
        <v>81181320</v>
      </c>
      <c r="T34" s="147" t="n">
        <v>10.18</v>
      </c>
      <c r="U34" s="147" t="inlineStr">
        <is>
          <t>NaN</t>
        </is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37367171000</v>
      </c>
      <c r="AA34" s="137" t="n">
        <v>45193486000</v>
      </c>
      <c r="AB34" s="137" t="n">
        <v>57900450000</v>
      </c>
      <c r="AC34" s="137" t="n">
        <v>18280693000</v>
      </c>
      <c r="AD34" s="137" t="n">
        <v>19848981000</v>
      </c>
      <c r="AE34" s="137" t="n">
        <v>24357948000</v>
      </c>
      <c r="AF34" s="137" t="n">
        <v>19086478000</v>
      </c>
      <c r="AG34" s="137" t="n">
        <v>25344505000</v>
      </c>
      <c r="AH34" s="137" t="n">
        <v>33542502000</v>
      </c>
      <c r="AI34" s="137" t="n">
        <v>34154017000</v>
      </c>
      <c r="AJ34" s="137" t="n">
        <v>44259533000</v>
      </c>
      <c r="AK34" s="137" t="n">
        <v>51428944000</v>
      </c>
      <c r="AL34" s="137" t="n">
        <v>2488042000</v>
      </c>
      <c r="AM34" s="137" t="n">
        <v>2196375000</v>
      </c>
      <c r="AN34" s="137" t="n">
        <v>2733377000</v>
      </c>
      <c r="AO34" s="137" t="n">
        <v>2013899000</v>
      </c>
      <c r="AP34" s="137" t="n">
        <v>1760733000</v>
      </c>
      <c r="AQ34" s="137" t="n">
        <v>2326825000</v>
      </c>
      <c r="AR34" s="142" t="inlineStr">
        <is>
          <t>NaN</t>
        </is>
      </c>
      <c r="AS34" s="142" t="inlineStr">
        <is>
          <t>NaN</t>
        </is>
      </c>
      <c r="AT34" s="84" t="n">
        <v>0.15</v>
      </c>
      <c r="AU34" s="51" t="inlineStr">
        <is>
          <t>High-precision intelligent manufacturing platform for electronic devices</t>
        </is>
      </c>
      <c r="AV34" s="51" t="inlineStr">
        <is>
          <t>Main Board - Chapter 19A of the Listing Rules (PRC issuer with other listed shares)</t>
        </is>
      </c>
      <c r="AW34" s="136" t="n">
        <v>46022</v>
      </c>
      <c r="AX34" s="137" t="n">
        <v>4432802000</v>
      </c>
      <c r="AY34" s="117" t="n">
        <v>5447511000</v>
      </c>
      <c r="AZ34" s="117" t="n">
        <v>2381587000</v>
      </c>
      <c r="BA34" s="117" t="n">
        <v>0</v>
      </c>
      <c r="BB34" s="138" t="n">
        <v>0.575</v>
      </c>
      <c r="BC34" s="139" t="n">
        <v>1</v>
      </c>
      <c r="BD34" s="80" t="inlineStr">
        <is>
          <t>NaN</t>
        </is>
      </c>
      <c r="BE34" s="161" t="inlineStr">
        <is>
          <t>NaN</t>
        </is>
      </c>
      <c r="BF34" s="161" t="inlineStr">
        <is>
          <t>NaN</t>
        </is>
      </c>
      <c r="BG34" s="161" t="inlineStr">
        <is>
          <t>NaN</t>
        </is>
      </c>
      <c r="BH34" s="161" t="inlineStr">
        <is>
          <t>NaN</t>
        </is>
      </c>
      <c r="BI34" s="161" t="inlineStr">
        <is>
          <t>NaN</t>
        </is>
      </c>
      <c r="BJ34" s="162" t="inlineStr">
        <is>
          <t>NA</t>
        </is>
      </c>
      <c r="BK34" s="163" t="inlineStr">
        <is>
          <t>NaN</t>
        </is>
      </c>
      <c r="BL34" s="161" t="inlineStr">
        <is>
          <t>NaN</t>
        </is>
      </c>
      <c r="BM34" s="164" t="inlineStr">
        <is>
          <t>NA</t>
        </is>
      </c>
      <c r="BN34" s="165" t="inlineStr">
        <is>
          <t>NaN</t>
        </is>
      </c>
      <c r="BO34" s="51" t="inlineStr">
        <is>
          <t>Individual (natural person) - Ms. Zeng Fangqin</t>
        </is>
      </c>
      <c r="BP34" s="135" t="n">
        <v>0.5232</v>
      </c>
      <c r="BQ34" s="135" t="n">
        <v>0.5232</v>
      </c>
      <c r="BR34" s="137" t="n">
        <v>14844113000</v>
      </c>
      <c r="BS34" s="51" t="inlineStr">
        <is>
          <t>Commercialized - mass production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1</v>
      </c>
      <c r="BX34" s="77" t="n">
        <v>0</v>
      </c>
      <c r="BY34" s="77" t="n">
        <v>0</v>
      </c>
      <c r="BZ34" s="78" t="n">
        <v>0</v>
      </c>
      <c r="CA34" s="60" t="inlineStr">
        <is>
          <t>101025</t>
        </is>
      </c>
      <c r="CB34" s="76" t="inlineStr">
        <is>
          <t>HSICS (Hang Seng Industry Classification System) 2026</t>
        </is>
      </c>
      <c r="CC34" s="140" t="n">
        <v>39695</v>
      </c>
      <c r="CD34" s="171" t="n">
        <v>17.81</v>
      </c>
      <c r="CE34" s="76" t="inlineStr">
        <is>
          <t>NA</t>
        </is>
      </c>
      <c r="CF34" s="89" t="inlineStr">
        <is>
          <t>No. 8 Longwan Road, Pengjiang District, Jiangmen City, Guangdong Province, PRC</t>
        </is>
      </c>
      <c r="CG34" s="91" t="n">
        <v>1000</v>
      </c>
      <c r="CH34" s="60" t="inlineStr">
        <is>
          <t>IFRS Accounting Standards</t>
        </is>
      </c>
      <c r="CI34" s="141" t="n">
        <v>44927</v>
      </c>
      <c r="CJ34" s="141" t="n">
        <v>45291</v>
      </c>
      <c r="CK34" s="141" t="n">
        <v>45292</v>
      </c>
      <c r="CL34" s="141" t="n">
        <v>45657</v>
      </c>
      <c r="CM34" s="141" t="n">
        <v>45658</v>
      </c>
      <c r="CN34" s="64" t="n">
        <v>51428944000</v>
      </c>
      <c r="CO34" s="64" t="n">
        <v>2733377000</v>
      </c>
      <c r="CP34" s="64" t="n">
        <v>2326825000</v>
      </c>
      <c r="CQ34" s="141" t="n">
        <v>46190</v>
      </c>
      <c r="CR34" s="141" t="n">
        <v>46196</v>
      </c>
      <c r="CS34" s="63" t="n">
        <v>811811880</v>
      </c>
      <c r="CT34" s="64" t="n">
        <v>7818407000</v>
      </c>
      <c r="CU34" s="64" t="n">
        <v>4833121000</v>
      </c>
      <c r="CV34" s="59" t="inlineStr">
        <is>
          <t>Unqualified</t>
        </is>
      </c>
      <c r="CW34" s="64" t="n">
        <v>112600000</v>
      </c>
      <c r="CX34" s="51" t="inlineStr">
        <is>
          <t>GF Fund; Kaide Global Investment; Qube; Ti-Capital Funds; Value Partners; Hongxing International; MSIP; HK Greenwoods; 3W Fund; Deliante; Sunny Optical Capital; Honor; Jain Global; Seven Grand; Taikang Life; Da Cheng International; Everbright Wealth Management; GRANITE ASIA; Verition</t>
        </is>
      </c>
      <c r="CY34" s="142" t="n">
        <v>0.385855</v>
      </c>
      <c r="CZ34" s="136" t="n">
        <v>46382</v>
      </c>
      <c r="DA34" s="143" t="n">
        <v>96.16</v>
      </c>
      <c r="DB34" s="63" t="n">
        <v>162822</v>
      </c>
      <c r="DC34" s="63" t="n">
        <v>7806295200</v>
      </c>
      <c r="DD34" s="59" t="inlineStr">
        <is>
          <t>Subscription level 96.16 times</t>
        </is>
      </c>
      <c r="DE34" s="141" t="inlineStr">
        <is>
          <t>NA</t>
        </is>
      </c>
      <c r="DF34" s="141" t="n">
        <v>46198</v>
      </c>
      <c r="DG34" s="63" t="n">
        <v>811811880</v>
      </c>
      <c r="DH34" s="63" t="n">
        <v>81181320</v>
      </c>
      <c r="DI34" s="63" t="n">
        <v>730630560</v>
      </c>
      <c r="DJ34" s="63" t="n">
        <v>0</v>
      </c>
      <c r="DK34" s="169" t="n">
        <v>0</v>
      </c>
      <c r="DL34" s="59" t="inlineStr">
        <is>
          <t>Claw-back triggered: N/A; no Offer Shares reallocated from the International Offering to the Hong Kong Public Offering (final Hong Kong Public Offering 81,181,320 equals the number initially available)</t>
        </is>
      </c>
      <c r="DM34" s="144" t="n">
        <v>8151700000</v>
      </c>
      <c r="DN34" s="142" t="n">
        <v>0.1004</v>
      </c>
      <c r="DO34" s="51" t="n">
        <v>8085979360</v>
      </c>
      <c r="DP34" s="142" t="n">
        <v>0.0617</v>
      </c>
      <c r="DQ34" s="59" t="inlineStr">
        <is>
          <t>Free float denominator = total issued shares upon listing (col_CZ); numerator = offer shares minus cornerstone allocation</t>
        </is>
      </c>
      <c r="DR34" s="63" t="n">
        <v>8085979360</v>
      </c>
      <c r="DS34" s="142" t="n">
        <v>-0.04600673</v>
      </c>
      <c r="DT34" s="80" t="n">
        <v>37</v>
      </c>
      <c r="DU34" s="142" t="n">
        <v>0.0285143</v>
      </c>
      <c r="DV34" s="144" t="n">
        <v>53886000000</v>
      </c>
      <c r="DW34" s="145" t="n">
        <v>9.710000000000001</v>
      </c>
      <c r="DX34" s="169" t="n">
        <v>-0.046169</v>
      </c>
      <c r="DY34" s="172" t="n">
        <v>-381551583.6</v>
      </c>
      <c r="DZ34" s="146" t="n">
        <v>10.8</v>
      </c>
      <c r="EA34" s="146" t="n">
        <v>11.8</v>
      </c>
      <c r="EB34" s="146" t="n">
        <v>9.44</v>
      </c>
      <c r="EC34" s="63" t="n">
        <v>192052421</v>
      </c>
      <c r="ED34" s="169" t="n">
        <v>0.236573</v>
      </c>
      <c r="EE34" s="64" t="n">
        <v>2083431320</v>
      </c>
      <c r="EF34" s="60" t="inlineStr">
        <is>
          <t>Mechanism B</t>
        </is>
      </c>
      <c r="EG34" s="59" t="inlineStr">
        <is>
          <t>FINI (from 22/11/2023); 2025-08-04 pricing reform (Mechanism A/B; six-month cornerstone lock-up retained); this IPO: Mechanism B</t>
        </is>
      </c>
      <c r="EH34" t="inlineStr">
        <is>
          <t>广东领益智造股份有限公司</t>
        </is>
      </c>
      <c r="EI34" s="174" t="inlineStr">
        <is>
          <t>Active</t>
        </is>
      </c>
      <c r="EJ34" s="175" t="n">
        <v>6.637</v>
      </c>
      <c r="EK34" s="176" t="n">
        <v>-0.314855</v>
      </c>
      <c r="EL34" s="176" t="n">
        <v>-0.346487</v>
      </c>
      <c r="EM34" s="176" t="n">
        <v>0.101067</v>
      </c>
      <c r="EN34" s="176" t="n">
        <v>0.087866</v>
      </c>
      <c r="EO34" s="179" t="n">
        <v>0.6223</v>
      </c>
      <c r="EP34" s="179" t="n">
        <v>0.6298</v>
      </c>
      <c r="EQ34" s="178" t="n">
        <v>429762330.5</v>
      </c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inlineStr">
        <is>
          <t>Standard</t>
        </is>
      </c>
      <c r="FF34" s="181" t="n"/>
      <c r="FG34" s="185" t="n"/>
      <c r="FH34" s="183" t="n"/>
      <c r="FI34" s="178" t="n"/>
      <c r="FJ34" s="176" t="n"/>
      <c r="FK34" s="185" t="inlineStr">
        <is>
          <t>2026-06-26</t>
        </is>
      </c>
      <c r="FL34" s="178" t="n"/>
      <c r="FM34" s="176" t="n"/>
      <c r="FN34" s="176" t="n"/>
      <c r="FO34" s="176" t="n"/>
      <c r="FP34" s="176" t="n"/>
      <c r="FQ34" s="176" t="n">
        <v>0.08465</v>
      </c>
      <c r="FR34" s="179" t="n">
        <v>1.0531</v>
      </c>
      <c r="FS34" s="176" t="n">
        <v>-0.314855</v>
      </c>
      <c r="FT34" s="179" t="n">
        <v>0.6223</v>
      </c>
      <c r="FU34" s="176" t="n">
        <v>-0.43068</v>
      </c>
      <c r="FV34" s="179" t="n"/>
      <c r="FW34" s="179" t="n"/>
      <c r="FX34" s="178" t="n">
        <v>185719735.61</v>
      </c>
      <c r="FY34" s="186" t="n"/>
      <c r="FZ34" s="183" t="n"/>
      <c r="GA34" s="176" t="n"/>
      <c r="GB34" s="176" t="n"/>
      <c r="GC34" s="185" t="inlineStr">
        <is>
          <t>2026-12-27</t>
        </is>
      </c>
      <c r="GD34" s="185" t="inlineStr">
        <is>
          <t>2027-06-27</t>
        </is>
      </c>
      <c r="GE34" s="176" t="n"/>
      <c r="GF34" s="176" t="n"/>
      <c r="GG34" s="179" t="n"/>
      <c r="GH34" s="181" t="inlineStr">
        <is>
          <t>CICC</t>
        </is>
      </c>
      <c r="GI34" s="183" t="n">
        <v>2</v>
      </c>
      <c r="GJ34" s="183" t="n">
        <v>0</v>
      </c>
      <c r="GK34" s="176" t="n">
        <v>0.025</v>
      </c>
      <c r="GL34" s="176" t="n">
        <v>0.01</v>
      </c>
      <c r="GM34" s="176" t="n">
        <v>0.035</v>
      </c>
      <c r="GN34" s="183" t="n"/>
      <c r="GO34" s="183" t="n">
        <v>0</v>
      </c>
      <c r="GP34" s="183" t="n">
        <v>0</v>
      </c>
      <c r="GQ34" s="183" t="n">
        <v>6</v>
      </c>
      <c r="GR34" s="183" t="n">
        <v>0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74</v>
      </c>
      <c r="B35" s="47" t="inlineStr">
        <is>
          <t>1956.HK</t>
        </is>
      </c>
      <c r="C35" s="44" t="inlineStr">
        <is>
          <t>Beijing Zhongke WengeAI Science and Technology Co., Ltd. - H Shares</t>
        </is>
      </c>
      <c r="D35" s="189" t="n">
        <v>46190</v>
      </c>
      <c r="E35" s="189" t="n">
        <v>46199</v>
      </c>
      <c r="F35" s="43" t="inlineStr">
        <is>
          <t>China International Capital Corporation Hong Kong Securities Limited</t>
        </is>
      </c>
      <c r="G35" s="43" t="inlineStr">
        <is>
          <t>Ernst &amp; Young</t>
        </is>
      </c>
      <c r="H35" s="43" t="n"/>
      <c r="I35" s="131" t="n">
        <v>180096900</v>
      </c>
      <c r="J35" s="148" t="n">
        <v>801397820</v>
      </c>
      <c r="K35" s="133" t="n">
        <v>60.7</v>
      </c>
      <c r="L35" t="n">
        <v>173101207</v>
      </c>
      <c r="M35" s="67" t="n">
        <v>14834600</v>
      </c>
      <c r="N35" t="n">
        <v>158266607</v>
      </c>
      <c r="O35" t="n">
        <v>158266607</v>
      </c>
      <c r="P35" t="n">
        <v>0</v>
      </c>
      <c r="Q35" t="n">
        <v>14834600</v>
      </c>
      <c r="R35" s="67" t="n">
        <v>14092800</v>
      </c>
      <c r="S35" s="67" t="n">
        <v>741800</v>
      </c>
      <c r="T35" s="147" t="n">
        <v>60.7</v>
      </c>
      <c r="U35" s="147" t="n">
        <v>60.7</v>
      </c>
      <c r="V35" s="169" t="n">
        <v>0</v>
      </c>
      <c r="W35" s="169" t="n">
        <v>0</v>
      </c>
      <c r="X35" s="170" t="inlineStr">
        <is>
          <t>Fixed price</t>
        </is>
      </c>
      <c r="Y35" s="26" t="inlineStr">
        <is>
          <t>RMB</t>
        </is>
      </c>
      <c r="Z35" s="137" t="n">
        <v>807147000</v>
      </c>
      <c r="AA35" s="137" t="n">
        <v>819938000</v>
      </c>
      <c r="AB35" s="137" t="n">
        <v>861611000</v>
      </c>
      <c r="AC35" s="137" t="n">
        <v>595516000</v>
      </c>
      <c r="AD35" s="137" t="n">
        <v>629557000</v>
      </c>
      <c r="AE35" s="137" t="n">
        <v>504096000</v>
      </c>
      <c r="AF35" s="137" t="n">
        <v>211631000</v>
      </c>
      <c r="AG35" s="137" t="n">
        <v>190381000</v>
      </c>
      <c r="AH35" s="137" t="n">
        <v>357515000</v>
      </c>
      <c r="AI35" s="137" t="n">
        <v>249693000</v>
      </c>
      <c r="AJ35" s="137" t="n">
        <v>317769000</v>
      </c>
      <c r="AK35" s="137" t="n">
        <v>405316000</v>
      </c>
      <c r="AL35" s="137" t="n">
        <v>-259984000</v>
      </c>
      <c r="AM35" s="137" t="n">
        <v>-157302000</v>
      </c>
      <c r="AN35" s="137" t="n">
        <v>-167570000</v>
      </c>
      <c r="AO35" s="137" t="n">
        <v>-259786000</v>
      </c>
      <c r="AP35" s="137" t="n">
        <v>-157095000</v>
      </c>
      <c r="AQ35" s="137" t="n">
        <v>-166263000</v>
      </c>
      <c r="AR35" s="142" t="n">
        <v>0.03</v>
      </c>
      <c r="AS35" s="142" t="n">
        <v>0.03</v>
      </c>
      <c r="AT35" s="84" t="n">
        <v>0.15</v>
      </c>
      <c r="AU35" s="51" t="inlineStr">
        <is>
          <t>Enterprise AI technology and services (enterprise large model-driven decision intelligence)</t>
        </is>
      </c>
      <c r="AV35" s="51" t="inlineStr">
        <is>
          <t>Chapter 18C of the Listing Rules (Specialist Technology Company)</t>
        </is>
      </c>
      <c r="AW35" s="136" t="n">
        <v>46022</v>
      </c>
      <c r="AX35" s="137" t="n">
        <v>-187995000</v>
      </c>
      <c r="AY35" s="117" t="n">
        <v>324621000</v>
      </c>
      <c r="AZ35" s="117" t="n">
        <v>187545000</v>
      </c>
      <c r="BA35" s="117" t="n">
        <v>0</v>
      </c>
      <c r="BB35" s="138" t="n">
        <v>0.376</v>
      </c>
      <c r="BC35" s="139" t="n">
        <v>1</v>
      </c>
      <c r="BD35" s="80" t="n">
        <v>1</v>
      </c>
      <c r="BE35" s="161" t="n">
        <v>1</v>
      </c>
      <c r="BF35" s="161" t="n">
        <v>1</v>
      </c>
      <c r="BG35" s="161" t="n">
        <v>1</v>
      </c>
      <c r="BH35" s="161" t="n">
        <v>1</v>
      </c>
      <c r="BI35" s="161" t="inlineStr">
        <is>
          <t>NaN</t>
        </is>
      </c>
      <c r="BJ35" s="162" t="inlineStr">
        <is>
          <t>Zhongzi Investment; SCGC; CDBC MTU Fund; AI Fund; China Internet Investment; Hengbang Zhiyuan No.5; Infotech; Shenbao Yiben; Hongtu Tech; Zhongke Chuangxing-I; Zhongke Chuangxing-II; Zhongke Lianchuang; Hengbang Zhiyuan No.20; Hengbang Zhiyuan No.23; Hengbang Growth No.5; Hengbang Growth No.10; Jinke Huisheng; Fuzhou Youbang; CASFoF; Xinding Jinwu; Xinding Xinsan; CCTV Integrated Media; ZGC Science City; Daye Shengde; Modern Industry Fund; Ruide Huihuang; Lanhai Fangzhou; Guoke Dacheng; Guoke Xinxing; GQC Ruisheng; Zhongzi Innovation; Guoke Dingzhi; Fenghou Zhiyuan; Liaoning Xinxing; Shengrunda; Beijing Wendan; Yuxin Digitech; Xiyue Xinmei</t>
        </is>
      </c>
      <c r="BK35" s="163" t="n">
        <v>0.6312</v>
      </c>
      <c r="BL35" s="161" t="n">
        <v>1</v>
      </c>
      <c r="BM35" s="164" t="inlineStr">
        <is>
          <t>Series A Financing (2018)</t>
        </is>
      </c>
      <c r="BN35" s="165" t="n">
        <v>8.119999999999999</v>
      </c>
      <c r="BO35" s="51" t="inlineStr">
        <is>
          <t>Natural persons acting in concert</t>
        </is>
      </c>
      <c r="BP35" s="135" t="n">
        <v>0.2803</v>
      </c>
      <c r="BQ35" s="135" t="n">
        <v>0.2803</v>
      </c>
      <c r="BR35" s="137" t="n">
        <v>87919000</v>
      </c>
      <c r="BS35" s="51" t="inlineStr">
        <is>
          <t>Early stage of commercialization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0</v>
      </c>
      <c r="BZ35" s="78" t="n">
        <v>1</v>
      </c>
      <c r="CA35" s="60" t="inlineStr">
        <is>
          <t>702015</t>
        </is>
      </c>
      <c r="CB35" s="76" t="inlineStr">
        <is>
          <t>HSICS (Hang Seng Industry Classification System) 2026</t>
        </is>
      </c>
      <c r="CC35" s="140" t="n">
        <v>42814</v>
      </c>
      <c r="CD35" s="171" t="n">
        <v>9.27</v>
      </c>
      <c r="CE35" s="76" t="inlineStr">
        <is>
          <t>NA</t>
        </is>
      </c>
      <c r="CF35" s="89" t="inlineStr">
        <is>
          <t>Room 717, 7th Floor, Building 9, North 4th Ring Road West, Haidian District, Beijing, China</t>
        </is>
      </c>
      <c r="CG35" s="91" t="n">
        <v>1000</v>
      </c>
      <c r="CH35" s="60" t="inlineStr">
        <is>
          <t>IFRS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405316000</v>
      </c>
      <c r="CO35" s="64" t="n">
        <v>-167570000</v>
      </c>
      <c r="CP35" s="64" t="n">
        <v>-166263000</v>
      </c>
      <c r="CQ35" s="141" t="n">
        <v>46190</v>
      </c>
      <c r="CR35" s="141" t="n">
        <v>46196</v>
      </c>
      <c r="CS35" s="63" t="n">
        <v>173101207</v>
      </c>
      <c r="CT35" s="64" t="n">
        <v>207657000</v>
      </c>
      <c r="CU35" s="64" t="n">
        <v>3435000</v>
      </c>
      <c r="CV35" s="59" t="inlineStr">
        <is>
          <t>Unqualified</t>
        </is>
      </c>
      <c r="CW35" s="64" t="n">
        <v>73600000</v>
      </c>
      <c r="CX35" s="51" t="inlineStr">
        <is>
          <t>China Orient Enhanced Income Fund; Harvest Global Investments Limited; First Seafront Asset Management Limited; Guohui (HK) Holdings Co., Limited; Huatai Capital Investment Limited; CMBC International Investment (HK) Limited</t>
        </is>
      </c>
      <c r="CY35" s="142" t="n">
        <v>0.2697</v>
      </c>
      <c r="CZ35" s="136" t="n">
        <v>46382</v>
      </c>
      <c r="DA35" s="143" t="n">
        <v>5966.78</v>
      </c>
      <c r="DB35" s="63" t="n">
        <v>195072</v>
      </c>
      <c r="DC35" s="63" t="n">
        <v>4426156200</v>
      </c>
      <c r="DD35" s="59" t="inlineStr">
        <is>
          <t>Subscription level 5,966.78 times</t>
        </is>
      </c>
      <c r="DE35" s="141" t="inlineStr">
        <is>
          <t>NA</t>
        </is>
      </c>
      <c r="DF35" s="141" t="n">
        <v>46198</v>
      </c>
      <c r="DG35" s="63" t="n">
        <v>14834600</v>
      </c>
      <c r="DH35" s="63" t="n">
        <v>2967000</v>
      </c>
      <c r="DI35" s="63" t="n">
        <v>11867600</v>
      </c>
      <c r="DJ35" s="63" t="n">
        <v>1335000</v>
      </c>
      <c r="DK35" s="169" t="n">
        <v>0.599949</v>
      </c>
      <c r="DL35" s="59" t="inlineStr">
        <is>
          <t>Reallocation (claw-back) of 2,225,200 Offer Shares from the International Offering to the Hong Kong Public Offering; final number of Offer Shares under the Hong Kong Public Offering adjusted to 2,967,000, representing approximately 20% of the Global Offering</t>
        </is>
      </c>
      <c r="DM35" s="144" t="n">
        <v>826900000</v>
      </c>
      <c r="DN35" s="142" t="n">
        <v>0.7197</v>
      </c>
      <c r="DO35" s="51" t="n">
        <v>173101207</v>
      </c>
      <c r="DP35" s="142" t="n">
        <v>0.0626</v>
      </c>
      <c r="DQ35" s="59" t="inlineStr">
        <is>
          <t>Free float denominator = total issued shares upon listing (col_CZ); numerator = offer shares minus cornerstone allocation</t>
        </is>
      </c>
      <c r="DR35" s="63" t="n">
        <v>173101207</v>
      </c>
      <c r="DS35" s="142" t="n">
        <v>-0.04600673</v>
      </c>
      <c r="DT35" s="80" t="n">
        <v>37</v>
      </c>
      <c r="DU35" s="142" t="n">
        <v>0.0285143</v>
      </c>
      <c r="DV35" s="144" t="n">
        <v>53886000000</v>
      </c>
      <c r="DW35" s="145" t="n">
        <v>111.7</v>
      </c>
      <c r="DX35" s="169" t="n">
        <v>0.840198</v>
      </c>
      <c r="DY35" s="172" t="n">
        <v>756564600</v>
      </c>
      <c r="DZ35" s="146" t="n">
        <v>110</v>
      </c>
      <c r="EA35" s="146" t="n">
        <v>125</v>
      </c>
      <c r="EB35" s="146" t="n">
        <v>105</v>
      </c>
      <c r="EC35" s="63" t="n">
        <v>6313076</v>
      </c>
      <c r="ED35" s="169" t="n">
        <v>0.425564</v>
      </c>
      <c r="EE35" s="64" t="n">
        <v>712772100</v>
      </c>
      <c r="EF35" s="60" t="inlineStr">
        <is>
          <t>Mechanism A</t>
        </is>
      </c>
      <c r="EG35" s="59" t="inlineStr">
        <is>
          <t>FINI (from 22/11/2023); 2025-08-04 pricing reform (Mechanism A/B; six-month cornerstone lock-up retained); this IPO: Mechanism A</t>
        </is>
      </c>
      <c r="EH35" t="inlineStr">
        <is>
          <t>北京中科闻歌科技股份有限公司</t>
        </is>
      </c>
      <c r="EI35" s="174" t="inlineStr">
        <is>
          <t>Active</t>
        </is>
      </c>
      <c r="EJ35" s="175" t="n">
        <v>67.84999999999999</v>
      </c>
      <c r="EK35" s="176" t="n">
        <v>-0.392569</v>
      </c>
      <c r="EL35" s="176" t="n">
        <v>0.117792</v>
      </c>
      <c r="EM35" s="176" t="n">
        <v>0.101067</v>
      </c>
      <c r="EN35" s="176" t="n">
        <v>0.087866</v>
      </c>
      <c r="EO35" s="179" t="n">
        <v>0.5517</v>
      </c>
      <c r="EP35" s="179" t="n">
        <v>0.5584</v>
      </c>
      <c r="EQ35" s="178" t="n">
        <v>66568305</v>
      </c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inlineStr">
        <is>
          <t>18C (Specialist Tech)</t>
        </is>
      </c>
      <c r="FF35" s="181" t="inlineStr">
        <is>
          <t>China International Capital Corporation Hong Kong Securities Limited</t>
        </is>
      </c>
      <c r="FG35" s="185" t="inlineStr">
        <is>
          <t>2026-07-23</t>
        </is>
      </c>
      <c r="FH35" s="183" t="n">
        <v>0</v>
      </c>
      <c r="FI35" s="178" t="n">
        <v>1335000</v>
      </c>
      <c r="FJ35" s="176" t="n"/>
      <c r="FK35" s="185" t="inlineStr">
        <is>
          <t>2026-07-23</t>
        </is>
      </c>
      <c r="FL35" s="178" t="n">
        <v>1335000</v>
      </c>
      <c r="FM35" s="176" t="n">
        <v>1</v>
      </c>
      <c r="FN35" s="176" t="n">
        <v>-0.217221</v>
      </c>
      <c r="FO35" s="176" t="n">
        <v>0.241176</v>
      </c>
      <c r="FP35" s="176" t="n">
        <v>0.231646</v>
      </c>
      <c r="FQ35" s="176" t="n">
        <v>-0.203671</v>
      </c>
      <c r="FR35" s="179" t="n">
        <v>0.7732</v>
      </c>
      <c r="FS35" s="176" t="n">
        <v>-0.392569</v>
      </c>
      <c r="FT35" s="179" t="n">
        <v>0.5517</v>
      </c>
      <c r="FU35" s="176" t="n">
        <v>-0.438227</v>
      </c>
      <c r="FV35" s="179" t="n"/>
      <c r="FW35" s="179" t="n"/>
      <c r="FX35" s="178" t="n">
        <v>33783477.27</v>
      </c>
      <c r="FY35" s="186" t="n"/>
      <c r="FZ35" s="183" t="n"/>
      <c r="GA35" s="176" t="n"/>
      <c r="GB35" s="176" t="n"/>
      <c r="GC35" s="185" t="n"/>
      <c r="GD35" s="185" t="inlineStr">
        <is>
          <t>2027-06-27</t>
        </is>
      </c>
      <c r="GE35" s="176" t="n"/>
      <c r="GF35" s="176" t="n"/>
      <c r="GG35" s="179" t="n"/>
      <c r="GH35" s="181" t="inlineStr">
        <is>
          <t>CICC</t>
        </is>
      </c>
      <c r="GI35" s="183" t="n">
        <v>2</v>
      </c>
      <c r="GJ35" s="183" t="n">
        <v>0</v>
      </c>
      <c r="GK35" s="176" t="n">
        <v>0.025</v>
      </c>
      <c r="GL35" s="176" t="n">
        <v>0.01</v>
      </c>
      <c r="GM35" s="176" t="n">
        <v>0.035</v>
      </c>
      <c r="GN35" s="183" t="n"/>
      <c r="GO35" s="183" t="n">
        <v>0</v>
      </c>
      <c r="GP35" s="183" t="n">
        <v>0</v>
      </c>
      <c r="GQ35" s="183" t="n">
        <v>6</v>
      </c>
      <c r="GR35" s="183" t="n">
        <v>0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75</v>
      </c>
      <c r="B36" s="47" t="inlineStr">
        <is>
          <t>2272.HK</t>
        </is>
      </c>
      <c r="C36" s="44" t="inlineStr">
        <is>
          <t>KEYTOP PARKING INC. - H Shares</t>
        </is>
      </c>
      <c r="D36" s="189" t="n">
        <v>46190</v>
      </c>
      <c r="E36" s="189" t="n">
        <v>46199</v>
      </c>
      <c r="F36" s="43" t="inlineStr">
        <is>
          <t>China International Capital Corporation Hong Kong Securities Limited /
CMBC International Capital Limited</t>
        </is>
      </c>
      <c r="G36" s="43" t="inlineStr">
        <is>
          <t>KPMG</t>
        </is>
      </c>
      <c r="H36" s="43" t="n"/>
      <c r="I36" s="131" t="n">
        <v>39994542</v>
      </c>
      <c r="J36" s="148" t="n">
        <v>359946132</v>
      </c>
      <c r="K36" s="133" t="n">
        <v>39.55</v>
      </c>
      <c r="L36" t="n">
        <v>101122609</v>
      </c>
      <c r="M36" s="67" t="n">
        <v>10112280</v>
      </c>
      <c r="N36" t="n">
        <v>91010329</v>
      </c>
      <c r="O36" t="n">
        <v>91010329</v>
      </c>
      <c r="P36" t="n">
        <v>0</v>
      </c>
      <c r="Q36" t="n">
        <v>10112280</v>
      </c>
      <c r="R36" s="67" t="n">
        <v>9101040</v>
      </c>
      <c r="S36" s="67" t="n">
        <v>1011240</v>
      </c>
      <c r="T36" s="147" t="n">
        <v>39.55</v>
      </c>
      <c r="U36" s="147" t="n">
        <v>39.55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1188690000</v>
      </c>
      <c r="AA36" s="137" t="n">
        <v>1338749000</v>
      </c>
      <c r="AB36" s="137" t="n">
        <v>1425994000</v>
      </c>
      <c r="AC36" s="137" t="n">
        <v>844443000</v>
      </c>
      <c r="AD36" s="137" t="n">
        <v>916709000</v>
      </c>
      <c r="AE36" s="137" t="n">
        <v>1007586000</v>
      </c>
      <c r="AF36" s="137" t="n">
        <v>344247000</v>
      </c>
      <c r="AG36" s="137" t="n">
        <v>422040000</v>
      </c>
      <c r="AH36" s="137" t="n">
        <v>418408000</v>
      </c>
      <c r="AI36" s="137" t="n">
        <v>738015000</v>
      </c>
      <c r="AJ36" s="137" t="n">
        <v>799511000</v>
      </c>
      <c r="AK36" s="137" t="n">
        <v>830615000</v>
      </c>
      <c r="AL36" s="137" t="n">
        <v>102229000</v>
      </c>
      <c r="AM36" s="137" t="n">
        <v>98900000</v>
      </c>
      <c r="AN36" s="137" t="n">
        <v>107974000</v>
      </c>
      <c r="AO36" s="137" t="n">
        <v>87030000</v>
      </c>
      <c r="AP36" s="137" t="n">
        <v>86709000</v>
      </c>
      <c r="AQ36" s="137" t="n">
        <v>93678000</v>
      </c>
      <c r="AR36" s="142" t="n">
        <v>0.03</v>
      </c>
      <c r="AS36" s="142" t="n">
        <v>0.03</v>
      </c>
      <c r="AT36" s="84" t="n">
        <v>0.15</v>
      </c>
      <c r="AU36" s="51" t="inlineStr">
        <is>
          <t>Smart parking space operation (smart parking systems, smart parking management services, and parking facility and platform operations)</t>
        </is>
      </c>
      <c r="AV36" s="51" t="inlineStr">
        <is>
          <t>Main Board of the Stock Exchange (H Shares of a PRC issuer, Chapter 19A)</t>
        </is>
      </c>
      <c r="AW36" s="136" t="n">
        <v>46022</v>
      </c>
      <c r="AX36" s="137" t="n">
        <v>144037000</v>
      </c>
      <c r="AY36" s="117" t="n">
        <v>190675000</v>
      </c>
      <c r="AZ36" s="117" t="n">
        <v>44346000</v>
      </c>
      <c r="BA36" s="117" t="n">
        <v>0</v>
      </c>
      <c r="BB36" s="138" t="n">
        <v>0.105</v>
      </c>
      <c r="BC36" s="139" t="n">
        <v>1</v>
      </c>
      <c r="BD36" s="80" t="n">
        <v>1</v>
      </c>
      <c r="BE36" s="161" t="n">
        <v>1</v>
      </c>
      <c r="BF36" s="161" t="n">
        <v>1</v>
      </c>
      <c r="BG36" s="161" t="n">
        <v>1</v>
      </c>
      <c r="BH36" s="161" t="inlineStr">
        <is>
          <t>NaN</t>
        </is>
      </c>
      <c r="BI36" s="161" t="n">
        <v>1</v>
      </c>
      <c r="BJ36" s="162" t="inlineStr">
        <is>
          <t>Jiatuo Tiancheng Group (Mr. Peng Jianhu); Tencent Investors (Linzhi Lixin, Suzhou Paiyi); Zhengzhi Investment; Hongtai Zhiying; Yu Sheng; Xiamen Suming; Fulv Century; Yu Yunhui</t>
        </is>
      </c>
      <c r="BK36" s="163" t="inlineStr">
        <is>
          <t>NaN</t>
        </is>
      </c>
      <c r="BL36" s="161" t="n">
        <v>1</v>
      </c>
      <c r="BM36" s="164" t="inlineStr">
        <is>
          <t>Equity Subscriptions in 2011</t>
        </is>
      </c>
      <c r="BN36" s="165" t="n">
        <v>15.17</v>
      </c>
      <c r="BO36" s="51" t="inlineStr">
        <is>
          <t>Individual (co-founders under joint control arrangements)</t>
        </is>
      </c>
      <c r="BP36" s="135" t="n">
        <v>0.4828</v>
      </c>
      <c r="BQ36" s="135" t="n">
        <v>0.4828</v>
      </c>
      <c r="BR36" s="137" t="n">
        <v>122869000</v>
      </c>
      <c r="BS36" s="51" t="inlineStr">
        <is>
          <t>Commercialized (mass commercialization)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702015</t>
        </is>
      </c>
      <c r="CB36" s="76" t="inlineStr">
        <is>
          <t>HSICS (Hang Seng Industry Classification System) 2026</t>
        </is>
      </c>
      <c r="CC36" s="140" t="n">
        <v>38895</v>
      </c>
      <c r="CD36" s="171" t="n">
        <v>20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830615000</v>
      </c>
      <c r="CO36" s="64" t="n">
        <v>107974000</v>
      </c>
      <c r="CP36" s="64" t="n">
        <v>93678000</v>
      </c>
      <c r="CQ36" s="141" t="n">
        <v>46190</v>
      </c>
      <c r="CR36" s="141" t="n">
        <v>46196</v>
      </c>
      <c r="CS36" s="63" t="n">
        <v>98265569</v>
      </c>
      <c r="CT36" s="64" t="n">
        <v>385209000</v>
      </c>
      <c r="CU36" s="64" t="n">
        <v>120400000</v>
      </c>
      <c r="CV36" s="59" t="inlineStr">
        <is>
          <t>Unqualified (true and fair view)</t>
        </is>
      </c>
      <c r="CW36" s="64" t="n">
        <v>60000000</v>
      </c>
      <c r="CX36" s="51" t="inlineStr">
        <is>
          <t>NA</t>
        </is>
      </c>
      <c r="CY36" s="142" t="n">
        <v>0</v>
      </c>
      <c r="CZ36" s="136" t="inlineStr">
        <is>
          <t>NA</t>
        </is>
      </c>
      <c r="DA36" s="143" t="n">
        <v>2115.21</v>
      </c>
      <c r="DB36" s="63" t="n">
        <v>165737</v>
      </c>
      <c r="DC36" s="63" t="n">
        <v>2138980680</v>
      </c>
      <c r="DD36" s="59" t="inlineStr">
        <is>
          <t>Subscription level 2,115.21 times</t>
        </is>
      </c>
      <c r="DE36" s="141" t="inlineStr">
        <is>
          <t>NA</t>
        </is>
      </c>
      <c r="DF36" s="141" t="n">
        <v>46198</v>
      </c>
      <c r="DG36" s="63" t="n">
        <v>10112280</v>
      </c>
      <c r="DH36" s="63" t="n">
        <v>1011240</v>
      </c>
      <c r="DI36" s="63" t="n">
        <v>9101040</v>
      </c>
      <c r="DJ36" s="63" t="n">
        <v>0</v>
      </c>
      <c r="DK36" s="169" t="n">
        <v>0</v>
      </c>
      <c r="DL36" s="59" t="inlineStr">
        <is>
          <t>No claw-back triggered (Claw-back triggered: N/A); no Offer Shares reallocated from the International Offering to the Hong Kong Public Offering (0); final Hong Kong Public Offering remains 1,011,240 H Shares, being 10% of the Global Offering</t>
        </is>
      </c>
      <c r="DM36" s="144" t="n">
        <v>339900000</v>
      </c>
      <c r="DN36" s="142" t="n">
        <v>0.4133</v>
      </c>
      <c r="DO36" s="51" t="n">
        <v>101122609</v>
      </c>
      <c r="DP36" s="142" t="n">
        <v>0.1</v>
      </c>
      <c r="DQ36" s="59" t="inlineStr">
        <is>
          <t>Free float denominator = total number of issued Shares upon Listing (101,122,609); numerator = Global Offering H Shares (10,112,280) minus cornerstone allocation (none). H Shares held by all existing Shareholders converted from Domestic Shares are subject to a 12-month PRC lock-up and are excluded from the free float.</t>
        </is>
      </c>
      <c r="DR36" s="63" t="n">
        <v>101122609</v>
      </c>
      <c r="DS36" s="142" t="n">
        <v>-0.04600673</v>
      </c>
      <c r="DT36" s="80" t="n">
        <v>37</v>
      </c>
      <c r="DU36" s="142" t="n">
        <v>0.0285143</v>
      </c>
      <c r="DV36" s="144" t="n">
        <v>53886000000</v>
      </c>
      <c r="DW36" s="145" t="n">
        <v>120.2</v>
      </c>
      <c r="DX36" s="169" t="n">
        <v>2.039191</v>
      </c>
      <c r="DY36" s="172" t="n">
        <v>815555382</v>
      </c>
      <c r="DZ36" s="146" t="n">
        <v>110.1</v>
      </c>
      <c r="EA36" s="146" t="n">
        <v>122.8</v>
      </c>
      <c r="EB36" s="146" t="n">
        <v>110.1</v>
      </c>
      <c r="EC36" s="63" t="n">
        <v>2027040</v>
      </c>
      <c r="ED36" s="169" t="n">
        <v>0.200453</v>
      </c>
      <c r="EE36" s="64" t="n">
        <v>230830000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厦门科拓通讯技术股份有限公司</t>
        </is>
      </c>
      <c r="EI36" s="174" t="inlineStr">
        <is>
          <t>Active</t>
        </is>
      </c>
      <c r="EJ36" s="175" t="n">
        <v>113.3</v>
      </c>
      <c r="EK36" s="176" t="n">
        <v>-0.057404</v>
      </c>
      <c r="EL36" s="176" t="n">
        <v>1.864728</v>
      </c>
      <c r="EM36" s="176" t="n">
        <v>0.101067</v>
      </c>
      <c r="EN36" s="176" t="n">
        <v>0.087866</v>
      </c>
      <c r="EO36" s="179" t="n">
        <v>0.8561</v>
      </c>
      <c r="EP36" s="179" t="n">
        <v>0.8665</v>
      </c>
      <c r="EQ36" s="178" t="n">
        <v>22264910</v>
      </c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inlineStr">
        <is>
          <t>Standard</t>
        </is>
      </c>
      <c r="FF36" s="181" t="n"/>
      <c r="FG36" s="185" t="n"/>
      <c r="FH36" s="183" t="n"/>
      <c r="FI36" s="178" t="n"/>
      <c r="FJ36" s="176" t="n"/>
      <c r="FK36" s="185" t="inlineStr">
        <is>
          <t>2026-06-26</t>
        </is>
      </c>
      <c r="FL36" s="178" t="n">
        <v>0</v>
      </c>
      <c r="FM36" s="176" t="n">
        <v>0</v>
      </c>
      <c r="FN36" s="176" t="n"/>
      <c r="FO36" s="176" t="n"/>
      <c r="FP36" s="176" t="n"/>
      <c r="FQ36" s="176" t="n">
        <v>-0.049085</v>
      </c>
      <c r="FR36" s="179" t="n">
        <v>0.9233</v>
      </c>
      <c r="FS36" s="176" t="n">
        <v>-0.057404</v>
      </c>
      <c r="FT36" s="179" t="n">
        <v>0.8561</v>
      </c>
      <c r="FU36" s="176" t="n">
        <v>-0.504992</v>
      </c>
      <c r="FV36" s="179" t="n"/>
      <c r="FW36" s="179" t="n"/>
      <c r="FX36" s="178" t="n">
        <v>15389478.79</v>
      </c>
      <c r="FY36" s="186" t="n"/>
      <c r="FZ36" s="183" t="n"/>
      <c r="GA36" s="176" t="n"/>
      <c r="GB36" s="176" t="n"/>
      <c r="GC36" s="185" t="inlineStr">
        <is>
          <t>2026-12-27</t>
        </is>
      </c>
      <c r="GD36" s="185" t="inlineStr">
        <is>
          <t>2027-06-27</t>
        </is>
      </c>
      <c r="GE36" s="176" t="n"/>
      <c r="GF36" s="176" t="n"/>
      <c r="GG36" s="179" t="n"/>
      <c r="GH36" s="181" t="inlineStr">
        <is>
          <t>CICC</t>
        </is>
      </c>
      <c r="GI36" s="183" t="n">
        <v>2</v>
      </c>
      <c r="GJ36" s="183" t="n">
        <v>0</v>
      </c>
      <c r="GK36" s="176" t="n">
        <v>0.025</v>
      </c>
      <c r="GL36" s="176" t="n">
        <v>0.01</v>
      </c>
      <c r="GM36" s="176" t="n">
        <v>0.035</v>
      </c>
      <c r="GN36" s="183" t="n">
        <v>0</v>
      </c>
      <c r="GO36" s="183" t="n">
        <v>0</v>
      </c>
      <c r="GP36" s="183" t="n">
        <v>0</v>
      </c>
      <c r="GQ36" s="183" t="n">
        <v>6</v>
      </c>
      <c r="GR36" s="183" t="n">
        <v>0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77</v>
      </c>
      <c r="B37" s="47" t="inlineStr">
        <is>
          <t>3661.HK</t>
        </is>
      </c>
      <c r="C37" s="44" t="inlineStr">
        <is>
          <t>SG Micro Corp - H Shares</t>
        </is>
      </c>
      <c r="D37" s="189" t="n">
        <v>46190</v>
      </c>
      <c r="E37" s="189" t="n">
        <v>46199</v>
      </c>
      <c r="F37" s="43" t="inlineStr">
        <is>
          <t>China International Capital Corporation Hong Kong Securities Limited / 
Huatai Financial Holdings (Hong Kong) Limited</t>
        </is>
      </c>
      <c r="G37" s="43" t="inlineStr">
        <is>
          <t>Ernst &amp; Young</t>
        </is>
      </c>
      <c r="H37" s="43" t="n"/>
      <c r="I37" s="131" t="n">
        <v>460097040</v>
      </c>
      <c r="J37" s="148" t="n">
        <v>4830933720</v>
      </c>
      <c r="K37" s="133" t="n">
        <v>85.2</v>
      </c>
      <c r="L37" t="n">
        <v>675015824</v>
      </c>
      <c r="M37" s="67" t="n">
        <v>54001200</v>
      </c>
      <c r="N37" t="n">
        <v>621014624</v>
      </c>
      <c r="O37" t="n">
        <v>621014624</v>
      </c>
      <c r="P37" t="n">
        <v>0</v>
      </c>
      <c r="Q37" t="n">
        <v>54001200</v>
      </c>
      <c r="R37" s="67" t="n">
        <v>48601000</v>
      </c>
      <c r="S37" s="67" t="n">
        <v>5400200</v>
      </c>
      <c r="T37" s="147" t="n">
        <v>85.2</v>
      </c>
      <c r="U37" s="147" t="inlineStr">
        <is>
          <t>NaN</t>
        </is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4706852000</v>
      </c>
      <c r="AA37" s="137" t="n">
        <v>5771119000</v>
      </c>
      <c r="AB37" s="137" t="n">
        <v>6954150000</v>
      </c>
      <c r="AC37" s="137" t="n">
        <v>3843824000</v>
      </c>
      <c r="AD37" s="137" t="n">
        <v>4599260000</v>
      </c>
      <c r="AE37" s="137" t="n">
        <v>5327106000</v>
      </c>
      <c r="AF37" s="137" t="n">
        <v>863028000</v>
      </c>
      <c r="AG37" s="137" t="n">
        <v>1171859000</v>
      </c>
      <c r="AH37" s="137" t="n">
        <v>1627044000</v>
      </c>
      <c r="AI37" s="137" t="n">
        <v>2615716000</v>
      </c>
      <c r="AJ37" s="137" t="n">
        <v>3346983000</v>
      </c>
      <c r="AK37" s="137" t="n">
        <v>3898055000</v>
      </c>
      <c r="AL37" s="137" t="n">
        <v>254139000</v>
      </c>
      <c r="AM37" s="137" t="n">
        <v>484783000</v>
      </c>
      <c r="AN37" s="137" t="n">
        <v>549890000</v>
      </c>
      <c r="AO37" s="137" t="n">
        <v>269937000</v>
      </c>
      <c r="AP37" s="137" t="n">
        <v>491162000</v>
      </c>
      <c r="AQ37" s="137" t="n">
        <v>534375000</v>
      </c>
      <c r="AR37" s="142" t="n">
        <v>0.007</v>
      </c>
      <c r="AS37" s="142" t="n">
        <v>0.007</v>
      </c>
      <c r="AT37" s="84" t="n">
        <v>0.15</v>
      </c>
      <c r="AU37" s="51" t="inlineStr">
        <is>
          <t>Analog integrated circuit (IC) design, development and sales</t>
        </is>
      </c>
      <c r="AV37" s="51" t="inlineStr">
        <is>
          <t>Chapter 19A (PRC issuer with other listed shares), Main Board</t>
        </is>
      </c>
      <c r="AW37" s="136" t="n">
        <v>46022</v>
      </c>
      <c r="AX37" s="137" t="n">
        <v>434379000</v>
      </c>
      <c r="AY37" s="117" t="n">
        <v>1181028000</v>
      </c>
      <c r="AZ37" s="117" t="n">
        <v>1045195000</v>
      </c>
      <c r="BA37" s="117" t="n">
        <v>0</v>
      </c>
      <c r="BB37" s="138" t="n">
        <v>0.331</v>
      </c>
      <c r="BC37" s="139" t="n">
        <v>1</v>
      </c>
      <c r="BD37" s="80" t="inlineStr">
        <is>
          <t>NaN</t>
        </is>
      </c>
      <c r="BE37" s="161" t="inlineStr">
        <is>
          <t>NaN</t>
        </is>
      </c>
      <c r="BF37" s="161" t="inlineStr">
        <is>
          <t>NaN</t>
        </is>
      </c>
      <c r="BG37" s="161" t="inlineStr">
        <is>
          <t>NaN</t>
        </is>
      </c>
      <c r="BH37" s="161" t="inlineStr">
        <is>
          <t>NaN</t>
        </is>
      </c>
      <c r="BI37" s="161" t="inlineStr">
        <is>
          <t>NaN</t>
        </is>
      </c>
      <c r="BJ37" s="162" t="inlineStr">
        <is>
          <t>NA</t>
        </is>
      </c>
      <c r="BK37" s="163" t="inlineStr">
        <is>
          <t>NaN</t>
        </is>
      </c>
      <c r="BL37" s="161" t="inlineStr">
        <is>
          <t>NaN</t>
        </is>
      </c>
      <c r="BM37" s="164" t="inlineStr">
        <is>
          <t>NA</t>
        </is>
      </c>
      <c r="BN37" s="165" t="inlineStr">
        <is>
          <t>NaN</t>
        </is>
      </c>
      <c r="BO37" s="51" t="inlineStr">
        <is>
          <t>Natural person</t>
        </is>
      </c>
      <c r="BP37" s="135" t="n">
        <v>0.3282</v>
      </c>
      <c r="BQ37" s="135" t="n">
        <v>0.3282</v>
      </c>
      <c r="BR37" s="137" t="n">
        <v>417420000</v>
      </c>
      <c r="BS37" s="51" t="inlineStr">
        <is>
          <t>Commercialized (products in mass production and revenue-generating)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1</v>
      </c>
      <c r="BX37" s="77" t="n">
        <v>0</v>
      </c>
      <c r="BY37" s="77" t="n">
        <v>0</v>
      </c>
      <c r="BZ37" s="78" t="n">
        <v>0</v>
      </c>
      <c r="CA37" s="60" t="inlineStr">
        <is>
          <t>703010</t>
        </is>
      </c>
      <c r="CB37" s="76" t="inlineStr">
        <is>
          <t>HSICS (Hang Seng Industry Classification System) 2026</t>
        </is>
      </c>
      <c r="CC37" s="140" t="n">
        <v>39108</v>
      </c>
      <c r="CD37" s="171" t="n">
        <v>19.41</v>
      </c>
      <c r="CE37" s="76" t="inlineStr">
        <is>
          <t>NA</t>
        </is>
      </c>
      <c r="CF37" s="89" t="inlineStr">
        <is>
          <t>4-1106, 11/F, No. 87 West Third Ring Road North, Haidian District, Beijing, PRC</t>
        </is>
      </c>
      <c r="CG37" s="91" t="n">
        <v>1000</v>
      </c>
      <c r="CH37" s="60" t="inlineStr">
        <is>
          <t>IFRS</t>
        </is>
      </c>
      <c r="CI37" s="141" t="n">
        <v>44927</v>
      </c>
      <c r="CJ37" s="141" t="n">
        <v>45291</v>
      </c>
      <c r="CK37" s="141" t="n">
        <v>45292</v>
      </c>
      <c r="CL37" s="141" t="n">
        <v>45657</v>
      </c>
      <c r="CM37" s="141" t="n">
        <v>45658</v>
      </c>
      <c r="CN37" s="64" t="n">
        <v>3898055000</v>
      </c>
      <c r="CO37" s="64" t="n">
        <v>549890000</v>
      </c>
      <c r="CP37" s="64" t="n">
        <v>534375000</v>
      </c>
      <c r="CQ37" s="141" t="n">
        <v>46190</v>
      </c>
      <c r="CR37" s="141" t="n">
        <v>46196</v>
      </c>
      <c r="CS37" s="63" t="n">
        <v>54001200</v>
      </c>
      <c r="CT37" s="64" t="n">
        <v>1802462000</v>
      </c>
      <c r="CU37" s="64" t="n">
        <v>232643000</v>
      </c>
      <c r="CV37" s="59" t="inlineStr">
        <is>
          <t>Unqualified (true and fair view)</t>
        </is>
      </c>
      <c r="CW37" s="64" t="n">
        <v>101000000</v>
      </c>
      <c r="CX37" s="51" t="inlineStr">
        <is>
          <t>GIC Private Limited; JPMAMAPL; CPE Ginkgo; Da Cheng International; Dajia Life; DAMSIMF; First Sentier Investors; GF Fund Management; GF Fund HK; Golden Continent; HGI; HHLRA; HHLRA (as the investment manager of an SMA managed for CPP Investments); Huadeng Technology; Huaqin Singapore; Sungrow Power; ICBC Wealth; iSoftStone HK; LMR Master Fund; Millennium Capital; Ninety One Asia; Ocean Fine Industrial; PSBC Wealth; Taikang Life; Value Partners Hong Kong Limited; Value Partners Limited</t>
        </is>
      </c>
      <c r="CY37" s="142" t="n">
        <v>0.4989</v>
      </c>
      <c r="CZ37" s="136" t="n">
        <v>46382</v>
      </c>
      <c r="DA37" s="143" t="n">
        <v>251.73</v>
      </c>
      <c r="DB37" s="63" t="n">
        <v>153878</v>
      </c>
      <c r="DC37" s="63" t="n">
        <v>1359388100</v>
      </c>
      <c r="DD37" s="59" t="inlineStr">
        <is>
          <t>Subscription level 251.73 times</t>
        </is>
      </c>
      <c r="DE37" s="141" t="inlineStr">
        <is>
          <t>NA</t>
        </is>
      </c>
      <c r="DF37" s="141" t="n">
        <v>46198</v>
      </c>
      <c r="DG37" s="63" t="n">
        <v>54001200</v>
      </c>
      <c r="DH37" s="63" t="n">
        <v>5400200</v>
      </c>
      <c r="DI37" s="63" t="n">
        <v>48601000</v>
      </c>
      <c r="DJ37" s="63" t="n">
        <v>8100100</v>
      </c>
      <c r="DK37" s="169" t="n">
        <v>1</v>
      </c>
      <c r="DL37" s="59" t="inlineStr">
        <is>
          <t>No clawback / reallocation: Claw-back triggered N/A; the final number of Offer Shares under the Hong Kong Public Offering (5,400,200) equals the number initially available and represents 10% of the Global Offering.</t>
        </is>
      </c>
      <c r="DM37" s="144" t="n">
        <v>4499900000</v>
      </c>
      <c r="DN37" s="142" t="n">
        <v>0.08</v>
      </c>
      <c r="DO37" s="51" t="n">
        <v>675015824</v>
      </c>
      <c r="DP37" s="142" t="n">
        <v>0.0401</v>
      </c>
      <c r="DQ37" s="59" t="inlineStr">
        <is>
          <t>Free float denominator = total issued Shares upon Listing (before exercise of the Over-allotment Option) = 675,015,824; H Shares held by the Cornerstone Investors upon Listing (six-month lock-up) are excluded from free float, so numerator = Offer Shares − cornerstone allocation.</t>
        </is>
      </c>
      <c r="DR37" s="63" t="n">
        <v>675015824</v>
      </c>
      <c r="DS37" s="142" t="n">
        <v>-0.04600673</v>
      </c>
      <c r="DT37" s="80" t="n">
        <v>37</v>
      </c>
      <c r="DU37" s="142" t="n">
        <v>0.0285143</v>
      </c>
      <c r="DV37" s="144" t="n">
        <v>53886000000</v>
      </c>
      <c r="DW37" s="145" t="n">
        <v>125.3</v>
      </c>
      <c r="DX37" s="169" t="n">
        <v>0.470657</v>
      </c>
      <c r="DY37" s="172" t="n">
        <v>2165448120</v>
      </c>
      <c r="DZ37" s="146" t="n">
        <v>105.1</v>
      </c>
      <c r="EA37" s="146" t="n">
        <v>133</v>
      </c>
      <c r="EB37" s="146" t="n">
        <v>102.7</v>
      </c>
      <c r="EC37" s="63" t="n">
        <v>19937780</v>
      </c>
      <c r="ED37" s="169" t="n">
        <v>0.36921</v>
      </c>
      <c r="EE37" s="64" t="n">
        <v>2141662100</v>
      </c>
      <c r="EF37" s="60" t="inlineStr">
        <is>
          <t>Mechanism B</t>
        </is>
      </c>
      <c r="EG37" s="59" t="inlineStr">
        <is>
          <t>FINI (from 22/11/2023); 2025-08-04 pricing reform (Mechanism A/B; six-month cornerstone lock-up retained); this IPO: Mechanism B</t>
        </is>
      </c>
      <c r="EH37" t="inlineStr">
        <is>
          <t>圣邦微电子（北京）股份有限公司</t>
        </is>
      </c>
      <c r="EI37" s="174" t="inlineStr">
        <is>
          <t>Active</t>
        </is>
      </c>
      <c r="EJ37" s="175" t="n">
        <v>89.5</v>
      </c>
      <c r="EK37" s="176" t="n">
        <v>-0.285714</v>
      </c>
      <c r="EL37" s="176" t="n">
        <v>0.050469</v>
      </c>
      <c r="EM37" s="176" t="n">
        <v>0.101067</v>
      </c>
      <c r="EN37" s="176" t="n">
        <v>0.087866</v>
      </c>
      <c r="EO37" s="179" t="n">
        <v>0.6487000000000001</v>
      </c>
      <c r="EP37" s="179" t="n">
        <v>0.6566</v>
      </c>
      <c r="EQ37" s="178" t="n">
        <v>212177840</v>
      </c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inlineStr">
        <is>
          <t>Standard</t>
        </is>
      </c>
      <c r="FF37" s="181" t="inlineStr">
        <is>
          <t>China International Capital Corporation Hong Kong Securities Limited</t>
        </is>
      </c>
      <c r="FG37" s="185" t="inlineStr">
        <is>
          <t>2026-07-23</t>
        </is>
      </c>
      <c r="FH37" s="183" t="n">
        <v>0</v>
      </c>
      <c r="FI37" s="178" t="n">
        <v>8100100</v>
      </c>
      <c r="FJ37" s="176" t="n">
        <v>0.15</v>
      </c>
      <c r="FK37" s="185" t="inlineStr">
        <is>
          <t>2026-07-23</t>
        </is>
      </c>
      <c r="FL37" s="178" t="n">
        <v>8100100</v>
      </c>
      <c r="FM37" s="176" t="n">
        <v>1</v>
      </c>
      <c r="FN37" s="176" t="n">
        <v>-0.227723</v>
      </c>
      <c r="FO37" s="176" t="n">
        <v>-0.02381</v>
      </c>
      <c r="FP37" s="176" t="n">
        <v>0.488008</v>
      </c>
      <c r="FQ37" s="176" t="n">
        <v>-0.042298</v>
      </c>
      <c r="FR37" s="179" t="n">
        <v>0.9298999999999999</v>
      </c>
      <c r="FS37" s="176" t="n">
        <v>-0.285714</v>
      </c>
      <c r="FT37" s="179" t="n">
        <v>0.6487000000000001</v>
      </c>
      <c r="FU37" s="176" t="n">
        <v>-0.288508</v>
      </c>
      <c r="FV37" s="179" t="n"/>
      <c r="FW37" s="179" t="n"/>
      <c r="FX37" s="178" t="n">
        <v>110229272.73</v>
      </c>
      <c r="FY37" s="186" t="n"/>
      <c r="FZ37" s="183" t="n"/>
      <c r="GA37" s="176" t="n"/>
      <c r="GB37" s="176" t="n"/>
      <c r="GC37" s="185" t="inlineStr">
        <is>
          <t>2026-12-27</t>
        </is>
      </c>
      <c r="GD37" s="185" t="inlineStr">
        <is>
          <t>2027-06-26</t>
        </is>
      </c>
      <c r="GE37" s="176" t="n"/>
      <c r="GF37" s="176" t="n"/>
      <c r="GG37" s="179" t="n"/>
      <c r="GH37" s="181" t="inlineStr">
        <is>
          <t>CICC</t>
        </is>
      </c>
      <c r="GI37" s="183" t="n">
        <v>2</v>
      </c>
      <c r="GJ37" s="183" t="n">
        <v>0</v>
      </c>
      <c r="GK37" s="176" t="n">
        <v>0.025</v>
      </c>
      <c r="GL37" s="176" t="n">
        <v>0.01</v>
      </c>
      <c r="GM37" s="176" t="n">
        <v>0.035</v>
      </c>
      <c r="GN37" s="183" t="n"/>
      <c r="GO37" s="183" t="n">
        <v>0</v>
      </c>
      <c r="GP37" s="183" t="n">
        <v>0</v>
      </c>
      <c r="GQ37" s="183" t="n">
        <v>6</v>
      </c>
      <c r="GR37" s="183" t="n">
        <v>0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78</v>
      </c>
      <c r="B38" s="47" t="inlineStr">
        <is>
          <t>6228.HK</t>
        </is>
      </c>
      <c r="C38" s="44" t="inlineStr">
        <is>
          <t>PT MERDEKA GOLD RESOURCES Tbk- DRS</t>
        </is>
      </c>
      <c r="D38" s="189" t="n">
        <v>46190</v>
      </c>
      <c r="E38" s="189" t="n">
        <v>46199</v>
      </c>
      <c r="F38" s="43" t="inlineStr">
        <is>
          <t>UBS Securities Hong Kong Limited  /
CITIC Securities (Hong Kong) Limited</t>
        </is>
      </c>
      <c r="G38" s="43" t="inlineStr">
        <is>
          <t>BDO Limited</t>
        </is>
      </c>
      <c r="H38" s="43" t="n"/>
      <c r="I38" s="131" t="n">
        <v>238519540</v>
      </c>
      <c r="J38" s="148" t="n">
        <v>2227502620</v>
      </c>
      <c r="K38" s="133" t="n">
        <v>26.6</v>
      </c>
      <c r="L38" t="n">
        <v>14731366060</v>
      </c>
      <c r="M38" s="67" t="n">
        <v>89668600</v>
      </c>
      <c r="N38" t="n">
        <v>14731366060</v>
      </c>
      <c r="O38" t="n">
        <v>13834680060</v>
      </c>
      <c r="P38" t="n">
        <v>89668600</v>
      </c>
      <c r="Q38" t="n">
        <v>0</v>
      </c>
      <c r="R38" s="67" t="n">
        <v>80701700</v>
      </c>
      <c r="S38" s="67" t="n">
        <v>8966900</v>
      </c>
      <c r="T38" s="147" t="n">
        <v>26.6</v>
      </c>
      <c r="U38" s="147" t="inlineStr">
        <is>
          <t>NaN</t>
        </is>
      </c>
      <c r="V38" s="169" t="n">
        <v>0</v>
      </c>
      <c r="W38" s="169" t="n">
        <v>0</v>
      </c>
      <c r="X38" s="170" t="inlineStr">
        <is>
          <t>Fixed price</t>
        </is>
      </c>
      <c r="Y38" s="26" t="inlineStr">
        <is>
          <t>USD</t>
        </is>
      </c>
      <c r="Z38" s="137" t="n">
        <v>328651000</v>
      </c>
      <c r="AA38" s="137" t="n">
        <v>529721000</v>
      </c>
      <c r="AB38" s="137" t="n">
        <v>740638000</v>
      </c>
      <c r="AC38" s="137" t="n">
        <v>155196000</v>
      </c>
      <c r="AD38" s="137" t="n">
        <v>273038000</v>
      </c>
      <c r="AE38" s="137" t="n">
        <v>380939000</v>
      </c>
      <c r="AF38" s="137" t="n">
        <v>173455000</v>
      </c>
      <c r="AG38" s="137" t="n">
        <v>256683000</v>
      </c>
      <c r="AH38" s="137" t="n">
        <v>359699000</v>
      </c>
      <c r="AI38" s="137" t="n">
        <v>1394000</v>
      </c>
      <c r="AJ38" s="137" t="n">
        <v>1750000</v>
      </c>
      <c r="AK38" s="137" t="n">
        <v>132000</v>
      </c>
      <c r="AL38" s="137" t="n">
        <v>-10131000</v>
      </c>
      <c r="AM38" s="137" t="n">
        <v>-14934000</v>
      </c>
      <c r="AN38" s="137" t="n">
        <v>-25392000</v>
      </c>
      <c r="AO38" s="137" t="n">
        <v>-6837000</v>
      </c>
      <c r="AP38" s="137" t="n">
        <v>-12700000</v>
      </c>
      <c r="AQ38" s="137" t="n">
        <v>-27494000</v>
      </c>
      <c r="AR38" s="142" t="n">
        <v>0.015</v>
      </c>
      <c r="AS38" s="142" t="n">
        <v>0.015</v>
      </c>
      <c r="AT38" s="84" t="n">
        <v>0.15</v>
      </c>
      <c r="AU38" s="51" t="inlineStr">
        <is>
          <t>Gold mining and mineral processing</t>
        </is>
      </c>
      <c r="AV38" s="51" t="inlineStr">
        <is>
          <t>Chapter 19C secondary listing; also Chapters 18 and 19B</t>
        </is>
      </c>
      <c r="AW38" s="136" t="n">
        <v>46022</v>
      </c>
      <c r="AX38" s="137" t="n">
        <v>-21714000</v>
      </c>
      <c r="AY38" s="117" t="n">
        <v>45308000</v>
      </c>
      <c r="AZ38" s="117" t="inlineStr">
        <is>
          <t>NaN</t>
        </is>
      </c>
      <c r="BA38" s="117" t="n">
        <v>0</v>
      </c>
      <c r="BB38" s="138" t="n">
        <v>1</v>
      </c>
      <c r="BC38" s="139" t="n">
        <v>1</v>
      </c>
      <c r="BD38" s="80" t="inlineStr">
        <is>
          <t>NaN</t>
        </is>
      </c>
      <c r="BE38" s="161" t="inlineStr">
        <is>
          <t>NaN</t>
        </is>
      </c>
      <c r="BF38" s="161" t="inlineStr">
        <is>
          <t>NaN</t>
        </is>
      </c>
      <c r="BG38" s="161" t="inlineStr">
        <is>
          <t>NaN</t>
        </is>
      </c>
      <c r="BH38" s="161" t="inlineStr">
        <is>
          <t>NaN</t>
        </is>
      </c>
      <c r="BI38" s="161" t="inlineStr">
        <is>
          <t>NaN</t>
        </is>
      </c>
      <c r="BJ38" s="162" t="inlineStr">
        <is>
          <t>NA</t>
        </is>
      </c>
      <c r="BK38" s="163" t="inlineStr">
        <is>
          <t>NaN</t>
        </is>
      </c>
      <c r="BL38" s="161" t="inlineStr">
        <is>
          <t>NaN</t>
        </is>
      </c>
      <c r="BM38" s="164" t="inlineStr">
        <is>
          <t>NA</t>
        </is>
      </c>
      <c r="BN38" s="165" t="inlineStr">
        <is>
          <t>NaN</t>
        </is>
      </c>
      <c r="BO38" s="51" t="inlineStr">
        <is>
          <t>Corporate</t>
        </is>
      </c>
      <c r="BP38" s="135" t="n">
        <v>0.6333</v>
      </c>
      <c r="BQ38" s="135" t="n">
        <v>0.6333</v>
      </c>
      <c r="BR38" s="137" t="n">
        <v>289597000</v>
      </c>
      <c r="BS38" s="51" t="inlineStr">
        <is>
          <t>Early commercialization (first gold production in February 2026)</t>
        </is>
      </c>
      <c r="BT38" s="142" t="n">
        <v>0</v>
      </c>
      <c r="BU38" s="60" t="inlineStr">
        <is>
          <t>Main Board</t>
        </is>
      </c>
      <c r="BV38" s="89" t="inlineStr">
        <is>
          <t>Ordinary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051010</t>
        </is>
      </c>
      <c r="CB38" s="76" t="inlineStr">
        <is>
          <t>HSICS (Hang Seng Industry Classification System) 2026</t>
        </is>
      </c>
      <c r="CC38" s="140" t="n">
        <v>42328</v>
      </c>
      <c r="CD38" s="171" t="n">
        <v>10.6</v>
      </c>
      <c r="CE38" s="76" t="inlineStr">
        <is>
          <t>NA</t>
        </is>
      </c>
      <c r="CF38" s="89" t="inlineStr">
        <is>
          <t>Treasury Tower, 67th Floor, District 8 SCBD Lot. 28, Jalan Jenderal Sudirman Kav. 52-53, South Jakarta 12190, Indonesia</t>
        </is>
      </c>
      <c r="CG38" s="91" t="n">
        <v>1000</v>
      </c>
      <c r="CH38" s="60" t="inlineStr">
        <is>
          <t>IFRS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132000</v>
      </c>
      <c r="CO38" s="64" t="n">
        <v>-25392000</v>
      </c>
      <c r="CP38" s="64" t="n">
        <v>-27494000</v>
      </c>
      <c r="CQ38" s="141" t="n">
        <v>46190</v>
      </c>
      <c r="CR38" s="141" t="n">
        <v>46196</v>
      </c>
      <c r="CS38" s="63" t="n">
        <v>89668600</v>
      </c>
      <c r="CT38" s="64" t="n">
        <v>-146000</v>
      </c>
      <c r="CU38" s="64" t="n">
        <v>152121000</v>
      </c>
      <c r="CV38" s="59" t="inlineStr">
        <is>
          <t>Unqualified (true and fair view)</t>
        </is>
      </c>
      <c r="CW38" s="64" t="n">
        <v>14900000</v>
      </c>
      <c r="CX38" s="51" t="inlineStr">
        <is>
          <t>Ping An of China Asset Management (Hong Kong) Company Limited; Wanguo Gold Group Limited; Glencore International AG; Mercuria Holdings (Singapore) Pte. Ltd.; Trafigura Pte. Ltd.; Intera Mining Investment Limited; GF Fund Management Co., Ltd.; GF International Investment Management Limited; CNGR Hong Kong Material Science &amp; Technology Co., Limited; Eurus Holdings SPC (for OAAM Diversified Opportunities III S.P.); Wind Sabre Fund SPC (for Wind Sabre Opportunities Fund SP); Dymon Asia Multi-Strategy Investment Master Fund</t>
        </is>
      </c>
      <c r="CY38" s="142" t="n">
        <v>0.4994</v>
      </c>
      <c r="CZ38" s="136" t="n">
        <v>46382</v>
      </c>
      <c r="DA38" s="143" t="n">
        <v>4.42</v>
      </c>
      <c r="DB38" s="63" t="n">
        <v>22329</v>
      </c>
      <c r="DC38" s="63" t="n">
        <v>39645800</v>
      </c>
      <c r="DD38" s="59" t="inlineStr">
        <is>
          <t>Subscription level 4.42 times</t>
        </is>
      </c>
      <c r="DE38" s="141" t="n">
        <v>46197</v>
      </c>
      <c r="DF38" s="141" t="n">
        <v>46198</v>
      </c>
      <c r="DG38" s="63" t="n">
        <v>89668600</v>
      </c>
      <c r="DH38" s="63" t="n">
        <v>8966900</v>
      </c>
      <c r="DI38" s="63" t="n">
        <v>80701700</v>
      </c>
      <c r="DJ38" s="63" t="n">
        <v>3039000</v>
      </c>
      <c r="DK38" s="169" t="n">
        <v>0.225943</v>
      </c>
      <c r="DL38" s="59" t="inlineStr">
        <is>
          <t>No clawback triggered; no Offer HDRs reallocated from the International Offering (N/A); final HK Public Offering HDRs 8,966,900, being 10.00% of the Global Offering.</t>
        </is>
      </c>
      <c r="DM38" s="144" t="n">
        <v>2268710000</v>
      </c>
      <c r="DN38" s="142" t="inlineStr">
        <is>
          <t>NaN</t>
        </is>
      </c>
      <c r="DO38" s="51" t="n">
        <v>14731366060</v>
      </c>
      <c r="DP38" s="142" t="n">
        <v>0.0305</v>
      </c>
      <c r="DQ38" s="59" t="inlineStr">
        <is>
          <t>Free float denominator = total issued shares upon listing (col_CZ); numerator = offer shares minus cornerstone allocation</t>
        </is>
      </c>
      <c r="DR38" s="63" t="n">
        <v>14731366060</v>
      </c>
      <c r="DS38" s="142" t="n">
        <v>-0.04600673</v>
      </c>
      <c r="DT38" s="80" t="n">
        <v>37</v>
      </c>
      <c r="DU38" s="142" t="n">
        <v>0.0285143</v>
      </c>
      <c r="DV38" s="144" t="n">
        <v>53886000000</v>
      </c>
      <c r="DW38" s="145" t="n">
        <v>24.86</v>
      </c>
      <c r="DX38" s="169" t="n">
        <v>-0.065414</v>
      </c>
      <c r="DY38" s="172" t="n">
        <v>-156023364</v>
      </c>
      <c r="DZ38" s="146" t="n">
        <v>26.6</v>
      </c>
      <c r="EA38" s="146" t="n">
        <v>26.8</v>
      </c>
      <c r="EB38" s="146" t="n">
        <v>23.92</v>
      </c>
      <c r="EC38" s="63" t="n">
        <v>24440190</v>
      </c>
      <c r="ED38" s="169" t="n">
        <v>0.272561</v>
      </c>
      <c r="EE38" s="64" t="n">
        <v>624122800</v>
      </c>
      <c r="EF38" s="60" t="inlineStr">
        <is>
          <t>Mechanism A</t>
        </is>
      </c>
      <c r="EG38" s="59" t="inlineStr">
        <is>
          <t>FINI (from 22/11/2023); 2025-08-04 pricing reform (Mechanism A/B; six-month cornerstone lock-up retained); this IPO: Mechanism A</t>
        </is>
      </c>
      <c r="EH38" t="inlineStr">
        <is>
          <t>NA</t>
        </is>
      </c>
      <c r="EI38" s="174" t="inlineStr">
        <is>
          <t>Active</t>
        </is>
      </c>
      <c r="EJ38" s="175" t="n">
        <v>26</v>
      </c>
      <c r="EK38" s="176" t="n">
        <v>0.045857</v>
      </c>
      <c r="EL38" s="176" t="n">
        <v>-0.022556</v>
      </c>
      <c r="EM38" s="176" t="n">
        <v>0.101067</v>
      </c>
      <c r="EN38" s="176" t="n">
        <v>0.087866</v>
      </c>
      <c r="EO38" s="179" t="n">
        <v>0.9499</v>
      </c>
      <c r="EP38" s="179" t="n">
        <v>0.9614</v>
      </c>
      <c r="EQ38" s="178" t="n">
        <v>51670090</v>
      </c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CLSA Limited</t>
        </is>
      </c>
      <c r="FG38" s="185" t="inlineStr">
        <is>
          <t>2026-07-23</t>
        </is>
      </c>
      <c r="FH38" s="183" t="n"/>
      <c r="FI38" s="178" t="n"/>
      <c r="FJ38" s="176" t="n"/>
      <c r="FK38" s="185" t="inlineStr">
        <is>
          <t>2026-07-23</t>
        </is>
      </c>
      <c r="FL38" s="178" t="n"/>
      <c r="FM38" s="176" t="n"/>
      <c r="FN38" s="176" t="n">
        <v>0.108871</v>
      </c>
      <c r="FO38" s="176" t="n">
        <v>0.429257</v>
      </c>
      <c r="FP38" s="176" t="n">
        <v>0.495213</v>
      </c>
      <c r="FQ38" s="176" t="n">
        <v>0.04827</v>
      </c>
      <c r="FR38" s="179" t="n">
        <v>1.0178</v>
      </c>
      <c r="FS38" s="176" t="n">
        <v>0.045857</v>
      </c>
      <c r="FT38" s="179" t="n">
        <v>0.9499</v>
      </c>
      <c r="FU38" s="176" t="n">
        <v>0.319389</v>
      </c>
      <c r="FV38" s="179" t="n"/>
      <c r="FW38" s="179" t="n"/>
      <c r="FX38" s="178" t="n">
        <v>34492133.33</v>
      </c>
      <c r="FY38" s="186" t="n"/>
      <c r="FZ38" s="183" t="n"/>
      <c r="GA38" s="176" t="n"/>
      <c r="GB38" s="176" t="n"/>
      <c r="GC38" s="185" t="n"/>
      <c r="GD38" s="185" t="n"/>
      <c r="GE38" s="176" t="n"/>
      <c r="GF38" s="176" t="n"/>
      <c r="GG38" s="179" t="n"/>
      <c r="GH38" s="181" t="inlineStr">
        <is>
          <t>CICC</t>
        </is>
      </c>
      <c r="GI38" s="183" t="n">
        <v>2</v>
      </c>
      <c r="GJ38" s="183" t="n">
        <v>0</v>
      </c>
      <c r="GK38" s="176" t="n">
        <v>0.025</v>
      </c>
      <c r="GL38" s="176" t="n">
        <v>0.01</v>
      </c>
      <c r="GM38" s="176" t="n">
        <v>0.035</v>
      </c>
      <c r="GN38" s="183" t="n"/>
      <c r="GO38" s="183" t="n">
        <v>0</v>
      </c>
      <c r="GP38" s="183" t="n">
        <v>0</v>
      </c>
      <c r="GQ38" s="183" t="n">
        <v>6</v>
      </c>
      <c r="GR38" s="183" t="n">
        <v>0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76</v>
      </c>
      <c r="B39" s="47" t="inlineStr">
        <is>
          <t>9630.HK</t>
        </is>
      </c>
      <c r="C39" s="44" t="inlineStr">
        <is>
          <t>Circuit Fabology Microelectronics Equipment Co., Ltd. - H Shares</t>
        </is>
      </c>
      <c r="D39" s="189" t="n">
        <v>46190</v>
      </c>
      <c r="E39" s="189" t="n">
        <v>46199</v>
      </c>
      <c r="F39" s="43" t="inlineStr">
        <is>
          <t>China International Capital Corporation Hong Kong Securities Limited</t>
        </is>
      </c>
      <c r="G39" s="43" t="inlineStr">
        <is>
          <t>Ernst &amp; Young</t>
        </is>
      </c>
      <c r="H39" s="43" t="n"/>
      <c r="I39" s="131" t="n">
        <v>324480047</v>
      </c>
      <c r="J39" s="148" t="n">
        <v>3406926765</v>
      </c>
      <c r="K39" s="133" t="n">
        <v>252.73</v>
      </c>
      <c r="L39" t="n">
        <v>144579366</v>
      </c>
      <c r="M39" s="67" t="n">
        <v>12838650</v>
      </c>
      <c r="N39" t="n">
        <v>131740716</v>
      </c>
      <c r="O39" t="n">
        <v>131740716</v>
      </c>
      <c r="P39" t="n">
        <v>0</v>
      </c>
      <c r="Q39" t="n">
        <v>12838650</v>
      </c>
      <c r="R39" s="67" t="n">
        <v>11554750</v>
      </c>
      <c r="S39" s="67" t="n">
        <v>1283900</v>
      </c>
      <c r="T39" s="147" t="n">
        <v>252.73</v>
      </c>
      <c r="U39" s="147" t="n">
        <v>240.09</v>
      </c>
      <c r="V39" s="169" t="n">
        <v>0.025648</v>
      </c>
      <c r="W39" s="169" t="n">
        <v>0.051297</v>
      </c>
      <c r="X39" s="170" t="inlineStr">
        <is>
          <t>At high</t>
        </is>
      </c>
      <c r="Y39" s="26" t="inlineStr">
        <is>
          <t>RMB</t>
        </is>
      </c>
      <c r="Z39" s="137" t="n">
        <v>2480472000</v>
      </c>
      <c r="AA39" s="137" t="n">
        <v>2788843000</v>
      </c>
      <c r="AB39" s="137" t="n">
        <v>3116656000</v>
      </c>
      <c r="AC39" s="137" t="n">
        <v>2031690000</v>
      </c>
      <c r="AD39" s="137" t="n">
        <v>2062602000</v>
      </c>
      <c r="AE39" s="137" t="n">
        <v>2308372000</v>
      </c>
      <c r="AF39" s="137" t="n">
        <v>448782000</v>
      </c>
      <c r="AG39" s="137" t="n">
        <v>726241000</v>
      </c>
      <c r="AH39" s="137" t="n">
        <v>808284000</v>
      </c>
      <c r="AI39" s="137" t="n">
        <v>828855000</v>
      </c>
      <c r="AJ39" s="137" t="n">
        <v>953943000</v>
      </c>
      <c r="AK39" s="137" t="n">
        <v>1408121000</v>
      </c>
      <c r="AL39" s="137" t="n">
        <v>195031000</v>
      </c>
      <c r="AM39" s="137" t="n">
        <v>171068000</v>
      </c>
      <c r="AN39" s="137" t="n">
        <v>329717000</v>
      </c>
      <c r="AO39" s="137" t="n">
        <v>179305000</v>
      </c>
      <c r="AP39" s="137" t="n">
        <v>160695000</v>
      </c>
      <c r="AQ39" s="137" t="n">
        <v>289932000</v>
      </c>
      <c r="AR39" s="142" t="n">
        <v>0.012</v>
      </c>
      <c r="AS39" s="142" t="n">
        <v>0.012</v>
      </c>
      <c r="AT39" s="84" t="n">
        <v>0.15</v>
      </c>
      <c r="AU39" s="51" t="inlineStr">
        <is>
          <t>PCB direct imaging equipment and semiconductor direct-writing lithography equipment (R&amp;D, manufacturing, sales and maintenance)</t>
        </is>
      </c>
      <c r="AV39" s="51" t="inlineStr">
        <is>
          <t>Main Board of the Stock Exchange - Chapter 19A of the Listing Rules (PRC issuer with other listed shares)</t>
        </is>
      </c>
      <c r="AW39" s="136" t="n">
        <v>46022</v>
      </c>
      <c r="AX39" s="137" t="n">
        <v>91864000</v>
      </c>
      <c r="AY39" s="117" t="n">
        <v>442714000</v>
      </c>
      <c r="AZ39" s="117" t="n">
        <v>131234000</v>
      </c>
      <c r="BA39" s="117" t="n">
        <v>0</v>
      </c>
      <c r="BB39" s="138" t="n">
        <v>0.416</v>
      </c>
      <c r="BC39" s="139" t="n">
        <v>1</v>
      </c>
      <c r="BD39" s="80" t="inlineStr">
        <is>
          <t>NaN</t>
        </is>
      </c>
      <c r="BE39" s="161" t="inlineStr">
        <is>
          <t>NaN</t>
        </is>
      </c>
      <c r="BF39" s="161" t="inlineStr">
        <is>
          <t>NaN</t>
        </is>
      </c>
      <c r="BG39" s="161" t="inlineStr">
        <is>
          <t>NaN</t>
        </is>
      </c>
      <c r="BH39" s="161" t="inlineStr">
        <is>
          <t>NaN</t>
        </is>
      </c>
      <c r="BI39" s="161" t="inlineStr">
        <is>
          <t>NaN</t>
        </is>
      </c>
      <c r="BJ39" s="162" t="inlineStr">
        <is>
          <t>NA</t>
        </is>
      </c>
      <c r="BK39" s="163" t="inlineStr">
        <is>
          <t>NaN</t>
        </is>
      </c>
      <c r="BL39" s="161" t="inlineStr">
        <is>
          <t>NaN</t>
        </is>
      </c>
      <c r="BM39" s="164" t="inlineStr">
        <is>
          <t>NA</t>
        </is>
      </c>
      <c r="BN39" s="165" t="inlineStr">
        <is>
          <t>NaN</t>
        </is>
      </c>
      <c r="BO39" s="51" t="inlineStr">
        <is>
          <t>自然人</t>
        </is>
      </c>
      <c r="BP39" s="135" t="n">
        <v>0.311</v>
      </c>
      <c r="BQ39" s="135" t="n">
        <v>0.311</v>
      </c>
      <c r="BR39" s="137" t="n">
        <v>10526000</v>
      </c>
      <c r="BS39" s="51" t="inlineStr">
        <is>
          <t>Commercialized (mass production and sales)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1</v>
      </c>
      <c r="BX39" s="77" t="n">
        <v>0</v>
      </c>
      <c r="BY39" s="77" t="n">
        <v>0</v>
      </c>
      <c r="BZ39" s="78" t="n">
        <v>0</v>
      </c>
      <c r="CA39" s="60" t="inlineStr">
        <is>
          <t>101020</t>
        </is>
      </c>
      <c r="CB39" s="76" t="inlineStr">
        <is>
          <t>HSICS (Hang Seng Industry Classification System) 2026</t>
        </is>
      </c>
      <c r="CC39" s="140" t="n">
        <v>42185</v>
      </c>
      <c r="CD39" s="171" t="n">
        <v>10.99</v>
      </c>
      <c r="CE39" s="76" t="inlineStr">
        <is>
          <t>NA</t>
        </is>
      </c>
      <c r="CF39" s="89" t="inlineStr">
        <is>
          <t>Hefei, Anhui Province, PRC</t>
        </is>
      </c>
      <c r="CG39" s="91" t="n">
        <v>1000</v>
      </c>
      <c r="CH39" s="60" t="inlineStr">
        <is>
          <t>IFRS Accounting Standards</t>
        </is>
      </c>
      <c r="CI39" s="141" t="n">
        <v>44927</v>
      </c>
      <c r="CJ39" s="141" t="n">
        <v>45291</v>
      </c>
      <c r="CK39" s="141" t="n">
        <v>45292</v>
      </c>
      <c r="CL39" s="141" t="n">
        <v>45657</v>
      </c>
      <c r="CM39" s="141" t="n">
        <v>45658</v>
      </c>
      <c r="CN39" s="64" t="n">
        <v>1408121000</v>
      </c>
      <c r="CO39" s="64" t="n">
        <v>329717000</v>
      </c>
      <c r="CP39" s="64" t="n">
        <v>289932000</v>
      </c>
      <c r="CQ39" s="141" t="n">
        <v>46190</v>
      </c>
      <c r="CR39" s="141" t="n">
        <v>46196</v>
      </c>
      <c r="CS39" s="63" t="n">
        <v>12838650</v>
      </c>
      <c r="CT39" s="64" t="n">
        <v>550958000</v>
      </c>
      <c r="CU39" s="64" t="n">
        <v>85299000</v>
      </c>
      <c r="CV39" s="59" t="inlineStr">
        <is>
          <t>Unqualified opinion</t>
        </is>
      </c>
      <c r="CW39" s="64" t="n">
        <v>90270000</v>
      </c>
      <c r="CX39" s="51" t="inlineStr">
        <is>
          <t>Hefei Jianhui; Xinyao Investment; Nexchip Semiconductor HK; JPMAMAPL; Victory Giant HK; CPE Chestnut; Lion Global; CICC FT (in connection with Greenwoods OTC Swaps); HHLR; Huadeng Victorious; Montage HK; Yonglian Investment; Monterey Park; Bosera International; China Universal (HK); Fullgoal HK and Fullgoal Fund; GF Fund; Ocean Fine Industrial; Sungrow Power HK</t>
        </is>
      </c>
      <c r="CY39" s="142" t="n">
        <v>0.4998</v>
      </c>
      <c r="CZ39" s="136" t="n">
        <v>46382</v>
      </c>
      <c r="DA39" s="143" t="n">
        <v>1007.22</v>
      </c>
      <c r="DB39" s="63" t="n">
        <v>207986</v>
      </c>
      <c r="DC39" s="63" t="n">
        <v>1293166900</v>
      </c>
      <c r="DD39" s="59" t="inlineStr">
        <is>
          <t>Subscription level 1,007.22 times</t>
        </is>
      </c>
      <c r="DE39" s="141" t="n">
        <v>46197</v>
      </c>
      <c r="DF39" s="141" t="n">
        <v>46198</v>
      </c>
      <c r="DG39" s="63" t="n">
        <v>12838650</v>
      </c>
      <c r="DH39" s="63" t="n">
        <v>1283900</v>
      </c>
      <c r="DI39" s="63" t="n">
        <v>11554750</v>
      </c>
      <c r="DJ39" s="63" t="n">
        <v>1925750</v>
      </c>
      <c r="DK39" s="169" t="n">
        <v>1</v>
      </c>
      <c r="DL39" s="59" t="inlineStr">
        <is>
          <t>Reallocation N/A; 0 Offer Shares reallocated from the International Offering (no clawback)</t>
        </is>
      </c>
      <c r="DM39" s="144" t="n">
        <v>3153100000</v>
      </c>
      <c r="DN39" s="142" t="n">
        <v>0.0888</v>
      </c>
      <c r="DO39" s="51" t="n">
        <v>144579366</v>
      </c>
      <c r="DP39" s="142" t="n">
        <v>0.0444</v>
      </c>
      <c r="DQ39" s="59" t="inlineStr">
        <is>
          <t>Free float denominator = total issued shares upon listing (col_CZ); numerator = offer shares minus cornerstone allocation</t>
        </is>
      </c>
      <c r="DR39" s="63" t="n">
        <v>144579366</v>
      </c>
      <c r="DS39" s="142" t="n">
        <v>-0.04600673</v>
      </c>
      <c r="DT39" s="80" t="n">
        <v>37</v>
      </c>
      <c r="DU39" s="142" t="n">
        <v>0.0285143</v>
      </c>
      <c r="DV39" s="144" t="n">
        <v>53886000000</v>
      </c>
      <c r="DW39" s="145" t="n">
        <v>515</v>
      </c>
      <c r="DX39" s="169" t="n">
        <v>1.037748</v>
      </c>
      <c r="DY39" s="172" t="n">
        <v>3367192735.5</v>
      </c>
      <c r="DZ39" s="146" t="n">
        <v>439</v>
      </c>
      <c r="EA39" s="146" t="n">
        <v>525.5</v>
      </c>
      <c r="EB39" s="146" t="n">
        <v>410.2</v>
      </c>
      <c r="EC39" s="63" t="n">
        <v>5849888</v>
      </c>
      <c r="ED39" s="169" t="n">
        <v>0.455647</v>
      </c>
      <c r="EE39" s="64" t="n">
        <v>2625652500</v>
      </c>
      <c r="EF39" s="60" t="inlineStr">
        <is>
          <t>Mechanism B</t>
        </is>
      </c>
      <c r="EG39" s="59" t="inlineStr">
        <is>
          <t>FINI (from 22/11/2023); 2025-08-04 pricing reform (Mechanism A/B; six-month cornerstone lock-up retained); this IPO: Mechanism B</t>
        </is>
      </c>
      <c r="EH39" t="inlineStr">
        <is>
          <t>合肥芯碁微电子装备股份有限公司</t>
        </is>
      </c>
      <c r="EI39" s="174" t="inlineStr">
        <is>
          <t>Active</t>
        </is>
      </c>
      <c r="EJ39" s="175" t="n">
        <v>281.4</v>
      </c>
      <c r="EK39" s="176" t="n">
        <v>-0.453592</v>
      </c>
      <c r="EL39" s="176" t="n">
        <v>0.113441</v>
      </c>
      <c r="EM39" s="176" t="n">
        <v>0.101067</v>
      </c>
      <c r="EN39" s="176" t="n">
        <v>0.087866</v>
      </c>
      <c r="EO39" s="179" t="n">
        <v>0.4963</v>
      </c>
      <c r="EP39" s="179" t="n">
        <v>0.5023</v>
      </c>
      <c r="EQ39" s="178" t="n">
        <v>269771705</v>
      </c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inlineStr">
        <is>
          <t>Standard</t>
        </is>
      </c>
      <c r="FF39" s="181" t="n"/>
      <c r="FG39" s="185" t="n"/>
      <c r="FH39" s="183" t="n"/>
      <c r="FI39" s="178" t="n"/>
      <c r="FJ39" s="176" t="n"/>
      <c r="FK39" s="185" t="n"/>
      <c r="FL39" s="178" t="n">
        <v>1925750</v>
      </c>
      <c r="FM39" s="176" t="n">
        <v>1</v>
      </c>
      <c r="FN39" s="176" t="n"/>
      <c r="FO39" s="176" t="n"/>
      <c r="FP39" s="176" t="n"/>
      <c r="FQ39" s="176" t="n">
        <v>-0.115728</v>
      </c>
      <c r="FR39" s="179" t="n">
        <v>0.8586</v>
      </c>
      <c r="FS39" s="176" t="n">
        <v>-0.453592</v>
      </c>
      <c r="FT39" s="179" t="n">
        <v>0.4963</v>
      </c>
      <c r="FU39" s="176" t="n">
        <v>-0.396117</v>
      </c>
      <c r="FV39" s="179" t="n"/>
      <c r="FW39" s="179" t="n"/>
      <c r="FX39" s="178" t="n">
        <v>222982168.18</v>
      </c>
      <c r="FY39" s="186" t="n"/>
      <c r="FZ39" s="183" t="n"/>
      <c r="GA39" s="176" t="n"/>
      <c r="GB39" s="176" t="n"/>
      <c r="GC39" s="185" t="n"/>
      <c r="GD39" s="185" t="n"/>
      <c r="GE39" s="176" t="n"/>
      <c r="GF39" s="176" t="n"/>
      <c r="GG39" s="179" t="n"/>
      <c r="GH39" s="181" t="inlineStr">
        <is>
          <t>CICC</t>
        </is>
      </c>
      <c r="GI39" s="183" t="n">
        <v>2</v>
      </c>
      <c r="GJ39" s="183" t="n">
        <v>0</v>
      </c>
      <c r="GK39" s="176" t="n">
        <v>0.025</v>
      </c>
      <c r="GL39" s="176" t="n">
        <v>0.01</v>
      </c>
      <c r="GM39" s="176" t="n">
        <v>0.035</v>
      </c>
      <c r="GN39" s="183" t="n"/>
      <c r="GO39" s="183" t="n">
        <v>0</v>
      </c>
      <c r="GP39" s="183" t="n">
        <v>0</v>
      </c>
      <c r="GQ39" s="183" t="n">
        <v>6</v>
      </c>
      <c r="GR39" s="183" t="n">
        <v>0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>
        <v>79</v>
      </c>
      <c r="B40" s="93" t="inlineStr">
        <is>
          <t>1191.HK</t>
        </is>
      </c>
      <c r="C40" s="59" t="inlineStr">
        <is>
          <t>Crealights Technology Co., Ltd. - H Shares</t>
        </is>
      </c>
      <c r="D40" s="190" t="n">
        <v>46191</v>
      </c>
      <c r="E40" s="190" t="n">
        <v>46202</v>
      </c>
      <c r="F40" s="60" t="inlineStr">
        <is>
          <t>Huatai Financial Holdings (Hong Kong) Limited</t>
        </is>
      </c>
      <c r="G40" s="60" t="inlineStr">
        <is>
          <t>Ernst &amp; Young</t>
        </is>
      </c>
      <c r="H40" s="60" t="n"/>
      <c r="I40" s="150" t="n">
        <v>153119100</v>
      </c>
      <c r="J40" s="148" t="n">
        <v>1607747700</v>
      </c>
      <c r="K40" s="151" t="n">
        <v>114</v>
      </c>
      <c r="L40" t="n">
        <v>89542045</v>
      </c>
      <c r="M40" s="98" t="n">
        <v>13431500</v>
      </c>
      <c r="N40" t="n">
        <v>76110545</v>
      </c>
      <c r="O40" t="n">
        <v>76110545</v>
      </c>
      <c r="P40" t="n">
        <v>0</v>
      </c>
      <c r="Q40" t="n">
        <v>13431500</v>
      </c>
      <c r="R40" s="98" t="n">
        <v>12088350</v>
      </c>
      <c r="S40" s="98" t="n">
        <v>1343150</v>
      </c>
      <c r="T40" s="152" t="n">
        <v>114</v>
      </c>
      <c r="U40" s="152" t="n">
        <v>114</v>
      </c>
      <c r="V40" s="169" t="n">
        <v>0</v>
      </c>
      <c r="W40" s="169" t="n">
        <v>0</v>
      </c>
      <c r="X40" s="170" t="inlineStr">
        <is>
          <t>Fixed price</t>
        </is>
      </c>
      <c r="Y40" s="26" t="inlineStr">
        <is>
          <t>RMB</t>
        </is>
      </c>
      <c r="Z40" s="137" t="n">
        <v>437124000</v>
      </c>
      <c r="AA40" s="137" t="n">
        <v>1011864000</v>
      </c>
      <c r="AB40" s="137" t="n">
        <v>1830013000</v>
      </c>
      <c r="AC40" s="137" t="n">
        <v>160724000</v>
      </c>
      <c r="AD40" s="137" t="n">
        <v>211663000</v>
      </c>
      <c r="AE40" s="137" t="n">
        <v>585747000</v>
      </c>
      <c r="AF40" s="137" t="n">
        <v>276400000</v>
      </c>
      <c r="AG40" s="137" t="n">
        <v>800201000</v>
      </c>
      <c r="AH40" s="137" t="n">
        <v>1244266000</v>
      </c>
      <c r="AI40" s="137" t="n">
        <v>175338000</v>
      </c>
      <c r="AJ40" s="137" t="n">
        <v>861832000</v>
      </c>
      <c r="AK40" s="137" t="n">
        <v>1221063000</v>
      </c>
      <c r="AL40" s="137" t="n">
        <v>-108564000</v>
      </c>
      <c r="AM40" s="137" t="n">
        <v>-17738000</v>
      </c>
      <c r="AN40" s="137" t="n">
        <v>-100138000</v>
      </c>
      <c r="AO40" s="137" t="n">
        <v>-108564000</v>
      </c>
      <c r="AP40" s="137" t="n">
        <v>-17895000</v>
      </c>
      <c r="AQ40" s="137" t="n">
        <v>-100138000</v>
      </c>
      <c r="AR40" s="153" t="n">
        <v>0.03</v>
      </c>
      <c r="AS40" s="153" t="n">
        <v>0.03</v>
      </c>
      <c r="AT40" s="101" t="n">
        <v>0.15</v>
      </c>
      <c r="AU40" s="102" t="inlineStr">
        <is>
          <t>Optoelectronic interconnection products (optical transceivers, AOC and others) for AI data centers</t>
        </is>
      </c>
      <c r="AV40" s="102" t="inlineStr">
        <is>
          <t>Main Board — Rule 8.05(3) market capitalisation/revenue test</t>
        </is>
      </c>
      <c r="AW40" s="154" t="n">
        <v>46022</v>
      </c>
      <c r="AX40" s="137" t="n">
        <v>-359097000</v>
      </c>
      <c r="AY40" s="117" t="n">
        <v>334040000</v>
      </c>
      <c r="AZ40" s="117" t="n">
        <v>104267000</v>
      </c>
      <c r="BA40" s="117" t="n">
        <v>0</v>
      </c>
      <c r="BB40" s="155" t="n">
        <v>0.787</v>
      </c>
      <c r="BC40" s="139" t="n">
        <v>1</v>
      </c>
      <c r="BD40" s="8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>
        <is>
          <t>Suzhou Ronglian VC; Suzhou Huiqi; Jusheng VC; Jingu Yuanxin; Suzhou Xieli VC; Suzhou Junshixieli; Junding Xieli; Jiangsu Gaotou Bondshine; Suzhou Bangsheng Yingxin; Bangsheng Juyuan; Wuxi Yuli; Suzhou Wide Band-Aid; Yuanhe; Suzhou Qina; Tianjin TEDA; Jiangsu Bohua; Beijing InfoDev Fund; Beijing ETDA Upgrade Fund II; Alibaba China; Xiaomi Zhizao; Beijing Haiju; Shanghai Handuo; Yiwu Huaxinyuanjing; Jiaxing Gaohe; Suzhou Yinji; Zhongtian Technology; Jinyuan Huifu; Juyuan Casting; Jiang Wenhao; Zhong Junqi</t>
        </is>
      </c>
      <c r="BK40" t="n">
        <v>0.6705</v>
      </c>
      <c r="BL40" t="n">
        <v>1</v>
      </c>
      <c r="BM40" t="inlineStr">
        <is>
          <t>Series Angel Financing</t>
        </is>
      </c>
      <c r="BN40" t="n">
        <v>14.09</v>
      </c>
      <c r="BO40" s="102" t="inlineStr">
        <is>
          <t>Natural person (founder); no single controlling shareholder — single largest group of Shareholders</t>
        </is>
      </c>
      <c r="BP40" s="156" t="n">
        <v>0.1795</v>
      </c>
      <c r="BQ40" s="156" t="n">
        <v>0.1795</v>
      </c>
      <c r="BR40" s="137" t="n">
        <v>852130000</v>
      </c>
      <c r="BS40" s="102" t="inlineStr">
        <is>
          <t>Mass production and commercialization stage (400G and 800G SiPh optical transceivers in mass production and delivery)</t>
        </is>
      </c>
      <c r="BT40" s="153" t="n">
        <v>0</v>
      </c>
      <c r="BU40" s="60" t="inlineStr">
        <is>
          <t>Main Board</t>
        </is>
      </c>
      <c r="BV40" s="89" t="inlineStr">
        <is>
          <t>H Shares</t>
        </is>
      </c>
      <c r="BW40" s="61" t="n">
        <v>0</v>
      </c>
      <c r="BX40" s="77" t="n">
        <v>0</v>
      </c>
      <c r="BY40" s="77" t="n">
        <v>0</v>
      </c>
      <c r="BZ40" s="78" t="n">
        <v>0</v>
      </c>
      <c r="CA40" s="60" t="inlineStr">
        <is>
          <t>101025</t>
        </is>
      </c>
      <c r="CB40" s="76" t="inlineStr">
        <is>
          <t>HSICS (Hang Seng Industry Classification System) 2026</t>
        </is>
      </c>
      <c r="CC40" s="140" t="n">
        <v>40848</v>
      </c>
      <c r="CD40" s="171" t="n">
        <v>14.66</v>
      </c>
      <c r="CE40" s="76" t="inlineStr">
        <is>
          <t>NA</t>
        </is>
      </c>
      <c r="CF40" s="89" t="inlineStr">
        <is>
          <t>Room 101, 1/F, Building 3, Compound No. 10, Liangshuihe 1st Street, Beijing Economic-Technological Development Area, Beijing, PRC</t>
        </is>
      </c>
      <c r="CG40" s="91" t="n">
        <v>1000</v>
      </c>
      <c r="CH40" s="60" t="inlineStr">
        <is>
          <t>IFRS Accounting Standards</t>
        </is>
      </c>
      <c r="CI40" s="141" t="n">
        <v>44927</v>
      </c>
      <c r="CJ40" s="141" t="n">
        <v>45291</v>
      </c>
      <c r="CK40" s="141" t="n">
        <v>45292</v>
      </c>
      <c r="CL40" s="141" t="n">
        <v>45657</v>
      </c>
      <c r="CM40" s="141" t="n">
        <v>45658</v>
      </c>
      <c r="CN40" s="64" t="n">
        <v>1221063000</v>
      </c>
      <c r="CO40" s="64" t="n">
        <v>-100138000</v>
      </c>
      <c r="CP40" s="64" t="n">
        <v>-100138000</v>
      </c>
      <c r="CQ40" s="141" t="n">
        <v>46191</v>
      </c>
      <c r="CR40" s="141" t="n">
        <v>46197</v>
      </c>
      <c r="CS40" s="63" t="n">
        <v>89542045</v>
      </c>
      <c r="CT40" s="64" t="n">
        <v>109756000</v>
      </c>
      <c r="CU40" s="64" t="n">
        <v>124152000</v>
      </c>
      <c r="CV40" s="59" t="inlineStr">
        <is>
          <t>Unqualified opinion (true and fair view)</t>
        </is>
      </c>
      <c r="CW40" s="64" t="n">
        <v>116000000</v>
      </c>
      <c r="CX40" s="102" t="inlineStr">
        <is>
          <t>JSC International Investment Fund SPC (acting for and on behalf of Jingxin SP); Winwin Technology Investment Co., Limited; Kingsoft Cloud Network Corporation Limited; UBS Asset Management (Singapore) Ltd.; Perseverance Asset Management International (Singapore) Pte. Ltd.; E Fund Management Co., Ltd. and E Fund Management (Hong Kong) Co., Ltd.</t>
        </is>
      </c>
      <c r="CY40" s="153" t="n">
        <v>0.498541</v>
      </c>
      <c r="CZ40" s="154" t="n">
        <v>46385</v>
      </c>
      <c r="DA40" s="143" t="n">
        <v>1296.89</v>
      </c>
      <c r="DB40" s="63" t="n">
        <v>185373</v>
      </c>
      <c r="DC40" s="63" t="n">
        <v>1741912550</v>
      </c>
      <c r="DD40" s="59" t="inlineStr">
        <is>
          <t>Subscription level 1,296.89 times</t>
        </is>
      </c>
      <c r="DE40" s="141" t="inlineStr">
        <is>
          <t>NA</t>
        </is>
      </c>
      <c r="DF40" s="141" t="n">
        <v>46199</v>
      </c>
      <c r="DG40" s="63" t="n">
        <v>13431500</v>
      </c>
      <c r="DH40" s="63" t="n">
        <v>1343150</v>
      </c>
      <c r="DI40" s="63" t="n">
        <v>12088350</v>
      </c>
      <c r="DJ40" s="63" t="n">
        <v>2014700</v>
      </c>
      <c r="DK40" s="169" t="n">
        <v>1</v>
      </c>
      <c r="DL40" s="59" t="inlineStr">
        <is>
          <t>Claw-back triggered: N/A; No. of Offer Shares reallocated from the International Offering (claw-back): N/A; final HK public offer 1,343,150 shares (10.00%) unchanged.</t>
        </is>
      </c>
      <c r="DM40" s="157" t="n">
        <v>1415320000</v>
      </c>
      <c r="DN40" s="153" t="n">
        <v>0.5098</v>
      </c>
      <c r="DO40" s="102" t="n">
        <v>89542045</v>
      </c>
      <c r="DP40" s="153" t="n">
        <v>0.0752</v>
      </c>
      <c r="DQ40" s="59" t="inlineStr">
        <is>
          <t>Free float denominator = number of issued Shares upon Listing before exercise of the Over-allotment Option (col_CZ = 89,542,045); numerator = Offer Shares under the Global Offering (13,431,500) minus cornerstone allocation (6,696,150) = 6,735,350 H Shares.</t>
        </is>
      </c>
      <c r="DR40" s="63" t="n">
        <v>89542045</v>
      </c>
      <c r="DS40" s="153" t="n">
        <v>-0.05758968</v>
      </c>
      <c r="DT40" s="80" t="n">
        <v>38</v>
      </c>
      <c r="DU40" s="153" t="n">
        <v>0.0295905</v>
      </c>
      <c r="DV40" s="157" t="n">
        <v>53885000000</v>
      </c>
      <c r="DW40" s="158" t="n">
        <v>165</v>
      </c>
      <c r="DX40" s="169" t="n">
        <v>0.447368</v>
      </c>
      <c r="DY40" s="172" t="n">
        <v>685006500</v>
      </c>
      <c r="DZ40" s="146" t="n">
        <v>199.9</v>
      </c>
      <c r="EA40" s="146" t="n">
        <v>213</v>
      </c>
      <c r="EB40" s="146" t="n">
        <v>150</v>
      </c>
      <c r="EC40" s="63" t="n">
        <v>5151277</v>
      </c>
      <c r="ED40" s="169" t="n">
        <v>0.383522</v>
      </c>
      <c r="EE40" s="64" t="n">
        <v>988152290</v>
      </c>
      <c r="EF40" s="60" t="inlineStr">
        <is>
          <t>Mechanism A</t>
        </is>
      </c>
      <c r="EG40" s="59" t="inlineStr">
        <is>
          <t>FINI (from 22/11/2023); 2025-08-04 pricing reform (Mechanism A/B; six-month cornerstone lock-up retained); this IPO: Mechanism A</t>
        </is>
      </c>
      <c r="EH40" t="inlineStr">
        <is>
          <t>北京海光芯正科技股份有限公司</t>
        </is>
      </c>
      <c r="EI40" s="174" t="inlineStr">
        <is>
          <t>Active</t>
        </is>
      </c>
      <c r="EJ40" s="175" t="n">
        <v>81</v>
      </c>
      <c r="EK40" s="176" t="n">
        <v>-0.509091</v>
      </c>
      <c r="EL40" s="176" t="n">
        <v>-0.289474</v>
      </c>
      <c r="EM40" s="176" t="n">
        <v>0.094695</v>
      </c>
      <c r="EN40" s="176" t="n">
        <v>0.07034799999999999</v>
      </c>
      <c r="EO40" s="179" t="n">
        <v>0.4484</v>
      </c>
      <c r="EP40" s="179" t="n">
        <v>0.4586</v>
      </c>
      <c r="EQ40" s="178" t="n">
        <v>137889973</v>
      </c>
      <c r="ER40" s="175" t="n"/>
      <c r="ES40" s="176" t="n"/>
      <c r="ET40" s="176" t="n"/>
      <c r="EU40" s="176" t="n"/>
      <c r="EV40" s="176" t="n"/>
      <c r="EW40" s="179" t="n"/>
      <c r="EX40" s="179" t="n"/>
      <c r="EY40" s="178" t="n"/>
      <c r="EZ40" s="176" t="n"/>
      <c r="FA40" s="176" t="n"/>
      <c r="FB40" s="179" t="n"/>
      <c r="FC40" s="176" t="n"/>
      <c r="FD40" s="179" t="n"/>
      <c r="FE40" s="174" t="inlineStr">
        <is>
          <t>Standard</t>
        </is>
      </c>
      <c r="FF40" s="181" t="n"/>
      <c r="FG40" s="185" t="n"/>
      <c r="FH40" s="183" t="n"/>
      <c r="FI40" s="178" t="n"/>
      <c r="FJ40" s="176" t="n"/>
      <c r="FK40" s="185" t="inlineStr">
        <is>
          <t>2026-07-08</t>
        </is>
      </c>
      <c r="FL40" s="178" t="n">
        <v>2014700</v>
      </c>
      <c r="FM40" s="176" t="n">
        <v>1</v>
      </c>
      <c r="FN40" s="176" t="n"/>
      <c r="FO40" s="176" t="n"/>
      <c r="FP40" s="176" t="n"/>
      <c r="FQ40" s="176" t="n">
        <v>0.130909</v>
      </c>
      <c r="FR40" s="179" t="n">
        <v>1.1027</v>
      </c>
      <c r="FS40" s="176" t="n">
        <v>-0.509091</v>
      </c>
      <c r="FT40" s="179" t="n">
        <v>0.4484</v>
      </c>
      <c r="FU40" s="176" t="n">
        <v>-0.173939</v>
      </c>
      <c r="FV40" s="179" t="n"/>
      <c r="FW40" s="179" t="n"/>
      <c r="FX40" s="178" t="n">
        <v>143274774.55</v>
      </c>
      <c r="FY40" s="186" t="n"/>
      <c r="FZ40" s="183" t="n"/>
      <c r="GA40" s="176" t="n"/>
      <c r="GB40" s="176" t="n"/>
      <c r="GC40" s="185" t="n"/>
      <c r="GD40" s="185" t="n"/>
      <c r="GE40" s="176" t="n"/>
      <c r="GF40" s="176" t="n"/>
      <c r="GG40" s="179" t="n"/>
      <c r="GH40" s="181" t="inlineStr">
        <is>
          <t>CICC</t>
        </is>
      </c>
      <c r="GI40" s="183" t="n">
        <v>2</v>
      </c>
      <c r="GJ40" s="183" t="n">
        <v>0</v>
      </c>
      <c r="GK40" s="176" t="n">
        <v>0.025</v>
      </c>
      <c r="GL40" s="176" t="n">
        <v>0.01</v>
      </c>
      <c r="GM40" s="176" t="n">
        <v>0.035</v>
      </c>
      <c r="GN40" s="183" t="n"/>
      <c r="GO40" s="183" t="n">
        <v>0</v>
      </c>
      <c r="GP40" s="183" t="n">
        <v>0</v>
      </c>
      <c r="GQ40" s="183" t="n">
        <v>6</v>
      </c>
      <c r="GR40" s="183" t="n">
        <v>0</v>
      </c>
      <c r="GS40" s="181" t="inlineStr">
        <is>
          <t>POST_FINI</t>
        </is>
      </c>
      <c r="GT40" s="181" t="inlineStr">
        <is>
          <t>POST_2025_REFORM</t>
        </is>
      </c>
    </row>
    <row r="41" ht="31.5" customFormat="1" customHeight="1" s="12">
      <c r="A41" s="60" t="n">
        <v>80</v>
      </c>
      <c r="B41" s="93" t="inlineStr">
        <is>
          <t>2672.HK</t>
        </is>
      </c>
      <c r="C41" s="59" t="inlineStr">
        <is>
          <t>Baige Online Digital Technology Co., Ltd. - H Shares</t>
        </is>
      </c>
      <c r="D41" s="190" t="n">
        <v>46191</v>
      </c>
      <c r="E41" s="190" t="n">
        <v>46202</v>
      </c>
      <c r="F41" s="60" t="inlineStr">
        <is>
          <t>CMBC International Capital Limited / 
BOCI Asia Limited</t>
        </is>
      </c>
      <c r="G41" s="60" t="inlineStr">
        <is>
          <t>RSM Hong Kong</t>
        </is>
      </c>
      <c r="H41" s="60" t="n"/>
      <c r="I41" s="150" t="n">
        <v>52019760</v>
      </c>
      <c r="J41" s="148" t="n">
        <v>468152880</v>
      </c>
      <c r="K41" s="151" t="n">
        <v>15.6</v>
      </c>
      <c r="L41" t="n">
        <v>320620632</v>
      </c>
      <c r="M41" s="98" t="n">
        <v>33344400</v>
      </c>
      <c r="N41" t="n">
        <v>287276232</v>
      </c>
      <c r="O41" t="n">
        <v>287276232</v>
      </c>
      <c r="P41" t="n">
        <v>0</v>
      </c>
      <c r="Q41" t="n">
        <v>33344400</v>
      </c>
      <c r="R41" s="98" t="n">
        <v>30009800</v>
      </c>
      <c r="S41" s="98" t="n">
        <v>3334600</v>
      </c>
      <c r="T41" s="152" t="n">
        <v>20.28</v>
      </c>
      <c r="U41" s="152" t="n">
        <v>15.6</v>
      </c>
      <c r="V41" s="169" t="n">
        <v>-0.130435</v>
      </c>
      <c r="W41" s="169" t="n">
        <v>0.26087</v>
      </c>
      <c r="X41" s="170" t="inlineStr">
        <is>
          <t>At low</t>
        </is>
      </c>
      <c r="Y41" s="26" t="inlineStr">
        <is>
          <t>RMB</t>
        </is>
      </c>
      <c r="Z41" s="137" t="n">
        <v>186439000</v>
      </c>
      <c r="AA41" s="137" t="n">
        <v>235433000</v>
      </c>
      <c r="AB41" s="137" t="n">
        <v>249480000</v>
      </c>
      <c r="AC41" s="137" t="n">
        <v>-8705000</v>
      </c>
      <c r="AD41" s="137" t="n">
        <v>-18746000</v>
      </c>
      <c r="AE41" s="137" t="n">
        <v>-47830000</v>
      </c>
      <c r="AF41" s="137" t="n">
        <v>195144000</v>
      </c>
      <c r="AG41" s="137" t="n">
        <v>254179000</v>
      </c>
      <c r="AH41" s="137" t="n">
        <v>297310000</v>
      </c>
      <c r="AI41" s="137" t="n">
        <v>659902000</v>
      </c>
      <c r="AJ41" s="137" t="n">
        <v>914181000</v>
      </c>
      <c r="AK41" s="137" t="n">
        <v>1227123000</v>
      </c>
      <c r="AL41" s="137" t="n">
        <v>-17295000</v>
      </c>
      <c r="AM41" s="137" t="n">
        <v>-27377000</v>
      </c>
      <c r="AN41" s="137" t="n">
        <v>-46738000</v>
      </c>
      <c r="AO41" s="137" t="n">
        <v>-17180000</v>
      </c>
      <c r="AP41" s="137" t="n">
        <v>-27712000</v>
      </c>
      <c r="AQ41" s="137" t="n">
        <v>-46669000</v>
      </c>
      <c r="AR41" s="153" t="n">
        <v>0.025</v>
      </c>
      <c r="AS41" s="153" t="n">
        <v>0.025</v>
      </c>
      <c r="AT41" s="101" t="n">
        <v>0.15</v>
      </c>
      <c r="AU41" s="102" t="inlineStr">
        <is>
          <t>InsurTech; technology-empowered insurance intermediary services</t>
        </is>
      </c>
      <c r="AV41" s="102" t="inlineStr">
        <is>
          <t>Main Board — Rule 8.05(3) market capitalisation/revenue test (Chapter 8)</t>
        </is>
      </c>
      <c r="AW41" s="154" t="n">
        <v>46022</v>
      </c>
      <c r="AX41" s="137" t="n">
        <v>20139000</v>
      </c>
      <c r="AY41" s="117" t="n">
        <v>94031000</v>
      </c>
      <c r="AZ41" s="117" t="n">
        <v>35102000</v>
      </c>
      <c r="BA41" s="117" t="n">
        <v>0</v>
      </c>
      <c r="BB41" s="155" t="n">
        <v>0.5590000000000001</v>
      </c>
      <c r="BC41" s="139" t="n">
        <v>1</v>
      </c>
      <c r="BD41" s="80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NaN</t>
        </is>
      </c>
      <c r="BJ41" t="inlineStr">
        <is>
          <t>Xiamen Huicheng; New Hope; Xiamen Meitong Luqi; Mr. Lin Baojie; Jiaxing Mianmiao; Prolight; Fujian Yongchun; Minyin Sci-Tech</t>
        </is>
      </c>
      <c r="BK41" t="n">
        <v>0.2248</v>
      </c>
      <c r="BL41" t="n">
        <v>1</v>
      </c>
      <c r="BM41" t="inlineStr">
        <is>
          <t>Angel investment</t>
        </is>
      </c>
      <c r="BN41" t="n">
        <v>7.98</v>
      </c>
      <c r="BO41" s="102" t="inlineStr">
        <is>
          <t>Founder-controlled (individual)</t>
        </is>
      </c>
      <c r="BP41" s="156" t="n">
        <v>0.498</v>
      </c>
      <c r="BQ41" s="156" t="n">
        <v>0.498</v>
      </c>
      <c r="BR41" s="137" t="n">
        <v>115207000</v>
      </c>
      <c r="BS41" s="102" t="inlineStr">
        <is>
          <t>Early commercialization stage</t>
        </is>
      </c>
      <c r="BT41" s="153" t="inlineStr">
        <is>
          <t>NaN</t>
        </is>
      </c>
      <c r="BU41" s="60" t="inlineStr">
        <is>
          <t>Main Board</t>
        </is>
      </c>
      <c r="BV41" s="89" t="inlineStr">
        <is>
          <t>H Shares</t>
        </is>
      </c>
      <c r="BW41" s="61" t="n">
        <v>0</v>
      </c>
      <c r="BX41" s="77" t="n">
        <v>0</v>
      </c>
      <c r="BY41" s="77" t="n">
        <v>0</v>
      </c>
      <c r="BZ41" s="78" t="n">
        <v>0</v>
      </c>
      <c r="CA41" s="60" t="inlineStr">
        <is>
          <t>502010</t>
        </is>
      </c>
      <c r="CB41" s="76" t="inlineStr">
        <is>
          <t>HSICS (Hang Seng Industry Classification System) 2026</t>
        </is>
      </c>
      <c r="CC41" s="140" t="n">
        <v>42111</v>
      </c>
      <c r="CD41" s="171" t="n">
        <v>11.2</v>
      </c>
      <c r="CE41" s="76" t="inlineStr">
        <is>
          <t>NA</t>
        </is>
      </c>
      <c r="CF41" s="89" t="inlineStr">
        <is>
          <t>Room 2402, No.491 Gaolin Middle Road, Huli District, Xiamen, Fujian Province, PRC</t>
        </is>
      </c>
      <c r="CG41" s="91" t="n">
        <v>1000</v>
      </c>
      <c r="CH41" s="60" t="inlineStr">
        <is>
          <t>HKFRS</t>
        </is>
      </c>
      <c r="CI41" s="141" t="n">
        <v>44927</v>
      </c>
      <c r="CJ41" s="141" t="n">
        <v>45291</v>
      </c>
      <c r="CK41" s="141" t="n">
        <v>45292</v>
      </c>
      <c r="CL41" s="141" t="n">
        <v>45657</v>
      </c>
      <c r="CM41" s="141" t="n">
        <v>45658</v>
      </c>
      <c r="CN41" s="64" t="n">
        <v>1227123000</v>
      </c>
      <c r="CO41" s="64" t="n">
        <v>-46738000</v>
      </c>
      <c r="CP41" s="64" t="n">
        <v>-46669000</v>
      </c>
      <c r="CQ41" s="141" t="n">
        <v>46191</v>
      </c>
      <c r="CR41" s="141" t="n">
        <v>46197</v>
      </c>
      <c r="CS41" s="63" t="n">
        <v>150963472</v>
      </c>
      <c r="CT41" s="64" t="n">
        <v>102798000</v>
      </c>
      <c r="CU41" s="64" t="n">
        <v>4200000</v>
      </c>
      <c r="CV41" s="59" t="inlineStr">
        <is>
          <t>Unqualified opinion (true and fair view)</t>
        </is>
      </c>
      <c r="CW41" s="64" t="n">
        <v>57500000</v>
      </c>
      <c r="CX41" s="102" t="inlineStr">
        <is>
          <t>GLY New Mobility 2. LP; Mr. Ke Jiaqi</t>
        </is>
      </c>
      <c r="CY41" s="153" t="n">
        <v>0.0384</v>
      </c>
      <c r="CZ41" s="154" t="n">
        <v>46385</v>
      </c>
      <c r="DA41" s="143" t="n">
        <v>242.05</v>
      </c>
      <c r="DB41" s="63" t="n">
        <v>44599</v>
      </c>
      <c r="DC41" s="63" t="n">
        <v>807145000</v>
      </c>
      <c r="DD41" s="59" t="inlineStr">
        <is>
          <t>Subscription level 242.05 times</t>
        </is>
      </c>
      <c r="DE41" s="141" t="inlineStr">
        <is>
          <t>NA</t>
        </is>
      </c>
      <c r="DF41" s="141" t="n">
        <v>46199</v>
      </c>
      <c r="DG41" s="63" t="n">
        <v>33344400</v>
      </c>
      <c r="DH41" s="63" t="n">
        <v>3334600</v>
      </c>
      <c r="DI41" s="63" t="n">
        <v>30009800</v>
      </c>
      <c r="DJ41" s="63" t="n">
        <v>0</v>
      </c>
      <c r="DK41" s="169" t="n">
        <v>0</v>
      </c>
      <c r="DL41" s="59" t="inlineStr">
        <is>
          <t>Claw-back triggered N/A</t>
        </is>
      </c>
      <c r="DM41" s="157" t="n">
        <v>465790457</v>
      </c>
      <c r="DN41" s="153" t="n">
        <v>0.2569</v>
      </c>
      <c r="DO41" s="102" t="n">
        <v>320620632</v>
      </c>
      <c r="DP41" s="153" t="n">
        <v>0.1</v>
      </c>
      <c r="DQ41" s="59" t="inlineStr">
        <is>
          <t>Free float denominator = total issued shares upon listing (col_CZ); numerator = offer shares minus cornerstone allocation</t>
        </is>
      </c>
      <c r="DR41" s="63" t="n">
        <v>320620632</v>
      </c>
      <c r="DS41" s="153" t="n">
        <v>-0.05758968</v>
      </c>
      <c r="DT41" s="80" t="n">
        <v>38</v>
      </c>
      <c r="DU41" s="153" t="n">
        <v>0.0295905</v>
      </c>
      <c r="DV41" s="157" t="n">
        <v>53885000000</v>
      </c>
      <c r="DW41" s="158" t="n">
        <v>73</v>
      </c>
      <c r="DX41" s="169" t="n">
        <v>3.679487</v>
      </c>
      <c r="DY41" s="172" t="n">
        <v>1913968560</v>
      </c>
      <c r="DZ41" s="146" t="n">
        <v>61.1</v>
      </c>
      <c r="EA41" s="146" t="n">
        <v>73.59999999999999</v>
      </c>
      <c r="EB41" s="146" t="n">
        <v>60.1</v>
      </c>
      <c r="EC41" s="63" t="n">
        <v>6080000</v>
      </c>
      <c r="ED41" s="169" t="n">
        <v>0.182339</v>
      </c>
      <c r="EE41" s="64" t="n">
        <v>387403700</v>
      </c>
      <c r="EF41" s="60" t="inlineStr">
        <is>
          <t>Mechanism B</t>
        </is>
      </c>
      <c r="EG41" s="59" t="inlineStr">
        <is>
          <t>FINI (from 22/11/2023); 2025-08-04 pricing reform (Mechanism A/B; six-month cornerstone lock-up retained); this IPO: Mechanism B</t>
        </is>
      </c>
      <c r="EH41" t="inlineStr">
        <is>
          <t>白鸽在线（厦门）数字科技股份有限公司</t>
        </is>
      </c>
      <c r="EI41" s="174" t="inlineStr">
        <is>
          <t>Active</t>
        </is>
      </c>
      <c r="EJ41" s="175" t="n">
        <v>61.95</v>
      </c>
      <c r="EK41" s="176" t="n">
        <v>-0.15137</v>
      </c>
      <c r="EL41" s="176" t="n">
        <v>2.971154</v>
      </c>
      <c r="EM41" s="176" t="n">
        <v>0.094695</v>
      </c>
      <c r="EN41" s="176" t="n">
        <v>0.07034799999999999</v>
      </c>
      <c r="EO41" s="179" t="n">
        <v>0.7752</v>
      </c>
      <c r="EP41" s="179" t="n">
        <v>0.7929</v>
      </c>
      <c r="EQ41" s="178" t="n">
        <v>33305320</v>
      </c>
      <c r="ER41" s="175" t="n"/>
      <c r="ES41" s="176" t="n"/>
      <c r="ET41" s="176" t="n"/>
      <c r="EU41" s="176" t="n"/>
      <c r="EV41" s="176" t="n"/>
      <c r="EW41" s="179" t="n"/>
      <c r="EX41" s="179" t="n"/>
      <c r="EY41" s="178" t="n"/>
      <c r="EZ41" s="176" t="n"/>
      <c r="FA41" s="176" t="n"/>
      <c r="FB41" s="179" t="n"/>
      <c r="FC41" s="176" t="n"/>
      <c r="FD41" s="179" t="n"/>
      <c r="FE41" s="174" t="inlineStr">
        <is>
          <t>Standard</t>
        </is>
      </c>
      <c r="FF41" s="181" t="inlineStr">
        <is>
          <t>CMBC Securities Company Limited</t>
        </is>
      </c>
      <c r="FG41" s="185" t="n"/>
      <c r="FH41" s="183" t="n"/>
      <c r="FI41" s="178" t="n"/>
      <c r="FJ41" s="176" t="n"/>
      <c r="FK41" s="185" t="inlineStr">
        <is>
          <t>2026-06-18</t>
        </is>
      </c>
      <c r="FL41" s="178" t="n">
        <v>0</v>
      </c>
      <c r="FM41" s="176" t="n">
        <v>0</v>
      </c>
      <c r="FN41" s="176" t="n"/>
      <c r="FO41" s="176" t="n"/>
      <c r="FP41" s="176" t="n"/>
      <c r="FQ41" s="176" t="n">
        <v>-0.174658</v>
      </c>
      <c r="FR41" s="179" t="n">
        <v>0.8047</v>
      </c>
      <c r="FS41" s="176" t="n">
        <v>-0.15137</v>
      </c>
      <c r="FT41" s="179" t="n">
        <v>0.7752</v>
      </c>
      <c r="FU41" s="176" t="n">
        <v>-0.19726</v>
      </c>
      <c r="FV41" s="179" t="n"/>
      <c r="FW41" s="179" t="n"/>
      <c r="FX41" s="178" t="n">
        <v>47454051.52</v>
      </c>
      <c r="FY41" s="186" t="n"/>
      <c r="FZ41" s="183" t="n"/>
      <c r="GA41" s="176" t="n"/>
      <c r="GB41" s="176" t="n"/>
      <c r="GC41" s="185" t="inlineStr">
        <is>
          <t>2026-12-30</t>
        </is>
      </c>
      <c r="GD41" s="185" t="inlineStr">
        <is>
          <t>2027-06-29</t>
        </is>
      </c>
      <c r="GE41" s="176" t="n"/>
      <c r="GF41" s="176" t="n"/>
      <c r="GG41" s="179" t="n"/>
      <c r="GH41" s="181" t="inlineStr">
        <is>
          <t>CICC</t>
        </is>
      </c>
      <c r="GI41" s="183" t="n">
        <v>2</v>
      </c>
      <c r="GJ41" s="183" t="n">
        <v>0</v>
      </c>
      <c r="GK41" s="176" t="n">
        <v>0.025</v>
      </c>
      <c r="GL41" s="176" t="n">
        <v>0.01</v>
      </c>
      <c r="GM41" s="176" t="n">
        <v>0.035</v>
      </c>
      <c r="GN41" s="183" t="n"/>
      <c r="GO41" s="183" t="n">
        <v>0</v>
      </c>
      <c r="GP41" s="183" t="n">
        <v>0</v>
      </c>
      <c r="GQ41" s="183" t="n">
        <v>6</v>
      </c>
      <c r="GR41" s="183" t="n">
        <v>0</v>
      </c>
      <c r="GS41" s="181" t="inlineStr">
        <is>
          <t>POST_FINI</t>
        </is>
      </c>
      <c r="GT41" s="181" t="inlineStr">
        <is>
          <t>POST_2025_REFORM</t>
        </is>
      </c>
    </row>
    <row r="42" ht="17.25" customFormat="1" customHeight="1" s="12">
      <c r="A42" s="60" t="n">
        <v>81</v>
      </c>
      <c r="B42" s="93" t="inlineStr">
        <is>
          <t>9637.HK</t>
        </is>
      </c>
      <c r="C42" s="59" t="inlineStr">
        <is>
          <t>Alebund Pharmaceuticals (Jiangsu) Limited - B - H Shares</t>
        </is>
      </c>
      <c r="D42" s="190" t="n">
        <v>46191</v>
      </c>
      <c r="E42" s="190" t="n">
        <v>46202</v>
      </c>
      <c r="F42" s="60" t="inlineStr">
        <is>
          <t>Jefferies Hong Kong Limited /
Merrill Lynch (Asia Pacific) Limited /
Huatai Financial Holdings (Hong Kong) Limited</t>
        </is>
      </c>
      <c r="G42" s="60" t="inlineStr">
        <is>
          <t>Ernst &amp; Young</t>
        </is>
      </c>
      <c r="H42" s="60" t="inlineStr">
        <is>
          <t>AVISTA Valuation Advisory Limited</t>
        </is>
      </c>
      <c r="I42" s="150" t="n">
        <v>128268560</v>
      </c>
      <c r="J42" s="148" t="n">
        <v>1346804060</v>
      </c>
      <c r="K42" s="151" t="n">
        <v>22.6</v>
      </c>
      <c r="L42" t="n">
        <v>339852231</v>
      </c>
      <c r="M42" s="98" t="n">
        <v>56755400</v>
      </c>
      <c r="N42" t="n">
        <v>283096831</v>
      </c>
      <c r="O42" t="n">
        <v>283096831</v>
      </c>
      <c r="P42" t="n">
        <v>0</v>
      </c>
      <c r="Q42" t="n">
        <v>56755400</v>
      </c>
      <c r="R42" s="98" t="n">
        <v>51079800</v>
      </c>
      <c r="S42" s="98" t="n">
        <v>5675600</v>
      </c>
      <c r="T42" s="152" t="n">
        <v>22.6</v>
      </c>
      <c r="U42" s="152" t="n">
        <v>22.6</v>
      </c>
      <c r="V42" s="169" t="n">
        <v>0</v>
      </c>
      <c r="W42" s="169" t="n">
        <v>0</v>
      </c>
      <c r="X42" s="170" t="inlineStr">
        <is>
          <t>Fixed price</t>
        </is>
      </c>
      <c r="Y42" s="26" t="inlineStr">
        <is>
          <t>RMB</t>
        </is>
      </c>
      <c r="Z42" s="137" t="inlineStr">
        <is>
          <t>NaN</t>
        </is>
      </c>
      <c r="AA42" s="137" t="n">
        <v>1109140000</v>
      </c>
      <c r="AB42" s="137" t="n">
        <v>1339932000</v>
      </c>
      <c r="AC42" s="137" t="inlineStr">
        <is>
          <t>NaN</t>
        </is>
      </c>
      <c r="AD42" s="137" t="n">
        <v>-1341193000</v>
      </c>
      <c r="AE42" s="137" t="n">
        <v>503243000</v>
      </c>
      <c r="AF42" s="137" t="inlineStr">
        <is>
          <t>NaN</t>
        </is>
      </c>
      <c r="AG42" s="137" t="n">
        <v>2450333000</v>
      </c>
      <c r="AH42" s="137" t="n">
        <v>836689000</v>
      </c>
      <c r="AI42" s="137" t="inlineStr">
        <is>
          <t>NaN</t>
        </is>
      </c>
      <c r="AJ42" s="137" t="n">
        <v>6525000</v>
      </c>
      <c r="AK42" s="137" t="n">
        <v>30556000</v>
      </c>
      <c r="AL42" s="137" t="inlineStr">
        <is>
          <t>NaN</t>
        </is>
      </c>
      <c r="AM42" s="137" t="n">
        <v>-335130000</v>
      </c>
      <c r="AN42" s="137" t="n">
        <v>-751819000</v>
      </c>
      <c r="AO42" s="137" t="inlineStr">
        <is>
          <t>NaN</t>
        </is>
      </c>
      <c r="AP42" s="137" t="n">
        <v>-335130000</v>
      </c>
      <c r="AQ42" s="137" t="n">
        <v>-751819000</v>
      </c>
      <c r="AR42" s="153" t="n">
        <v>0.03</v>
      </c>
      <c r="AS42" s="153" t="n">
        <v>0.03</v>
      </c>
      <c r="AT42" s="101" t="n">
        <v>0.15</v>
      </c>
      <c r="AU42" s="102" t="inlineStr">
        <is>
          <t>Biopharmaceutical - development, manufacturing and commercialization of renal therapies and products</t>
        </is>
      </c>
      <c r="AV42" s="102" t="inlineStr">
        <is>
          <t>Chapter 18A of the Listing Rules (biotech company)</t>
        </is>
      </c>
      <c r="AW42" s="154" t="n">
        <v>46022</v>
      </c>
      <c r="AX42" s="137" t="n">
        <v>-287888000</v>
      </c>
      <c r="AY42" s="117" t="n">
        <v>358325000</v>
      </c>
      <c r="AZ42" s="117" t="n">
        <v>372574000</v>
      </c>
      <c r="BA42" s="117" t="n">
        <v>0</v>
      </c>
      <c r="BB42" s="155" t="n">
        <v>1</v>
      </c>
      <c r="BC42" s="139" t="n">
        <v>1</v>
      </c>
      <c r="BD42" s="80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inlineStr">
        <is>
          <t>Tencent; Guojin Group; LAV USD; Quan Capital; Loyal Valley Capital; Shanghai Liyi; GIC; 3H; 3E; Dezhou Liangyi; Huagai Capital; Beijing New Dynamic II; Sherpa; Octagon; Morningside Venture</t>
        </is>
      </c>
      <c r="BK42" t="n">
        <v>0.754982</v>
      </c>
      <c r="BL42" t="n">
        <v>1</v>
      </c>
      <c r="BM42" t="inlineStr">
        <is>
          <t>May 2018 Investment</t>
        </is>
      </c>
      <c r="BN42" t="n">
        <v>7.3</v>
      </c>
      <c r="BO42" s="102" t="inlineStr">
        <is>
          <t>Individual founder (acting-in-concert group led by Dr. Gavin Xia)</t>
        </is>
      </c>
      <c r="BP42" s="156" t="n">
        <v>0.2041</v>
      </c>
      <c r="BQ42" s="156" t="n">
        <v>0.2041</v>
      </c>
      <c r="BR42" s="137" t="n">
        <v>549420000</v>
      </c>
      <c r="BS42" s="102" t="inlineStr">
        <is>
          <t>Clinical-stage biopharmaceutical company with one commercialized product; product candidates in clinical and preclinical stages</t>
        </is>
      </c>
      <c r="BT42" s="153" t="n">
        <v>0</v>
      </c>
      <c r="BU42" s="60" t="inlineStr">
        <is>
          <t>Main Board</t>
        </is>
      </c>
      <c r="BV42" s="89" t="inlineStr">
        <is>
          <t>H Shares</t>
        </is>
      </c>
      <c r="BW42" s="61" t="n">
        <v>0</v>
      </c>
      <c r="BX42" s="77" t="n">
        <v>0</v>
      </c>
      <c r="BY42" s="77" t="n">
        <v>1</v>
      </c>
      <c r="BZ42" s="78" t="n">
        <v>0</v>
      </c>
      <c r="CA42" s="60" t="inlineStr">
        <is>
          <t>281010</t>
        </is>
      </c>
      <c r="CB42" s="76" t="inlineStr">
        <is>
          <t>HSICS (Hang Seng Industry Classification System) 2026</t>
        </is>
      </c>
      <c r="CC42" s="140" t="n">
        <v>44336</v>
      </c>
      <c r="CD42" s="171" t="n">
        <v>5.11</v>
      </c>
      <c r="CE42" s="76" t="inlineStr">
        <is>
          <t>NA</t>
        </is>
      </c>
      <c r="CF42" s="89" t="inlineStr">
        <is>
          <t>Building 7, No. 7 Jinzhuang Road, Hanjiang District, Yangzhou City, Jiangsu Province, PRC</t>
        </is>
      </c>
      <c r="CG42" s="91" t="n">
        <v>1000</v>
      </c>
      <c r="CH42" s="60" t="inlineStr">
        <is>
          <t>IFRS Accounting Standards</t>
        </is>
      </c>
      <c r="CI42" s="141" t="n">
        <v>44927</v>
      </c>
      <c r="CJ42" s="141" t="n">
        <v>45291</v>
      </c>
      <c r="CK42" s="141" t="n">
        <v>45292</v>
      </c>
      <c r="CL42" s="141" t="n">
        <v>45657</v>
      </c>
      <c r="CM42" s="141" t="n">
        <v>45658</v>
      </c>
      <c r="CN42" s="64" t="n">
        <v>30556000</v>
      </c>
      <c r="CO42" s="64" t="n">
        <v>-751819000</v>
      </c>
      <c r="CP42" s="64" t="n">
        <v>-751819000</v>
      </c>
      <c r="CQ42" s="141" t="n">
        <v>46191</v>
      </c>
      <c r="CR42" s="141" t="n">
        <v>46197</v>
      </c>
      <c r="CS42" s="63" t="n">
        <v>227122189</v>
      </c>
      <c r="CT42" s="64" t="n">
        <v>13446000</v>
      </c>
      <c r="CU42" s="64" t="n">
        <v>101622000</v>
      </c>
      <c r="CV42" s="59" t="inlineStr">
        <is>
          <t>Unqualified opinion - true and fair view</t>
        </is>
      </c>
      <c r="CW42" s="64" t="n">
        <v>101900000</v>
      </c>
      <c r="CX42" s="102" t="inlineStr">
        <is>
          <t>GIC Private Limited; Loomis, Sayles &amp; Company, L.P.; Loomis Sayles Trust Company, LLC; RTW Master Fund, Ltd.; RTW Innovation Master Fund, Ltd.; RTW Biotech Opportunities Ltd.; SymBiosis II, LLC; Huang River Investment Limited; Perfect Ten Holding Limited; Cormorant Global Healthcare Master Fund, LP; Dymon Asia Multi-Strategy Investment Master Fund; GF Fund Management Co., Ltd.; GF International Investment Management Limited; China Universal Asset Management (Hong Kong) Company Limited; E Fund Management Co., Ltd.; E Fund Management (Hong Kong) Co., Ltd.; Golden Valley Value Select Master Fund; Golden Valley Global Limited; Loyal Valley Capital Advantage Fund III LP</t>
        </is>
      </c>
      <c r="CY42" s="153" t="n">
        <v>0.4978</v>
      </c>
      <c r="CZ42" s="154" t="n">
        <v>46385</v>
      </c>
      <c r="DA42" s="143" t="n">
        <v>963.5599999999999</v>
      </c>
      <c r="DB42" s="63" t="n">
        <v>145729</v>
      </c>
      <c r="DC42" s="63" t="n">
        <v>5468766300</v>
      </c>
      <c r="DD42" s="59" t="inlineStr">
        <is>
          <t>Subscription level 963.56 times</t>
        </is>
      </c>
      <c r="DE42" s="141" t="inlineStr">
        <is>
          <t>NA</t>
        </is>
      </c>
      <c r="DF42" s="141" t="n">
        <v>46199</v>
      </c>
      <c r="DG42" s="63" t="n">
        <v>56755400</v>
      </c>
      <c r="DH42" s="63" t="n">
        <v>5675600</v>
      </c>
      <c r="DI42" s="63" t="n">
        <v>51079800</v>
      </c>
      <c r="DJ42" s="63" t="n">
        <v>8513300</v>
      </c>
      <c r="DK42" s="169" t="n">
        <v>1</v>
      </c>
      <c r="DL42" s="59" t="inlineStr">
        <is>
          <t>No claw-back: claw-back not triggered and no Offer Shares reallocated from the International Offering to the Hong Kong Public Offering (N/A); final Hong Kong Public Offering remains 5,675,600 H Shares, being 10.00% of the Global Offering.</t>
        </is>
      </c>
      <c r="DM42" s="157" t="n">
        <v>1180800000</v>
      </c>
      <c r="DN42" s="153" t="n">
        <v>0.5226</v>
      </c>
      <c r="DO42" s="102" t="n">
        <v>339852231</v>
      </c>
      <c r="DP42" s="153" t="n">
        <v>0.0839</v>
      </c>
      <c r="DQ42" s="59" t="inlineStr">
        <is>
          <t>Free float denominator = total issued Shares of the Company upon Listing (339,852,231 Shares, before exercise of the Over-allotment Option); numerator = H Shares held by the public and not subject to disposal restrictions (approximately HK$644.1 million in value).</t>
        </is>
      </c>
      <c r="DR42" s="63" t="n">
        <v>339852231</v>
      </c>
      <c r="DS42" s="153" t="n">
        <v>-0.05758968</v>
      </c>
      <c r="DT42" s="80" t="n">
        <v>38</v>
      </c>
      <c r="DU42" s="153" t="n">
        <v>0.0295905</v>
      </c>
      <c r="DV42" s="157" t="n">
        <v>53885000000</v>
      </c>
      <c r="DW42" s="158" t="n">
        <v>46</v>
      </c>
      <c r="DX42" s="169" t="n">
        <v>1.035398</v>
      </c>
      <c r="DY42" s="172" t="n">
        <v>1328076360</v>
      </c>
      <c r="DZ42" s="146" t="n">
        <v>42</v>
      </c>
      <c r="EA42" s="146" t="n">
        <v>46</v>
      </c>
      <c r="EB42" s="146" t="n">
        <v>40.5</v>
      </c>
      <c r="EC42" s="63" t="n">
        <v>12782400</v>
      </c>
      <c r="ED42" s="169" t="n">
        <v>0.225219</v>
      </c>
      <c r="EE42" s="64" t="n">
        <v>549438600</v>
      </c>
      <c r="EF42" s="60" t="inlineStr">
        <is>
          <t>Mechanism B</t>
        </is>
      </c>
      <c r="EG42" s="59" t="inlineStr">
        <is>
          <t>FINI (from 22/11/2023); 2025-08-04 pricing reform (Mechanism A/B; six-month cornerstone lock-up retained); this IPO: Mechanism B</t>
        </is>
      </c>
      <c r="EH42" t="inlineStr">
        <is>
          <t>礼邦医药(江苏)股份有限公司</t>
        </is>
      </c>
      <c r="EI42" s="174" t="inlineStr">
        <is>
          <t>Active</t>
        </is>
      </c>
      <c r="EJ42" s="175" t="n">
        <v>29.14</v>
      </c>
      <c r="EK42" s="176" t="n">
        <v>-0.366522</v>
      </c>
      <c r="EL42" s="176" t="n">
        <v>0.289381</v>
      </c>
      <c r="EM42" s="176" t="n">
        <v>0.094695</v>
      </c>
      <c r="EN42" s="176" t="n">
        <v>0.07034799999999999</v>
      </c>
      <c r="EO42" s="179" t="n">
        <v>0.5787</v>
      </c>
      <c r="EP42" s="179" t="n">
        <v>0.5918</v>
      </c>
      <c r="EQ42" s="178" t="n">
        <v>56524435</v>
      </c>
      <c r="ER42" s="175" t="n"/>
      <c r="ES42" s="176" t="n"/>
      <c r="ET42" s="176" t="n"/>
      <c r="EU42" s="176" t="n"/>
      <c r="EV42" s="176" t="n"/>
      <c r="EW42" s="179" t="n"/>
      <c r="EX42" s="179" t="n"/>
      <c r="EY42" s="178" t="n"/>
      <c r="EZ42" s="176" t="n"/>
      <c r="FA42" s="176" t="n"/>
      <c r="FB42" s="179" t="n"/>
      <c r="FC42" s="176" t="n"/>
      <c r="FD42" s="179" t="n"/>
      <c r="FE42" s="174" t="inlineStr">
        <is>
          <t>18A (Biotech / B-tag)</t>
        </is>
      </c>
      <c r="FF42" s="181" t="inlineStr">
        <is>
          <t>Jefferies Hong Kong Limited</t>
        </is>
      </c>
      <c r="FG42" s="185" t="inlineStr">
        <is>
          <t>2026-07-24</t>
        </is>
      </c>
      <c r="FH42" s="183" t="n">
        <v>0</v>
      </c>
      <c r="FI42" s="178" t="n">
        <v>8513300</v>
      </c>
      <c r="FJ42" s="176" t="n"/>
      <c r="FK42" s="185" t="inlineStr">
        <is>
          <t>2026-07-24</t>
        </is>
      </c>
      <c r="FL42" s="178" t="n">
        <v>8513300</v>
      </c>
      <c r="FM42" s="176" t="n">
        <v>1</v>
      </c>
      <c r="FN42" s="176" t="n">
        <v>-0.025751</v>
      </c>
      <c r="FO42" s="176" t="n">
        <v>0.145228</v>
      </c>
      <c r="FP42" s="176" t="n">
        <v>0.194102</v>
      </c>
      <c r="FQ42" s="176" t="n">
        <v>-0.368696</v>
      </c>
      <c r="FR42" s="179" t="n">
        <v>0.6155</v>
      </c>
      <c r="FS42" s="176" t="n">
        <v>-0.366522</v>
      </c>
      <c r="FT42" s="179" t="n">
        <v>0.5787</v>
      </c>
      <c r="FU42" s="176" t="n">
        <v>-0.463043</v>
      </c>
      <c r="FV42" s="179" t="n"/>
      <c r="FW42" s="179" t="n"/>
      <c r="FX42" s="178" t="n">
        <v>29181059.09</v>
      </c>
      <c r="FY42" s="186" t="n"/>
      <c r="FZ42" s="183" t="n"/>
      <c r="GA42" s="176" t="n"/>
      <c r="GB42" s="176" t="n"/>
      <c r="GC42" s="185" t="inlineStr">
        <is>
          <t>2026-12-30</t>
        </is>
      </c>
      <c r="GD42" s="185" t="n"/>
      <c r="GE42" s="176" t="n"/>
      <c r="GF42" s="176" t="n"/>
      <c r="GG42" s="179" t="n"/>
      <c r="GH42" s="181" t="inlineStr">
        <is>
          <t>CICC</t>
        </is>
      </c>
      <c r="GI42" s="183" t="n">
        <v>2</v>
      </c>
      <c r="GJ42" s="183" t="n">
        <v>0</v>
      </c>
      <c r="GK42" s="176" t="n">
        <v>0.025</v>
      </c>
      <c r="GL42" s="176" t="n">
        <v>0.01</v>
      </c>
      <c r="GM42" s="176" t="n">
        <v>0.035</v>
      </c>
      <c r="GN42" s="183" t="n"/>
      <c r="GO42" s="183" t="n">
        <v>0</v>
      </c>
      <c r="GP42" s="183" t="n">
        <v>0</v>
      </c>
      <c r="GQ42" s="183" t="n">
        <v>6</v>
      </c>
      <c r="GR42" s="183" t="n">
        <v>0</v>
      </c>
      <c r="GS42" s="181" t="inlineStr">
        <is>
          <t>POST_FINI</t>
        </is>
      </c>
      <c r="GT42" s="181" t="inlineStr">
        <is>
          <t>POST_2025_REFORM</t>
        </is>
      </c>
    </row>
    <row r="43" ht="17.25" customFormat="1" customHeight="1" s="12">
      <c r="A43" s="60" t="n">
        <v>82</v>
      </c>
      <c r="B43" s="93" t="inlineStr">
        <is>
          <t>2697.HK</t>
        </is>
      </c>
      <c r="C43" s="59" t="inlineStr">
        <is>
          <t>Guangdong True Health Medical Technology Development Co., Ltd. - B - H Shares</t>
        </is>
      </c>
      <c r="D43" s="190" t="n">
        <v>46195</v>
      </c>
      <c r="E43" s="190" t="n">
        <v>46203</v>
      </c>
      <c r="F43" s="60" t="inlineStr">
        <is>
          <t>China International Capital Corporation Hong Kong Securities Limited /
DBS Asia Capital Limited</t>
        </is>
      </c>
      <c r="G43" s="60" t="inlineStr">
        <is>
          <t>Ernst &amp; Young</t>
        </is>
      </c>
      <c r="H43" s="60" t="n"/>
      <c r="I43" s="150" t="n">
        <v>44987776</v>
      </c>
      <c r="J43" s="148" t="n">
        <v>404877364</v>
      </c>
      <c r="K43" s="151" t="n">
        <v>126.2</v>
      </c>
      <c r="L43" t="n">
        <v>35647003</v>
      </c>
      <c r="M43" s="98" t="n">
        <v>3564700</v>
      </c>
      <c r="N43" t="n">
        <v>32082303</v>
      </c>
      <c r="O43" t="n">
        <v>32082303</v>
      </c>
      <c r="P43" t="n">
        <v>0</v>
      </c>
      <c r="Q43" t="n">
        <v>3564700</v>
      </c>
      <c r="R43" s="98" t="n">
        <v>3208220</v>
      </c>
      <c r="S43" s="98" t="n">
        <v>356480</v>
      </c>
      <c r="T43" s="152" t="n">
        <v>135.4</v>
      </c>
      <c r="U43" s="152" t="n">
        <v>119.3</v>
      </c>
      <c r="V43" s="169" t="n">
        <v>-0.00903</v>
      </c>
      <c r="W43" s="169" t="n">
        <v>0.126423</v>
      </c>
      <c r="X43" s="170" t="inlineStr">
        <is>
          <t>Within range</t>
        </is>
      </c>
      <c r="Y43" s="26" t="inlineStr">
        <is>
          <t>RMB</t>
        </is>
      </c>
      <c r="Z43" s="137" t="inlineStr">
        <is>
          <t>NaN</t>
        </is>
      </c>
      <c r="AA43" s="137" t="n">
        <v>155375000</v>
      </c>
      <c r="AB43" s="137" t="n">
        <v>280824000</v>
      </c>
      <c r="AC43" s="137" t="inlineStr">
        <is>
          <t>NaN</t>
        </is>
      </c>
      <c r="AD43" s="137" t="n">
        <v>125450000</v>
      </c>
      <c r="AE43" s="137" t="n">
        <v>239566000</v>
      </c>
      <c r="AF43" s="137" t="inlineStr">
        <is>
          <t>NaN</t>
        </is>
      </c>
      <c r="AG43" s="137" t="n">
        <v>29925000</v>
      </c>
      <c r="AH43" s="137" t="n">
        <v>41258000</v>
      </c>
      <c r="AI43" s="137" t="inlineStr">
        <is>
          <t>NaN</t>
        </is>
      </c>
      <c r="AJ43" s="137" t="n">
        <v>1791000</v>
      </c>
      <c r="AK43" s="137" t="n">
        <v>12178000</v>
      </c>
      <c r="AL43" s="137" t="inlineStr">
        <is>
          <t>NaN</t>
        </is>
      </c>
      <c r="AM43" s="137" t="n">
        <v>-92153000</v>
      </c>
      <c r="AN43" s="137" t="n">
        <v>-90112000</v>
      </c>
      <c r="AO43" s="137" t="inlineStr">
        <is>
          <t>NaN</t>
        </is>
      </c>
      <c r="AP43" s="137" t="n">
        <v>-92156000</v>
      </c>
      <c r="AQ43" s="137" t="n">
        <v>-90113000</v>
      </c>
      <c r="AR43" s="153" t="n">
        <v>0.035</v>
      </c>
      <c r="AS43" s="153" t="n">
        <v>0.035</v>
      </c>
      <c r="AT43" s="101" t="n">
        <v>0.15</v>
      </c>
      <c r="AU43" s="102" t="inlineStr">
        <is>
          <t>Medical devices - percutaneous puncture and ablation surgical robots</t>
        </is>
      </c>
      <c r="AV43" s="102" t="inlineStr">
        <is>
          <t>Chapter 18A of the Listing Rules (biotechnology company)</t>
        </is>
      </c>
      <c r="AW43" s="154" t="n">
        <v>46022</v>
      </c>
      <c r="AX43" s="137" t="n">
        <v>-91895000</v>
      </c>
      <c r="AY43" s="117" t="n">
        <v>182394000</v>
      </c>
      <c r="AZ43" s="117" t="n">
        <v>56874000</v>
      </c>
      <c r="BA43" s="117" t="n">
        <v>0</v>
      </c>
      <c r="BB43" s="155" t="n">
        <v>0.964</v>
      </c>
      <c r="BC43" s="139" t="n">
        <v>1</v>
      </c>
      <c r="BD43" s="80" t="n">
        <v>1</v>
      </c>
      <c r="BE43" t="n">
        <v>1</v>
      </c>
      <c r="BF43" t="n">
        <v>1</v>
      </c>
      <c r="BG43" t="inlineStr">
        <is>
          <t>NaN</t>
        </is>
      </c>
      <c r="BH43" t="n">
        <v>1</v>
      </c>
      <c r="BI43" t="inlineStr">
        <is>
          <t>NaN</t>
        </is>
      </c>
      <c r="BJ43" t="inlineStr">
        <is>
          <t>Shuimu Dongfang; Huitai Dongfang; Jinke Junlian; Yarui Heyi; Beijing Jingantai; Lide Gongchuang; Junhe Hongrui; X Technology; Novel Robotics; Gaorong Phase IV; Kangyong Investment; Shuimu Linghang; JingDe (Guangzhou); KIP (ZhangJiaGang); Zhongguancun Zhiyou; Jinke Huiyu; Hengqin Golden Investment; Deruida Wealth; Beijing New Energy; Hengqin Xinti; Dongsheng Bozhan; Shenzhen Ruisheng; Huajin Lingyue; Ligao No. 2; Qingdao Rongyu; CICC Qihe; Hengqin Industrial; Dongrong No. 1; Taiping Medical Investment Fund; Hengqin Shenhe Industrial Investment; Guangdong-Macao Investment</t>
        </is>
      </c>
      <c r="BK43" t="n">
        <v>0.4888</v>
      </c>
      <c r="BL43" t="n">
        <v>1</v>
      </c>
      <c r="BM43" t="inlineStr">
        <is>
          <t>January 2021 Capital Increase</t>
        </is>
      </c>
      <c r="BN43" t="n">
        <v>5.45</v>
      </c>
      <c r="BO43" s="102" t="inlineStr">
        <is>
          <t>Individual (Ms. Cheong)</t>
        </is>
      </c>
      <c r="BP43" s="156" t="n">
        <v>0.4196</v>
      </c>
      <c r="BQ43" s="156" t="n">
        <v>0.4196</v>
      </c>
      <c r="BR43" s="137" t="n">
        <v>9058000</v>
      </c>
      <c r="BS43" s="102" t="inlineStr">
        <is>
          <t>Commercialization (early stage)</t>
        </is>
      </c>
      <c r="BT43" s="153" t="n">
        <v>0</v>
      </c>
      <c r="BU43" s="60" t="inlineStr">
        <is>
          <t>Main Board</t>
        </is>
      </c>
      <c r="BV43" s="89" t="inlineStr">
        <is>
          <t>H Shares</t>
        </is>
      </c>
      <c r="BW43" s="61" t="n">
        <v>0</v>
      </c>
      <c r="BX43" s="77" t="n">
        <v>0</v>
      </c>
      <c r="BY43" s="77" t="n">
        <v>1</v>
      </c>
      <c r="BZ43" s="78" t="n">
        <v>0</v>
      </c>
      <c r="CA43" s="60" t="inlineStr">
        <is>
          <t>282010</t>
        </is>
      </c>
      <c r="CB43" s="76" t="inlineStr">
        <is>
          <t>HSICS (Hang Seng Industry Classification System) 2026</t>
        </is>
      </c>
      <c r="CC43" s="140" t="n">
        <v>43175</v>
      </c>
      <c r="CD43" s="171" t="n">
        <v>8.289999999999999</v>
      </c>
      <c r="CE43" s="76" t="inlineStr">
        <is>
          <t>PRC</t>
        </is>
      </c>
      <c r="CF43" s="89" t="inlineStr">
        <is>
          <t>Room 101, 1/F, Building 9, 1889 Huandao East Road, Hengqin New District, Zhuhai, Guangdong Province, PRC</t>
        </is>
      </c>
      <c r="CG43" s="91" t="n">
        <v>1000</v>
      </c>
      <c r="CH43" s="60" t="inlineStr">
        <is>
          <t>IFRS</t>
        </is>
      </c>
      <c r="CI43" s="141" t="n">
        <v>44927</v>
      </c>
      <c r="CJ43" s="141" t="n">
        <v>45291</v>
      </c>
      <c r="CK43" s="141" t="n">
        <v>45292</v>
      </c>
      <c r="CL43" s="141" t="n">
        <v>45657</v>
      </c>
      <c r="CM43" s="141" t="n">
        <v>45658</v>
      </c>
      <c r="CN43" s="64" t="n">
        <v>12178000</v>
      </c>
      <c r="CO43" s="64" t="n">
        <v>-90112000</v>
      </c>
      <c r="CP43" s="64" t="n">
        <v>-90113000</v>
      </c>
      <c r="CQ43" s="141" t="n">
        <v>46195</v>
      </c>
      <c r="CR43" s="141" t="n">
        <v>46198</v>
      </c>
      <c r="CS43" s="63" t="n">
        <v>35647003</v>
      </c>
      <c r="CT43" s="64" t="n">
        <v>9294000</v>
      </c>
      <c r="CU43" s="64" t="n">
        <v>3264000</v>
      </c>
      <c r="CV43" s="59" t="inlineStr">
        <is>
          <t>Unqualified (true and fair view)</t>
        </is>
      </c>
      <c r="CW43" s="64" t="n">
        <v>66100000</v>
      </c>
      <c r="CX43" s="102" t="inlineStr">
        <is>
          <t>NA</t>
        </is>
      </c>
      <c r="CY43" s="153" t="n">
        <v>0</v>
      </c>
      <c r="CZ43" s="154" t="inlineStr">
        <is>
          <t>NA</t>
        </is>
      </c>
      <c r="DA43" s="143" t="n">
        <v>1790.4</v>
      </c>
      <c r="DB43" s="63" t="n">
        <v>128208</v>
      </c>
      <c r="DC43" s="63" t="n">
        <v>638236940</v>
      </c>
      <c r="DD43" s="59" t="inlineStr">
        <is>
          <t>Subscription level 1,790.4 times</t>
        </is>
      </c>
      <c r="DE43" s="141" t="n">
        <v>46199</v>
      </c>
      <c r="DF43" s="141" t="n">
        <v>46202</v>
      </c>
      <c r="DG43" s="63" t="n">
        <v>3564700</v>
      </c>
      <c r="DH43" s="63" t="n">
        <v>356480</v>
      </c>
      <c r="DI43" s="63" t="n">
        <v>3208220</v>
      </c>
      <c r="DJ43" s="63" t="n">
        <v>0</v>
      </c>
      <c r="DK43" s="169" t="n">
        <v>0</v>
      </c>
      <c r="DL43" s="59" t="inlineStr">
        <is>
          <t>Reallocation N/A; No. of Offer Shares allocated from the International Offering: 0</t>
        </is>
      </c>
      <c r="DM43" s="157" t="n">
        <v>384000000</v>
      </c>
      <c r="DN43" s="153" t="n">
        <v>0.4266</v>
      </c>
      <c r="DO43" s="102" t="n">
        <v>35647003</v>
      </c>
      <c r="DP43" s="153" t="n">
        <v>0.1</v>
      </c>
      <c r="DQ43" s="59" t="inlineStr">
        <is>
          <t>Free float denominator = total issued shares upon listing (col_CZ); numerator = offer shares minus cornerstone allocation</t>
        </is>
      </c>
      <c r="DR43" s="63" t="n">
        <v>35647003</v>
      </c>
      <c r="DS43" s="153" t="n">
        <v>-0.06729952</v>
      </c>
      <c r="DT43" s="80" t="n">
        <v>35</v>
      </c>
      <c r="DU43" s="153" t="n">
        <v>0.0294452</v>
      </c>
      <c r="DV43" s="157" t="n">
        <v>53885000000</v>
      </c>
      <c r="DW43" s="158" t="n">
        <v>400</v>
      </c>
      <c r="DX43" s="169" t="n">
        <v>2.169572</v>
      </c>
      <c r="DY43" s="172" t="n">
        <v>976014860</v>
      </c>
      <c r="DZ43" s="146" t="n">
        <v>327.2</v>
      </c>
      <c r="EA43" s="146" t="n">
        <v>424.8</v>
      </c>
      <c r="EB43" s="146" t="n">
        <v>326.4</v>
      </c>
      <c r="EC43" s="63" t="n">
        <v>911040</v>
      </c>
      <c r="ED43" s="169" t="n">
        <v>0.255573</v>
      </c>
      <c r="EE43" s="64" t="n">
        <v>319762900</v>
      </c>
      <c r="EF43" s="60" t="inlineStr">
        <is>
          <t>NA</t>
        </is>
      </c>
      <c r="EG43" s="59" t="inlineStr">
        <is>
          <t>FINI (from 22/11/2023); 2025-08-04 pricing reform (Mechanism A/B; six-month cornerstone lock-up retained)</t>
        </is>
      </c>
      <c r="EH43" t="inlineStr">
        <is>
          <t>广东真健康医疗科技开发股份有限公司</t>
        </is>
      </c>
      <c r="EI43" s="174" t="inlineStr">
        <is>
          <t>Active</t>
        </is>
      </c>
      <c r="EJ43" s="175" t="n">
        <v>594</v>
      </c>
      <c r="EK43" s="176" t="n">
        <v>0.485</v>
      </c>
      <c r="EL43" s="176" t="n">
        <v>3.706815</v>
      </c>
      <c r="EM43" s="176" t="n">
        <v>0.106194</v>
      </c>
      <c r="EN43" s="176" t="n">
        <v>0.057774</v>
      </c>
      <c r="EO43" s="179" t="n">
        <v>1.3424</v>
      </c>
      <c r="EP43" s="179" t="n">
        <v>1.4039</v>
      </c>
      <c r="EQ43" s="178" t="n">
        <v>46131960</v>
      </c>
      <c r="ER43" s="175" t="n"/>
      <c r="ES43" s="176" t="n"/>
      <c r="ET43" s="176" t="n"/>
      <c r="EU43" s="176" t="n"/>
      <c r="EV43" s="176" t="n"/>
      <c r="EW43" s="179" t="n"/>
      <c r="EX43" s="179" t="n"/>
      <c r="EY43" s="178" t="n"/>
      <c r="EZ43" s="176" t="n"/>
      <c r="FA43" s="176" t="n"/>
      <c r="FB43" s="179" t="n"/>
      <c r="FC43" s="176" t="n"/>
      <c r="FD43" s="179" t="n"/>
      <c r="FE43" s="174" t="inlineStr">
        <is>
          <t>18A (Biotech / B-tag)</t>
        </is>
      </c>
      <c r="FF43" s="181" t="inlineStr">
        <is>
          <t>China International Capital Corporation Hong Kong Securities Limited</t>
        </is>
      </c>
      <c r="FG43" s="185" t="n"/>
      <c r="FH43" s="183" t="n"/>
      <c r="FI43" s="178" t="n"/>
      <c r="FJ43" s="176" t="n"/>
      <c r="FK43" s="185" t="inlineStr">
        <is>
          <t>2026-06-30</t>
        </is>
      </c>
      <c r="FL43" s="178" t="n">
        <v>0</v>
      </c>
      <c r="FM43" s="176" t="n">
        <v>0</v>
      </c>
      <c r="FN43" s="176" t="n"/>
      <c r="FO43" s="176" t="n"/>
      <c r="FP43" s="176" t="n"/>
      <c r="FQ43" s="176" t="n">
        <v>-0.057</v>
      </c>
      <c r="FR43" s="179" t="n">
        <v>0.9183</v>
      </c>
      <c r="FS43" s="176" t="n">
        <v>0.485</v>
      </c>
      <c r="FT43" s="179" t="n">
        <v>1.3424</v>
      </c>
      <c r="FU43" s="176" t="n">
        <v>-0.33</v>
      </c>
      <c r="FV43" s="179" t="n"/>
      <c r="FW43" s="179" t="n"/>
      <c r="FX43" s="178" t="n">
        <v>37480786.36</v>
      </c>
      <c r="FY43" s="186" t="n"/>
      <c r="FZ43" s="183" t="n"/>
      <c r="GA43" s="176" t="n"/>
      <c r="GB43" s="176" t="n"/>
      <c r="GC43" s="185" t="inlineStr">
        <is>
          <t>2026-12-31</t>
        </is>
      </c>
      <c r="GD43" s="185" t="inlineStr">
        <is>
          <t>2027-07-01</t>
        </is>
      </c>
      <c r="GE43" s="176" t="n"/>
      <c r="GF43" s="176" t="n"/>
      <c r="GG43" s="179" t="n"/>
      <c r="GH43" s="181" t="inlineStr">
        <is>
          <t>CICC</t>
        </is>
      </c>
      <c r="GI43" s="183" t="n">
        <v>2</v>
      </c>
      <c r="GJ43" s="183" t="n">
        <v>0</v>
      </c>
      <c r="GK43" s="176" t="n">
        <v>0.025</v>
      </c>
      <c r="GL43" s="176" t="n">
        <v>0.01</v>
      </c>
      <c r="GM43" s="176" t="n">
        <v>0.035</v>
      </c>
      <c r="GN43" s="183" t="n">
        <v>0</v>
      </c>
      <c r="GO43" s="183" t="n">
        <v>0</v>
      </c>
      <c r="GP43" s="183" t="n">
        <v>0</v>
      </c>
      <c r="GQ43" s="183" t="n">
        <v>6</v>
      </c>
      <c r="GR43" s="183" t="n">
        <v>0</v>
      </c>
      <c r="GS43" s="181" t="inlineStr">
        <is>
          <t>POST_FINI</t>
        </is>
      </c>
      <c r="GT43" s="181" t="inlineStr">
        <is>
          <t>POST_2025_REFORM</t>
        </is>
      </c>
    </row>
    <row r="44" customFormat="1" s="12">
      <c r="A44" s="60" t="n">
        <v>84</v>
      </c>
      <c r="B44" s="93" t="inlineStr">
        <is>
          <t>3952.HK</t>
        </is>
      </c>
      <c r="C44" s="59" t="inlineStr">
        <is>
          <t>Zhejiang Laifual Drive Co., Ltd. - H Shares</t>
        </is>
      </c>
      <c r="D44" s="190" t="n">
        <v>46195</v>
      </c>
      <c r="E44" s="190" t="n">
        <v>46203</v>
      </c>
      <c r="F44" s="60" t="inlineStr">
        <is>
          <t>CMB International Capital Limited</t>
        </is>
      </c>
      <c r="G44" s="60" t="inlineStr">
        <is>
          <t>KPMG</t>
        </is>
      </c>
      <c r="H44" s="60" t="n"/>
      <c r="I44" s="150" t="n">
        <v>229858200</v>
      </c>
      <c r="J44" s="148" t="n">
        <v>982386450</v>
      </c>
      <c r="K44" s="151" t="n">
        <v>85.5</v>
      </c>
      <c r="L44" t="n">
        <v>103398787</v>
      </c>
      <c r="M44" s="98" t="n">
        <v>13441900</v>
      </c>
      <c r="N44" t="n">
        <v>89956887</v>
      </c>
      <c r="O44" t="n">
        <v>89956887</v>
      </c>
      <c r="P44" t="n">
        <v>0</v>
      </c>
      <c r="Q44" t="n">
        <v>13441900</v>
      </c>
      <c r="R44" s="98" t="n">
        <v>12769800</v>
      </c>
      <c r="S44" s="98" t="n">
        <v>672100</v>
      </c>
      <c r="T44" s="152" t="n">
        <v>85.5</v>
      </c>
      <c r="U44" s="152" t="n">
        <v>77</v>
      </c>
      <c r="V44" s="169" t="n">
        <v>0.052308</v>
      </c>
      <c r="W44" s="169" t="n">
        <v>0.104615</v>
      </c>
      <c r="X44" s="170" t="inlineStr">
        <is>
          <t>At high</t>
        </is>
      </c>
      <c r="Y44" s="26" t="inlineStr">
        <is>
          <t>RMB</t>
        </is>
      </c>
      <c r="Z44" s="137" t="n">
        <v>478012000</v>
      </c>
      <c r="AA44" s="137" t="n">
        <v>497016000</v>
      </c>
      <c r="AB44" s="137" t="n">
        <v>722044000</v>
      </c>
      <c r="AC44" s="137" t="n">
        <v>-501942000</v>
      </c>
      <c r="AD44" s="137" t="n">
        <v>-670718000</v>
      </c>
      <c r="AE44" s="137" t="n">
        <v>-820631000</v>
      </c>
      <c r="AF44" s="137" t="n">
        <v>979954000</v>
      </c>
      <c r="AG44" s="137" t="n">
        <v>1167734000</v>
      </c>
      <c r="AH44" s="137" t="n">
        <v>1542675000</v>
      </c>
      <c r="AI44" s="137" t="n">
        <v>94545000</v>
      </c>
      <c r="AJ44" s="137" t="n">
        <v>107714000</v>
      </c>
      <c r="AK44" s="137" t="n">
        <v>260867000</v>
      </c>
      <c r="AL44" s="137" t="n">
        <v>-168785000</v>
      </c>
      <c r="AM44" s="137" t="n">
        <v>-168776000</v>
      </c>
      <c r="AN44" s="137" t="n">
        <v>-170609000</v>
      </c>
      <c r="AO44" s="137" t="n">
        <v>-168785000</v>
      </c>
      <c r="AP44" s="137" t="n">
        <v>-168776000</v>
      </c>
      <c r="AQ44" s="137" t="n">
        <v>-170609000</v>
      </c>
      <c r="AR44" s="153" t="n">
        <v>0.03</v>
      </c>
      <c r="AS44" s="153" t="n">
        <v>0.03</v>
      </c>
      <c r="AT44" s="101" t="n">
        <v>0.15</v>
      </c>
      <c r="AU44" s="102" t="inlineStr">
        <is>
          <t>Robotic precision transmission core components (harmonic reducers, joint modules, robotic arms, automated workstations)</t>
        </is>
      </c>
      <c r="AV44" s="102" t="inlineStr">
        <is>
          <t>Chapter 18C of the Listing Rules (Specialist Technology Company)</t>
        </is>
      </c>
      <c r="AW44" s="154" t="n">
        <v>46022</v>
      </c>
      <c r="AX44" s="137" t="n">
        <v>-63411000</v>
      </c>
      <c r="AY44" s="117" t="n">
        <v>33753000</v>
      </c>
      <c r="AZ44" s="117" t="n">
        <v>49231000</v>
      </c>
      <c r="BA44" s="117" t="n">
        <v>0</v>
      </c>
      <c r="BB44" s="155" t="n">
        <v>0.423</v>
      </c>
      <c r="BC44" s="139" t="n">
        <v>1</v>
      </c>
      <c r="BD44" s="80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inlineStr">
        <is>
          <t>Zhuji Rushan Huian Venture Capital Partnership (L.P.); Beta Achieve; Suzhou Sushang Joint Venture Capital Partnership (L.P.); Guozhong SME Fund; Haian Huijun Jincai Phase I Industrial Investment Partnership Enterprise (L.P.); China Electronics CICC (Xiamen) Intelligent Industry Equity Investment Fund Partnership (L.P.); Lenovo Fund; Redview Capital Investment XIV Limited; CDBC Fund; Shanghai Hongyu Aviation Industry Equity Investment Partnership (L.P.); Tianjin Haihe Furui Equity Investment Fund Partnership (L.P.); Hangzhou Runxin Dianjing Equity Investment Partnership (L.P.)</t>
        </is>
      </c>
      <c r="BK44" t="inlineStr">
        <is>
          <t>NaN</t>
        </is>
      </c>
      <c r="BL44" t="n">
        <v>1</v>
      </c>
      <c r="BM44" t="inlineStr">
        <is>
          <t>Series A</t>
        </is>
      </c>
      <c r="BN44" t="n">
        <v>8.91</v>
      </c>
      <c r="BO44" s="102" t="inlineStr">
        <is>
          <t>Individual</t>
        </is>
      </c>
      <c r="BP44" s="156" t="n">
        <v>0.2842</v>
      </c>
      <c r="BQ44" s="156" t="n">
        <v>0.2842</v>
      </c>
      <c r="BR44" s="137" t="n">
        <v>1404927000</v>
      </c>
      <c r="BS44" s="102" t="inlineStr">
        <is>
          <t>Commercial Company</t>
        </is>
      </c>
      <c r="BT44" s="153" t="n">
        <v>0</v>
      </c>
      <c r="BU44" s="60" t="inlineStr">
        <is>
          <t>Main Board</t>
        </is>
      </c>
      <c r="BV44" s="89" t="inlineStr">
        <is>
          <t>H Shares</t>
        </is>
      </c>
      <c r="BW44" s="61" t="n">
        <v>0</v>
      </c>
      <c r="BX44" s="77" t="n">
        <v>0</v>
      </c>
      <c r="BY44" s="77" t="n">
        <v>0</v>
      </c>
      <c r="BZ44" s="78" t="n">
        <v>1</v>
      </c>
      <c r="CA44" s="60" t="inlineStr">
        <is>
          <t>101020</t>
        </is>
      </c>
      <c r="CB44" s="76" t="inlineStr">
        <is>
          <t>HSICS (Hang Seng Industry Classification System) 2026</t>
        </is>
      </c>
      <c r="CC44" s="140" t="n">
        <v>41604</v>
      </c>
      <c r="CD44" s="171" t="n">
        <v>12.59</v>
      </c>
      <c r="CE44" s="76" t="inlineStr">
        <is>
          <t>NA</t>
        </is>
      </c>
      <c r="CF44" s="89" t="inlineStr">
        <is>
          <t>Industrial Park, Ganlin Town, Shengzhou City, Zhejiang, PRC</t>
        </is>
      </c>
      <c r="CG44" s="91" t="n">
        <v>1000</v>
      </c>
      <c r="CH44" s="60" t="inlineStr">
        <is>
          <t>IFRS Accounting Standards</t>
        </is>
      </c>
      <c r="CI44" s="141" t="n">
        <v>44927</v>
      </c>
      <c r="CJ44" s="141" t="n">
        <v>45291</v>
      </c>
      <c r="CK44" s="141" t="n">
        <v>45292</v>
      </c>
      <c r="CL44" s="141" t="n">
        <v>45657</v>
      </c>
      <c r="CM44" s="141" t="n">
        <v>45658</v>
      </c>
      <c r="CN44" s="64" t="n">
        <v>260867000</v>
      </c>
      <c r="CO44" s="64" t="n">
        <v>-170609000</v>
      </c>
      <c r="CP44" s="64" t="n">
        <v>-170609000</v>
      </c>
      <c r="CQ44" s="141" t="n">
        <v>46195</v>
      </c>
      <c r="CR44" s="141" t="n">
        <v>46198</v>
      </c>
      <c r="CS44" s="63" t="n">
        <v>103398787</v>
      </c>
      <c r="CT44" s="64" t="n">
        <v>66863000</v>
      </c>
      <c r="CU44" s="64" t="n">
        <v>117700000</v>
      </c>
      <c r="CV44" s="59" t="inlineStr">
        <is>
          <t>Unqualified</t>
        </is>
      </c>
      <c r="CW44" s="64" t="n">
        <v>88800000</v>
      </c>
      <c r="CX44" s="102" t="inlineStr">
        <is>
          <t>OAKTREE CAPITAL MANAGEMENT, L.P.; Alphahill Capital Limited; HARVEST GLOBAL INVESTMENTS LIMITED; CDH Global Frontier Ventures Limited; E Fund Management Co., Ltd/E FUND MANAGEMENT (HONG KONG) CO., LIMITED; Eurus Holdings SPC; LBC HK Opportunity Fund Limited; Dream'ee (Hong Kong) Open-ended Fund Company; Factorial Master Fund; Oasis Investments II Master Fund Ltd.</t>
        </is>
      </c>
      <c r="CY44" s="153" t="n">
        <v>0.3752</v>
      </c>
      <c r="CZ44" s="154" t="n">
        <v>46386</v>
      </c>
      <c r="DA44" s="143" t="n">
        <v>4571.99</v>
      </c>
      <c r="DB44" s="63" t="n">
        <v>182737</v>
      </c>
      <c r="DC44" s="63" t="n">
        <v>3072834479</v>
      </c>
      <c r="DD44" s="59" t="inlineStr">
        <is>
          <t>Subscription level 4,571.99 times</t>
        </is>
      </c>
      <c r="DE44" s="141" t="n">
        <v>46199</v>
      </c>
      <c r="DF44" s="141" t="n">
        <v>46202</v>
      </c>
      <c r="DG44" s="63" t="n">
        <v>13441900</v>
      </c>
      <c r="DH44" s="63" t="n">
        <v>2688400</v>
      </c>
      <c r="DI44" s="63" t="n">
        <v>10753500</v>
      </c>
      <c r="DJ44" s="63" t="n">
        <v>736400</v>
      </c>
      <c r="DK44" s="169" t="n">
        <v>0.365226</v>
      </c>
      <c r="DL44" s="59" t="inlineStr">
        <is>
          <t>Claw-back triggered Yes; No. of Offer Shares reallocated from International Offering (claw-back) 2,016,300; Final HK Public Offering 2,688,400 (20%)</t>
        </is>
      </c>
      <c r="DM44" s="157" t="n">
        <v>1073100000</v>
      </c>
      <c r="DN44" s="153" t="n">
        <v>0.7157</v>
      </c>
      <c r="DO44" s="102" t="n">
        <v>103398787</v>
      </c>
      <c r="DP44" s="153" t="n">
        <v>0.08119999999999999</v>
      </c>
      <c r="DQ44" s="59" t="inlineStr">
        <is>
          <t>Free float denominator = total issued shares upon listing (col_CZ); numerator = offer shares minus cornerstone allocation</t>
        </is>
      </c>
      <c r="DR44" s="63" t="n">
        <v>103398787</v>
      </c>
      <c r="DS44" s="153" t="n">
        <v>-0.06729952</v>
      </c>
      <c r="DT44" s="80" t="n">
        <v>35</v>
      </c>
      <c r="DU44" s="153" t="n">
        <v>0.0294452</v>
      </c>
      <c r="DV44" s="157" t="n">
        <v>53885000000</v>
      </c>
      <c r="DW44" s="158" t="n">
        <v>73</v>
      </c>
      <c r="DX44" s="169" t="n">
        <v>-0.146199</v>
      </c>
      <c r="DY44" s="172" t="n">
        <v>-168023750</v>
      </c>
      <c r="DZ44" s="146" t="n">
        <v>88.2</v>
      </c>
      <c r="EA44" s="146" t="n">
        <v>98.59999999999999</v>
      </c>
      <c r="EB44" s="146" t="n">
        <v>73</v>
      </c>
      <c r="EC44" s="63" t="n">
        <v>10394900</v>
      </c>
      <c r="ED44" s="169" t="n">
        <v>0.773321</v>
      </c>
      <c r="EE44" s="64" t="n">
        <v>948044000</v>
      </c>
      <c r="EF44" s="60" t="inlineStr">
        <is>
          <t>Mechanism A</t>
        </is>
      </c>
      <c r="EG44" s="59" t="inlineStr">
        <is>
          <t>FINI (from 22/11/2023); 2025-08-04 pricing reform (Mechanism A/B; six-month cornerstone lock-up retained); this IPO: Mechanism A</t>
        </is>
      </c>
      <c r="EH44" t="inlineStr">
        <is>
          <t>浙江来福谐波传动股份有限公司</t>
        </is>
      </c>
      <c r="EI44" s="174" t="inlineStr">
        <is>
          <t>Active</t>
        </is>
      </c>
      <c r="EJ44" s="175" t="n">
        <v>60.05</v>
      </c>
      <c r="EK44" s="176" t="n">
        <v>-0.177397</v>
      </c>
      <c r="EL44" s="176" t="n">
        <v>-0.297661</v>
      </c>
      <c r="EM44" s="176" t="n">
        <v>0.106194</v>
      </c>
      <c r="EN44" s="176" t="n">
        <v>0.057774</v>
      </c>
      <c r="EO44" s="179" t="n">
        <v>0.7436</v>
      </c>
      <c r="EP44" s="179" t="n">
        <v>0.7776999999999999</v>
      </c>
      <c r="EQ44" s="178" t="n">
        <v>140347120</v>
      </c>
      <c r="ER44" s="175" t="n"/>
      <c r="ES44" s="176" t="n"/>
      <c r="ET44" s="176" t="n"/>
      <c r="EU44" s="176" t="n"/>
      <c r="EV44" s="176" t="n"/>
      <c r="EW44" s="179" t="n"/>
      <c r="EX44" s="179" t="n"/>
      <c r="EY44" s="178" t="n"/>
      <c r="EZ44" s="176" t="n"/>
      <c r="FA44" s="176" t="n"/>
      <c r="FB44" s="179" t="n"/>
      <c r="FC44" s="176" t="n"/>
      <c r="FD44" s="179" t="n"/>
      <c r="FE44" s="174" t="inlineStr">
        <is>
          <t>18C (Specialist Tech)</t>
        </is>
      </c>
      <c r="FF44" s="181" t="inlineStr">
        <is>
          <t>CMB International Securities Limited</t>
        </is>
      </c>
      <c r="FG44" s="185" t="inlineStr">
        <is>
          <t>2026-07-25</t>
        </is>
      </c>
      <c r="FH44" s="183" t="n"/>
      <c r="FI44" s="178" t="n">
        <v>2016200</v>
      </c>
      <c r="FJ44" s="176" t="n"/>
      <c r="FK44" s="185" t="inlineStr">
        <is>
          <t>2026-07-25</t>
        </is>
      </c>
      <c r="FL44" s="178" t="n">
        <v>736400</v>
      </c>
      <c r="FM44" s="176" t="n">
        <v>0.3652</v>
      </c>
      <c r="FN44" s="176" t="n">
        <v>-0.057632</v>
      </c>
      <c r="FO44" s="176" t="n">
        <v>-0.148748</v>
      </c>
      <c r="FP44" s="176" t="n">
        <v>0.105418</v>
      </c>
      <c r="FQ44" s="176" t="n">
        <v>0.493151</v>
      </c>
      <c r="FR44" s="179" t="n">
        <v>1.454</v>
      </c>
      <c r="FS44" s="176" t="n">
        <v>-0.177397</v>
      </c>
      <c r="FT44" s="179" t="n">
        <v>0.7436</v>
      </c>
      <c r="FU44" s="176" t="n">
        <v>-0.409589</v>
      </c>
      <c r="FV44" s="179" t="n"/>
      <c r="FW44" s="179" t="n"/>
      <c r="FX44" s="178" t="n">
        <v>48754540.91</v>
      </c>
      <c r="FY44" s="186" t="n"/>
      <c r="FZ44" s="183" t="n"/>
      <c r="GA44" s="176" t="n"/>
      <c r="GB44" s="176" t="n"/>
      <c r="GC44" s="185" t="n"/>
      <c r="GD44" s="185" t="inlineStr">
        <is>
          <t>2027-07-01</t>
        </is>
      </c>
      <c r="GE44" s="176" t="n"/>
      <c r="GF44" s="176" t="n"/>
      <c r="GG44" s="179" t="n"/>
      <c r="GH44" s="181" t="inlineStr">
        <is>
          <t>CICC</t>
        </is>
      </c>
      <c r="GI44" s="183" t="n">
        <v>2</v>
      </c>
      <c r="GJ44" s="183" t="n">
        <v>0</v>
      </c>
      <c r="GK44" s="176" t="n">
        <v>0.025</v>
      </c>
      <c r="GL44" s="176" t="n">
        <v>0.01</v>
      </c>
      <c r="GM44" s="176" t="n">
        <v>0.035</v>
      </c>
      <c r="GN44" s="183" t="n"/>
      <c r="GO44" s="183" t="n">
        <v>0</v>
      </c>
      <c r="GP44" s="183" t="n">
        <v>0</v>
      </c>
      <c r="GQ44" s="183" t="n">
        <v>6</v>
      </c>
      <c r="GR44" s="183" t="n">
        <v>0</v>
      </c>
      <c r="GS44" s="181" t="inlineStr">
        <is>
          <t>POST_FINI</t>
        </is>
      </c>
      <c r="GT44" s="181" t="inlineStr">
        <is>
          <t>POST_2025_REFORM</t>
        </is>
      </c>
    </row>
    <row r="45" customFormat="1" s="12">
      <c r="A45" s="60" t="n">
        <v>85</v>
      </c>
      <c r="B45" s="93" t="inlineStr">
        <is>
          <t>6715.HK</t>
        </is>
      </c>
      <c r="C45" s="59" t="inlineStr">
        <is>
          <t>Hangzhou Qiandaohu Xunlong Sci-tech Co., Ltd. - H Shares</t>
        </is>
      </c>
      <c r="D45" s="190" t="n">
        <v>46195</v>
      </c>
      <c r="E45" s="190" t="n">
        <v>46203</v>
      </c>
      <c r="F45" s="60" t="inlineStr">
        <is>
          <t>CITIC Securities (Hong Kong) Limited /
China Securities (International) Corporate Finance Company Limited</t>
        </is>
      </c>
      <c r="G45" s="60" t="inlineStr">
        <is>
          <t>PricewaterhouseCoopers</t>
        </is>
      </c>
      <c r="H45" s="60" t="n"/>
      <c r="I45" s="150" t="n">
        <v>123314150</v>
      </c>
      <c r="J45" s="148" t="n">
        <v>1109819800</v>
      </c>
      <c r="K45" s="151" t="n">
        <v>75.5</v>
      </c>
      <c r="L45" t="n">
        <v>108885600</v>
      </c>
      <c r="M45" s="98" t="n">
        <v>16332900</v>
      </c>
      <c r="N45" t="n">
        <v>92552700</v>
      </c>
      <c r="O45" t="n">
        <v>92552700</v>
      </c>
      <c r="P45" t="n">
        <v>0</v>
      </c>
      <c r="Q45" t="n">
        <v>16332900</v>
      </c>
      <c r="R45" s="98" t="n">
        <v>14699600</v>
      </c>
      <c r="S45" s="98" t="n">
        <v>1633300</v>
      </c>
      <c r="T45" s="152" t="n">
        <v>75.5</v>
      </c>
      <c r="U45" s="152" t="n">
        <v>75.5</v>
      </c>
      <c r="V45" s="169" t="n">
        <v>0</v>
      </c>
      <c r="W45" s="169" t="n">
        <v>0</v>
      </c>
      <c r="X45" s="170" t="inlineStr">
        <is>
          <t>Fixed price</t>
        </is>
      </c>
      <c r="Y45" s="26" t="inlineStr">
        <is>
          <t>RMB</t>
        </is>
      </c>
      <c r="Z45" s="137" t="n">
        <v>2030547000</v>
      </c>
      <c r="AA45" s="137" t="n">
        <v>2344494000</v>
      </c>
      <c r="AB45" s="137" t="n">
        <v>3038441000</v>
      </c>
      <c r="AC45" s="137" t="n">
        <v>1502552000</v>
      </c>
      <c r="AD45" s="137" t="n">
        <v>1836747000</v>
      </c>
      <c r="AE45" s="137" t="n">
        <v>2103608000</v>
      </c>
      <c r="AF45" s="137" t="n">
        <v>527995000</v>
      </c>
      <c r="AG45" s="137" t="n">
        <v>507747000</v>
      </c>
      <c r="AH45" s="137" t="n">
        <v>934833000</v>
      </c>
      <c r="AI45" s="137" t="n">
        <v>577241000</v>
      </c>
      <c r="AJ45" s="137" t="n">
        <v>669293000</v>
      </c>
      <c r="AK45" s="137" t="n">
        <v>769006000</v>
      </c>
      <c r="AL45" s="137" t="n">
        <v>331834000</v>
      </c>
      <c r="AM45" s="137" t="n">
        <v>397599000</v>
      </c>
      <c r="AN45" s="137" t="n">
        <v>434430000</v>
      </c>
      <c r="AO45" s="137" t="n">
        <v>272899000</v>
      </c>
      <c r="AP45" s="137" t="n">
        <v>324124000</v>
      </c>
      <c r="AQ45" s="137" t="n">
        <v>365029000</v>
      </c>
      <c r="AR45" s="153" t="n">
        <v>0.025</v>
      </c>
      <c r="AS45" s="153" t="n">
        <v>0.025</v>
      </c>
      <c r="AT45" s="101" t="n">
        <v>0.15</v>
      </c>
      <c r="AU45" s="102" t="inlineStr">
        <is>
          <t>Sturgeon aquaculture and caviar production</t>
        </is>
      </c>
      <c r="AV45" s="102" t="inlineStr">
        <is>
          <t>Main Board</t>
        </is>
      </c>
      <c r="AW45" s="154" t="n">
        <v>46022</v>
      </c>
      <c r="AX45" s="137" t="n">
        <v>270341000</v>
      </c>
      <c r="AY45" s="117" t="n">
        <v>783613000</v>
      </c>
      <c r="AZ45" s="117" t="n">
        <v>28200000</v>
      </c>
      <c r="BA45" s="117" t="n">
        <v>0</v>
      </c>
      <c r="BB45" s="155" t="n">
        <v>0.38</v>
      </c>
      <c r="BC45" s="139" t="n">
        <v>1</v>
      </c>
      <c r="BD45" s="80" t="n">
        <v>1</v>
      </c>
      <c r="BE45" t="n">
        <v>1</v>
      </c>
      <c r="BF45" t="n">
        <v>1</v>
      </c>
      <c r="BG45" t="n">
        <v>1</v>
      </c>
      <c r="BH45" t="n">
        <v>1</v>
      </c>
      <c r="BI45" t="inlineStr">
        <is>
          <t>NaN</t>
        </is>
      </c>
      <c r="BJ45" t="inlineStr">
        <is>
          <t>Yuansheng Jiahao; Fengshi Hechuang</t>
        </is>
      </c>
      <c r="BK45" t="n">
        <v>0.0216</v>
      </c>
      <c r="BL45" t="n">
        <v>1</v>
      </c>
      <c r="BM45" t="inlineStr">
        <is>
          <t>2010 Capital Increase and Share Allotment (Zixing Liangmei)</t>
        </is>
      </c>
      <c r="BN45" t="n">
        <v>15.7</v>
      </c>
      <c r="BO45" s="102" t="inlineStr">
        <is>
          <t>Individual (natural person)</t>
        </is>
      </c>
      <c r="BP45" s="156" t="n">
        <v>0.2944</v>
      </c>
      <c r="BQ45" s="156" t="n">
        <v>0.2944</v>
      </c>
      <c r="BR45" s="137" t="n">
        <v>415653000</v>
      </c>
      <c r="BS45" s="102" t="inlineStr">
        <is>
          <t>Commercialized</t>
        </is>
      </c>
      <c r="BT45" s="153" t="n">
        <v>0</v>
      </c>
      <c r="BU45" s="60" t="inlineStr">
        <is>
          <t>Main Board</t>
        </is>
      </c>
      <c r="BV45" s="89" t="inlineStr">
        <is>
          <t>H Shares</t>
        </is>
      </c>
      <c r="BW45" s="61" t="n">
        <v>0</v>
      </c>
      <c r="BX45" s="77" t="n">
        <v>0</v>
      </c>
      <c r="BY45" s="77" t="n">
        <v>0</v>
      </c>
      <c r="BZ45" s="78" t="n">
        <v>0</v>
      </c>
      <c r="CA45" s="60" t="inlineStr">
        <is>
          <t>251010</t>
        </is>
      </c>
      <c r="CB45" s="76" t="inlineStr">
        <is>
          <t>HSICS (Hang Seng Industry Classification System) 2026</t>
        </is>
      </c>
      <c r="CC45" s="140" t="n">
        <v>37729</v>
      </c>
      <c r="CD45" s="171" t="n">
        <v>23.2</v>
      </c>
      <c r="CE45" s="76" t="inlineStr">
        <is>
          <t>NA</t>
        </is>
      </c>
      <c r="CF45" s="89" t="inlineStr">
        <is>
          <t>Quzhou, Zhejiang Province, PRC</t>
        </is>
      </c>
      <c r="CG45" s="91" t="n">
        <v>1000</v>
      </c>
      <c r="CH45" s="60" t="inlineStr">
        <is>
          <t>IFRS</t>
        </is>
      </c>
      <c r="CI45" s="141" t="n">
        <v>44927</v>
      </c>
      <c r="CJ45" s="141" t="n">
        <v>45291</v>
      </c>
      <c r="CK45" s="141" t="n">
        <v>45292</v>
      </c>
      <c r="CL45" s="141" t="n">
        <v>45657</v>
      </c>
      <c r="CM45" s="141" t="n">
        <v>45658</v>
      </c>
      <c r="CN45" s="64" t="n">
        <v>769006000</v>
      </c>
      <c r="CO45" s="64" t="n">
        <v>434430000</v>
      </c>
      <c r="CP45" s="64" t="n">
        <v>365029000</v>
      </c>
      <c r="CQ45" s="141" t="n">
        <v>46195</v>
      </c>
      <c r="CR45" s="141" t="n">
        <v>46198</v>
      </c>
      <c r="CS45" s="63" t="n">
        <v>108885600</v>
      </c>
      <c r="CT45" s="64" t="n">
        <v>8569000</v>
      </c>
      <c r="CU45" s="64" t="n">
        <v>58189000</v>
      </c>
      <c r="CV45" s="59" t="inlineStr">
        <is>
          <t>Unqualified (true and fair view)</t>
        </is>
      </c>
      <c r="CW45" s="64" t="n">
        <v>86900000</v>
      </c>
      <c r="CX45" s="102" t="inlineStr">
        <is>
          <t>BlackRock Funds; Barings; Taikang Life; Shanghai Greenwoods and GTINV (in connection with Greenwoods OTC Swaps); Dacheng Investors; ICBC Wealth; Nova Kerry Inc.; Mirae Asset Securities HK</t>
        </is>
      </c>
      <c r="CY45" s="153" t="n">
        <v>0.4988</v>
      </c>
      <c r="CZ45" s="154" t="n">
        <v>46386</v>
      </c>
      <c r="DA45" s="143" t="n">
        <v>2134.81</v>
      </c>
      <c r="DB45" s="63" t="n">
        <v>179723</v>
      </c>
      <c r="DC45" s="63" t="n">
        <v>3486789300</v>
      </c>
      <c r="DD45" s="59" t="inlineStr">
        <is>
          <t>Subscription level 2,134.81 times</t>
        </is>
      </c>
      <c r="DE45" s="141" t="inlineStr">
        <is>
          <t>NA</t>
        </is>
      </c>
      <c r="DF45" s="141" t="n">
        <v>46202</v>
      </c>
      <c r="DG45" s="63" t="n">
        <v>16332900</v>
      </c>
      <c r="DH45" s="63" t="n">
        <v>1633300</v>
      </c>
      <c r="DI45" s="63" t="n">
        <v>14699600</v>
      </c>
      <c r="DJ45" s="63" t="n">
        <v>0</v>
      </c>
      <c r="DK45" s="169" t="n">
        <v>0</v>
      </c>
      <c r="DL45" s="59" t="inlineStr">
        <is>
          <t>No claw-back triggered; final number of Offer Shares under the Hong Kong Public Offering remained 1,633,300, equal to the number initially available</t>
        </is>
      </c>
      <c r="DM45" s="157" t="n">
        <v>1146300000</v>
      </c>
      <c r="DN45" s="153" t="n">
        <v>0.5874</v>
      </c>
      <c r="DO45" s="102" t="n">
        <v>108885600</v>
      </c>
      <c r="DP45" s="153" t="n">
        <v>0.0752</v>
      </c>
      <c r="DQ45" s="59" t="inlineStr">
        <is>
          <t>Free float denominator = total issued shares upon listing (col_CZ); numerator = offer shares minus cornerstone allocation</t>
        </is>
      </c>
      <c r="DR45" s="63" t="n">
        <v>108885600</v>
      </c>
      <c r="DS45" s="153" t="n">
        <v>-0.06729952</v>
      </c>
      <c r="DT45" s="80" t="n">
        <v>35</v>
      </c>
      <c r="DU45" s="153" t="n">
        <v>0.0294452</v>
      </c>
      <c r="DV45" s="157" t="n">
        <v>53885000000</v>
      </c>
      <c r="DW45" s="158" t="n">
        <v>114</v>
      </c>
      <c r="DX45" s="169" t="n">
        <v>0.509934</v>
      </c>
      <c r="DY45" s="172" t="n">
        <v>628816650</v>
      </c>
      <c r="DZ45" s="146" t="n">
        <v>103</v>
      </c>
      <c r="EA45" s="146" t="n">
        <v>120.2</v>
      </c>
      <c r="EB45" s="146" t="n">
        <v>101</v>
      </c>
      <c r="EC45" s="63" t="n">
        <v>4944600</v>
      </c>
      <c r="ED45" s="169" t="n">
        <v>0.302739</v>
      </c>
      <c r="EE45" s="64" t="n">
        <v>542427600</v>
      </c>
      <c r="EF45" s="60" t="inlineStr">
        <is>
          <t>Mechanism B</t>
        </is>
      </c>
      <c r="EG45" s="59" t="inlineStr">
        <is>
          <t>FINI (from 22/11/2023); 2025-08-04 pricing reform (Mechanism A/B; six-month cornerstone lock-up retained); this IPO: Mechanism B</t>
        </is>
      </c>
      <c r="EH45" t="inlineStr">
        <is>
          <t>杭州千岛湖鲟龙科技股份有限公司</t>
        </is>
      </c>
      <c r="EI45" s="174" t="inlineStr">
        <is>
          <t>Active</t>
        </is>
      </c>
      <c r="EJ45" s="175" t="n">
        <v>67.65000000000001</v>
      </c>
      <c r="EK45" s="176" t="n">
        <v>-0.406579</v>
      </c>
      <c r="EL45" s="176" t="n">
        <v>-0.103974</v>
      </c>
      <c r="EM45" s="176" t="n">
        <v>0.106194</v>
      </c>
      <c r="EN45" s="176" t="n">
        <v>0.057774</v>
      </c>
      <c r="EO45" s="179" t="n">
        <v>0.5365</v>
      </c>
      <c r="EP45" s="179" t="n">
        <v>0.5610000000000001</v>
      </c>
      <c r="EQ45" s="178" t="n">
        <v>57718290</v>
      </c>
      <c r="ER45" s="175" t="n"/>
      <c r="ES45" s="176" t="n"/>
      <c r="ET45" s="176" t="n"/>
      <c r="EU45" s="176" t="n"/>
      <c r="EV45" s="176" t="n"/>
      <c r="EW45" s="179" t="n"/>
      <c r="EX45" s="179" t="n"/>
      <c r="EY45" s="178" t="n"/>
      <c r="EZ45" s="176" t="n"/>
      <c r="FA45" s="176" t="n"/>
      <c r="FB45" s="179" t="n"/>
      <c r="FC45" s="176" t="n"/>
      <c r="FD45" s="179" t="n"/>
      <c r="FE45" s="174" t="inlineStr">
        <is>
          <t>Standard</t>
        </is>
      </c>
      <c r="FF45" s="181" t="inlineStr">
        <is>
          <t>CLSA Limited</t>
        </is>
      </c>
      <c r="FG45" s="185" t="n"/>
      <c r="FH45" s="183" t="n"/>
      <c r="FI45" s="178" t="n"/>
      <c r="FJ45" s="176" t="n"/>
      <c r="FK45" s="185" t="inlineStr">
        <is>
          <t>2026-07-25</t>
        </is>
      </c>
      <c r="FL45" s="178" t="n">
        <v>0</v>
      </c>
      <c r="FM45" s="176" t="n">
        <v>0</v>
      </c>
      <c r="FN45" s="176" t="n"/>
      <c r="FO45" s="176" t="n"/>
      <c r="FP45" s="176" t="n"/>
      <c r="FQ45" s="176" t="n">
        <v>-0.258772</v>
      </c>
      <c r="FR45" s="179" t="n">
        <v>0.7218</v>
      </c>
      <c r="FS45" s="176" t="n">
        <v>-0.406579</v>
      </c>
      <c r="FT45" s="179" t="n">
        <v>0.5365</v>
      </c>
      <c r="FU45" s="176" t="n">
        <v>-0.42807</v>
      </c>
      <c r="FV45" s="179" t="n"/>
      <c r="FW45" s="179" t="n"/>
      <c r="FX45" s="178" t="n">
        <v>26638615.15</v>
      </c>
      <c r="FY45" s="186" t="n"/>
      <c r="FZ45" s="183" t="n"/>
      <c r="GA45" s="176" t="n"/>
      <c r="GB45" s="176" t="n"/>
      <c r="GC45" s="185" t="n"/>
      <c r="GD45" s="185" t="n"/>
      <c r="GE45" s="176" t="n"/>
      <c r="GF45" s="176" t="n"/>
      <c r="GG45" s="179" t="n"/>
      <c r="GH45" s="181" t="inlineStr">
        <is>
          <t>CICC</t>
        </is>
      </c>
      <c r="GI45" s="183" t="n">
        <v>2</v>
      </c>
      <c r="GJ45" s="183" t="n">
        <v>0</v>
      </c>
      <c r="GK45" s="176" t="n">
        <v>0.025</v>
      </c>
      <c r="GL45" s="176" t="n">
        <v>0.01</v>
      </c>
      <c r="GM45" s="176" t="n">
        <v>0.035</v>
      </c>
      <c r="GN45" s="183" t="n"/>
      <c r="GO45" s="183" t="n">
        <v>0</v>
      </c>
      <c r="GP45" s="183" t="n">
        <v>0</v>
      </c>
      <c r="GQ45" s="183" t="n">
        <v>6</v>
      </c>
      <c r="GR45" s="183" t="n">
        <v>0</v>
      </c>
      <c r="GS45" s="181" t="inlineStr">
        <is>
          <t>POST_FINI</t>
        </is>
      </c>
      <c r="GT45" s="181" t="inlineStr">
        <is>
          <t>POST_2025_REFORM</t>
        </is>
      </c>
    </row>
    <row r="46" customFormat="1" s="12">
      <c r="A46" s="60" t="n">
        <v>83</v>
      </c>
      <c r="B46" s="93" t="inlineStr">
        <is>
          <t>6915.HK</t>
        </is>
      </c>
      <c r="C46" s="59" t="inlineStr">
        <is>
          <t>Jiangxi Institute of Biological Products Inc. - H Shares</t>
        </is>
      </c>
      <c r="D46" s="190" t="n">
        <v>46195</v>
      </c>
      <c r="E46" s="190" t="n">
        <v>46203</v>
      </c>
      <c r="F46" s="60" t="inlineStr">
        <is>
          <t>China International Capital Corporation Hong Kong Securities Limited /
China Merchants Securities (HK) Co., Limited</t>
        </is>
      </c>
      <c r="G46" s="60" t="inlineStr">
        <is>
          <t>Deloitte Touche Tohmatsu</t>
        </is>
      </c>
      <c r="H46" s="60" t="inlineStr">
        <is>
          <t>Jones Lang LaSalle Corporate Appraisal and Advisory Limited</t>
        </is>
      </c>
      <c r="I46" s="150" t="n">
        <v>40583200</v>
      </c>
      <c r="J46" s="148" t="n">
        <v>365243200</v>
      </c>
      <c r="K46" s="151" t="n">
        <v>11.2</v>
      </c>
      <c r="L46" t="n">
        <v>308377319</v>
      </c>
      <c r="M46" s="98" t="n">
        <v>36234500</v>
      </c>
      <c r="N46" t="n">
        <v>272142819</v>
      </c>
      <c r="O46" t="n">
        <v>272142819</v>
      </c>
      <c r="P46" t="n">
        <v>0</v>
      </c>
      <c r="Q46" t="n">
        <v>36234500</v>
      </c>
      <c r="R46" s="98" t="n">
        <v>32611000</v>
      </c>
      <c r="S46" s="98" t="n">
        <v>3623500</v>
      </c>
      <c r="T46" s="152" t="n">
        <v>13.06</v>
      </c>
      <c r="U46" s="152" t="n">
        <v>9.33</v>
      </c>
      <c r="V46" s="169" t="n">
        <v>0.000447</v>
      </c>
      <c r="W46" s="169" t="n">
        <v>0.333184</v>
      </c>
      <c r="X46" s="170" t="inlineStr">
        <is>
          <t>Within range</t>
        </is>
      </c>
      <c r="Y46" s="26" t="inlineStr">
        <is>
          <t>RMB</t>
        </is>
      </c>
      <c r="Z46" s="137" t="n">
        <v>502270000</v>
      </c>
      <c r="AA46" s="137" t="n">
        <v>487522000</v>
      </c>
      <c r="AB46" s="137" t="n">
        <v>560280000</v>
      </c>
      <c r="AC46" s="137" t="n">
        <v>361924000</v>
      </c>
      <c r="AD46" s="137" t="n">
        <v>403223000</v>
      </c>
      <c r="AE46" s="137" t="n">
        <v>498017000</v>
      </c>
      <c r="AF46" s="137" t="n">
        <v>140346000</v>
      </c>
      <c r="AG46" s="137" t="n">
        <v>84299000</v>
      </c>
      <c r="AH46" s="137" t="n">
        <v>62263000</v>
      </c>
      <c r="AI46" s="137" t="n">
        <v>198021000</v>
      </c>
      <c r="AJ46" s="137" t="n">
        <v>220755000</v>
      </c>
      <c r="AK46" s="137" t="n">
        <v>235408000</v>
      </c>
      <c r="AL46" s="137" t="n">
        <v>63594000</v>
      </c>
      <c r="AM46" s="137" t="n">
        <v>91765000</v>
      </c>
      <c r="AN46" s="137" t="n">
        <v>109262000</v>
      </c>
      <c r="AO46" s="137" t="n">
        <v>55481000</v>
      </c>
      <c r="AP46" s="137" t="n">
        <v>75140000</v>
      </c>
      <c r="AQ46" s="137" t="n">
        <v>94794000</v>
      </c>
      <c r="AR46" s="153" t="n">
        <v>0.03</v>
      </c>
      <c r="AS46" s="153" t="n">
        <v>0.03</v>
      </c>
      <c r="AT46" s="101" t="n">
        <v>0.15</v>
      </c>
      <c r="AU46" s="102" t="inlineStr">
        <is>
          <t>Research, development, manufacturing and sale of human tetanus antitoxin (Human TAT) and antiserum products</t>
        </is>
      </c>
      <c r="AV46" s="102" t="inlineStr">
        <is>
          <t>Main Board profit test under Rule 8.05(1) of the Listing Rules; H Share issuer under Chapter 19A</t>
        </is>
      </c>
      <c r="AW46" s="154" t="n">
        <v>46022</v>
      </c>
      <c r="AX46" s="137" t="n">
        <v>56826000</v>
      </c>
      <c r="AY46" s="117" t="n">
        <v>73828000</v>
      </c>
      <c r="AZ46" s="117" t="n">
        <v>23700000</v>
      </c>
      <c r="BA46" s="117" t="n">
        <v>0</v>
      </c>
      <c r="BB46" s="155" t="n">
        <v>0.331</v>
      </c>
      <c r="BC46" s="139" t="n">
        <v>1</v>
      </c>
      <c r="BD46" s="80" t="n">
        <v>1</v>
      </c>
      <c r="BE46" t="n">
        <v>1</v>
      </c>
      <c r="BF46" t="n">
        <v>1</v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Hanyi Cultural Exchange; Xiangyi Investment; Chifeng Bo-en Jingtian; Ruiqingxiang Investment; Jiaxing Jiaci; Hanxin Pharmaceutical; Hailei Pharmaceutical; Heli No. 7; Lingyao Investment</t>
        </is>
      </c>
      <c r="BK46" t="n">
        <v>0.0944</v>
      </c>
      <c r="BL46" t="n">
        <v>1</v>
      </c>
      <c r="BM46" t="inlineStr">
        <is>
          <t>Series A Financing</t>
        </is>
      </c>
      <c r="BN46" t="n">
        <v>6.13</v>
      </c>
      <c r="BO46" s="102" t="inlineStr">
        <is>
          <t>Individual (Ms. Jing Yue)</t>
        </is>
      </c>
      <c r="BP46" s="156" t="n">
        <v>0.6763</v>
      </c>
      <c r="BQ46" s="156" t="n">
        <v>0.6763</v>
      </c>
      <c r="BR46" s="137" t="n">
        <v>894000</v>
      </c>
      <c r="BS46" s="102" t="inlineStr">
        <is>
          <t>Commercialized (Human TAT); pipeline product candidates at clinical, preclinical and process research stages</t>
        </is>
      </c>
      <c r="BT46" s="153" t="n">
        <v>0</v>
      </c>
      <c r="BU46" s="60" t="inlineStr">
        <is>
          <t>Main Board</t>
        </is>
      </c>
      <c r="BV46" s="89" t="inlineStr">
        <is>
          <t>H Shares</t>
        </is>
      </c>
      <c r="BW46" s="61" t="n">
        <v>0</v>
      </c>
      <c r="BX46" s="77" t="n">
        <v>0</v>
      </c>
      <c r="BY46" s="77" t="n">
        <v>0</v>
      </c>
      <c r="BZ46" s="78" t="n">
        <v>0</v>
      </c>
      <c r="CA46" s="60" t="inlineStr">
        <is>
          <t>281010</t>
        </is>
      </c>
      <c r="CB46" s="76" t="inlineStr">
        <is>
          <t>HSICS (Hang Seng Industry Classification System) 2026</t>
        </is>
      </c>
      <c r="CC46" s="140" t="n">
        <v>37442</v>
      </c>
      <c r="CD46" s="171" t="n">
        <v>23.99</v>
      </c>
      <c r="CE46" s="76" t="inlineStr">
        <is>
          <t>NA</t>
        </is>
      </c>
      <c r="CF46" s="89" t="inlineStr">
        <is>
          <t>No. 198 Huoju Avenue, Jinggangshan Economic and Technological Development Zone, Ji'an, Jiangxi, PRC</t>
        </is>
      </c>
      <c r="CG46" s="91" t="n">
        <v>1000</v>
      </c>
      <c r="CH46" s="60" t="inlineStr">
        <is>
          <t>IFRS Accounting Standards</t>
        </is>
      </c>
      <c r="CI46" s="141" t="n">
        <v>44927</v>
      </c>
      <c r="CJ46" s="141" t="n">
        <v>45291</v>
      </c>
      <c r="CK46" s="141" t="n">
        <v>45292</v>
      </c>
      <c r="CL46" s="141" t="n">
        <v>45657</v>
      </c>
      <c r="CM46" s="141" t="n">
        <v>45658</v>
      </c>
      <c r="CN46" s="64" t="n">
        <v>235408000</v>
      </c>
      <c r="CO46" s="64" t="n">
        <v>109262000</v>
      </c>
      <c r="CP46" s="64" t="n">
        <v>94794000</v>
      </c>
      <c r="CQ46" s="141" t="n">
        <v>46195</v>
      </c>
      <c r="CR46" s="141" t="n">
        <v>46198</v>
      </c>
      <c r="CS46" s="63" t="n">
        <v>307090319</v>
      </c>
      <c r="CT46" s="64" t="n">
        <v>180686000</v>
      </c>
      <c r="CU46" s="64" t="n">
        <v>29100000</v>
      </c>
      <c r="CV46" s="59" t="inlineStr">
        <is>
          <t>True and fair view (unqualified opinion)</t>
        </is>
      </c>
      <c r="CW46" s="64" t="n">
        <v>67000000</v>
      </c>
      <c r="CX46" s="102" t="inlineStr">
        <is>
          <t>WSH (Wealth Strategy Holding Limited, 富策控股有限公司)</t>
        </is>
      </c>
      <c r="CY46" s="153" t="n">
        <v>0.1232</v>
      </c>
      <c r="CZ46" s="154" t="n">
        <v>46386</v>
      </c>
      <c r="DA46" s="143" t="n">
        <v>476.56</v>
      </c>
      <c r="DB46" s="63" t="n">
        <v>78433</v>
      </c>
      <c r="DC46" s="63" t="n">
        <v>1726805000</v>
      </c>
      <c r="DD46" s="59" t="inlineStr">
        <is>
          <t>Subscription level 476.56 times</t>
        </is>
      </c>
      <c r="DE46" s="141" t="n">
        <v>46199</v>
      </c>
      <c r="DF46" s="141" t="n">
        <v>46202</v>
      </c>
      <c r="DG46" s="63" t="n">
        <v>36234500</v>
      </c>
      <c r="DH46" s="63" t="n">
        <v>3623500</v>
      </c>
      <c r="DI46" s="63" t="n">
        <v>32611000</v>
      </c>
      <c r="DJ46" s="63" t="n">
        <v>0</v>
      </c>
      <c r="DK46" s="169" t="n">
        <v>0</v>
      </c>
      <c r="DL46" s="59" t="inlineStr">
        <is>
          <t>No claw-back triggered (N/A); no Offer Shares reallocated from the International Offering to the Hong Kong Public Offering (0 H Shares).</t>
        </is>
      </c>
      <c r="DM46" s="157" t="n">
        <v>338800000</v>
      </c>
      <c r="DN46" s="153" t="n">
        <v>0.2867</v>
      </c>
      <c r="DO46" s="102" t="n">
        <v>308377319</v>
      </c>
      <c r="DP46" s="153" t="n">
        <v>0.103</v>
      </c>
      <c r="DQ46" s="59" t="inlineStr">
        <is>
          <t>Free float denominator = total issued shares upon listing (308,377,319); numerator excludes Shares subject to lock-up: 272,142,819 Shares held by all existing Shareholders under the PRC 12-month lock-up and 4,464,000 Shares held by the Cornerstone Investor under the 6-month lock-up.</t>
        </is>
      </c>
      <c r="DR46" s="63" t="n">
        <v>308377319</v>
      </c>
      <c r="DS46" s="153" t="n">
        <v>-0.06729952</v>
      </c>
      <c r="DT46" s="80" t="n">
        <v>35</v>
      </c>
      <c r="DU46" s="153" t="n">
        <v>0.0294452</v>
      </c>
      <c r="DV46" s="157" t="n">
        <v>53885000000</v>
      </c>
      <c r="DW46" s="158" t="n">
        <v>9.779999999999999</v>
      </c>
      <c r="DX46" s="169" t="n">
        <v>-0.126786</v>
      </c>
      <c r="DY46" s="172" t="n">
        <v>-51452990</v>
      </c>
      <c r="DZ46" s="146" t="n">
        <v>7.4</v>
      </c>
      <c r="EA46" s="146" t="n">
        <v>10.75</v>
      </c>
      <c r="EB46" s="146" t="n">
        <v>7.3</v>
      </c>
      <c r="EC46" s="63" t="n">
        <v>29954500</v>
      </c>
      <c r="ED46" s="169" t="n">
        <v>0.826685</v>
      </c>
      <c r="EE46" s="64" t="n">
        <v>299791300</v>
      </c>
      <c r="EF46" s="60" t="inlineStr">
        <is>
          <t>Mechanism B</t>
        </is>
      </c>
      <c r="EG46" s="59" t="inlineStr">
        <is>
          <t>FINI (from 22/11/2023); 2025-08-04 pricing reform (Mechanism A/B; six-month cornerstone lock-up retained); this IPO: Mechanism B</t>
        </is>
      </c>
      <c r="EH46" t="inlineStr">
        <is>
          <t>江西生物制品研究所股份有限公司</t>
        </is>
      </c>
      <c r="EI46" s="174" t="inlineStr">
        <is>
          <t>Active</t>
        </is>
      </c>
      <c r="EJ46" s="175" t="n">
        <v>16.79</v>
      </c>
      <c r="EK46" s="176" t="n">
        <v>0.716769</v>
      </c>
      <c r="EL46" s="176" t="n">
        <v>0.499107</v>
      </c>
      <c r="EM46" s="176" t="n">
        <v>0.106194</v>
      </c>
      <c r="EN46" s="176" t="n">
        <v>0.057774</v>
      </c>
      <c r="EO46" s="179" t="n">
        <v>1.552</v>
      </c>
      <c r="EP46" s="179" t="n">
        <v>1.623</v>
      </c>
      <c r="EQ46" s="178" t="n">
        <v>35449860</v>
      </c>
      <c r="ER46" s="175" t="n"/>
      <c r="ES46" s="176" t="n"/>
      <c r="ET46" s="176" t="n"/>
      <c r="EU46" s="176" t="n"/>
      <c r="EV46" s="176" t="n"/>
      <c r="EW46" s="179" t="n"/>
      <c r="EX46" s="179" t="n"/>
      <c r="EY46" s="178" t="n"/>
      <c r="EZ46" s="176" t="n"/>
      <c r="FA46" s="176" t="n"/>
      <c r="FB46" s="179" t="n"/>
      <c r="FC46" s="176" t="n"/>
      <c r="FD46" s="179" t="n"/>
      <c r="FE46" s="174" t="inlineStr">
        <is>
          <t>Standard</t>
        </is>
      </c>
      <c r="FF46" s="181" t="inlineStr">
        <is>
          <t>China International Capital Corporation Hong Kong Securities Limited</t>
        </is>
      </c>
      <c r="FG46" s="185" t="n"/>
      <c r="FH46" s="183" t="n"/>
      <c r="FI46" s="178" t="n"/>
      <c r="FJ46" s="176" t="n"/>
      <c r="FK46" s="185" t="inlineStr">
        <is>
          <t>2026-06-30</t>
        </is>
      </c>
      <c r="FL46" s="178" t="n"/>
      <c r="FM46" s="176" t="n">
        <v>1</v>
      </c>
      <c r="FN46" s="176" t="n"/>
      <c r="FO46" s="176" t="n"/>
      <c r="FP46" s="176" t="n"/>
      <c r="FQ46" s="176" t="n">
        <v>-0.498978</v>
      </c>
      <c r="FR46" s="179" t="n">
        <v>0.4879</v>
      </c>
      <c r="FS46" s="176" t="n">
        <v>0.716769</v>
      </c>
      <c r="FT46" s="179" t="n">
        <v>1.552</v>
      </c>
      <c r="FU46" s="176" t="n">
        <v>0.176892</v>
      </c>
      <c r="FV46" s="179" t="n"/>
      <c r="FW46" s="179" t="n"/>
      <c r="FX46" s="178" t="n">
        <v>24567593.94</v>
      </c>
      <c r="FY46" s="186" t="n"/>
      <c r="FZ46" s="183" t="n"/>
      <c r="GA46" s="176" t="n"/>
      <c r="GB46" s="176" t="n"/>
      <c r="GC46" s="185" t="inlineStr">
        <is>
          <t>2026-12-31</t>
        </is>
      </c>
      <c r="GD46" s="185" t="inlineStr">
        <is>
          <t>2027-06-30</t>
        </is>
      </c>
      <c r="GE46" s="176" t="n"/>
      <c r="GF46" s="176" t="n"/>
      <c r="GG46" s="179" t="n"/>
      <c r="GH46" s="181" t="inlineStr">
        <is>
          <t>CICC</t>
        </is>
      </c>
      <c r="GI46" s="183" t="n">
        <v>2</v>
      </c>
      <c r="GJ46" s="183" t="n">
        <v>0</v>
      </c>
      <c r="GK46" s="176" t="n">
        <v>0.025</v>
      </c>
      <c r="GL46" s="176" t="n">
        <v>0.01</v>
      </c>
      <c r="GM46" s="176" t="n">
        <v>0.035</v>
      </c>
      <c r="GN46" s="183" t="n"/>
      <c r="GO46" s="183" t="n">
        <v>0</v>
      </c>
      <c r="GP46" s="183" t="n">
        <v>0</v>
      </c>
      <c r="GQ46" s="183" t="n">
        <v>6</v>
      </c>
      <c r="GR46" s="183" t="n">
        <v>0</v>
      </c>
      <c r="GS46" s="181" t="inlineStr">
        <is>
          <t>POST_FINI</t>
        </is>
      </c>
      <c r="GT46" s="181" t="inlineStr">
        <is>
          <t>POST_2025_REFORM</t>
        </is>
      </c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32" t="n"/>
      <c r="K98" s="151" t="n"/>
      <c r="L98" s="85" t="n"/>
      <c r="M98" s="108" t="n"/>
      <c r="N98" s="85" t="n"/>
      <c r="O98" s="85" t="n"/>
      <c r="P98" s="85" t="n"/>
      <c r="Q98" s="85" t="n"/>
      <c r="R98" s="108" t="n"/>
      <c r="S98" s="10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6" t="n"/>
      <c r="AS98" s="156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9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32" t="n"/>
      <c r="K99" s="151" t="n"/>
      <c r="M99" s="98" t="n"/>
      <c r="O99" s="86" t="n"/>
      <c r="P99" s="86" t="n"/>
      <c r="Q99" s="86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6" t="n"/>
      <c r="AS99" s="156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9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110" t="n"/>
      <c r="C100" s="59" t="n"/>
      <c r="D100" s="149" t="n"/>
      <c r="E100" s="95" t="n"/>
      <c r="F100" s="60" t="n"/>
      <c r="G100" s="60" t="n"/>
      <c r="H100" s="60" t="n"/>
      <c r="I100" s="150" t="n"/>
      <c r="J100" s="132" t="n"/>
      <c r="K100" s="151" t="n"/>
      <c r="M100" s="98" t="n"/>
      <c r="O100" s="86" t="n"/>
      <c r="P100" s="86" t="n"/>
      <c r="Q100" s="86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6" t="n"/>
      <c r="AS100" s="156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9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110" t="n"/>
      <c r="C101" s="59" t="n"/>
      <c r="D101" s="149" t="n"/>
      <c r="E101" s="95" t="n"/>
      <c r="F101" s="60" t="n"/>
      <c r="G101" s="60" t="n"/>
      <c r="H101" s="60" t="n"/>
      <c r="I101" s="150" t="n"/>
      <c r="J101" s="132" t="n"/>
      <c r="K101" s="151" t="n"/>
      <c r="M101" s="98" t="n"/>
      <c r="O101" s="86" t="n"/>
      <c r="P101" s="86" t="n"/>
      <c r="Q101" s="86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6" t="n"/>
      <c r="AS101" s="156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9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110" t="n"/>
      <c r="C102" s="59" t="n"/>
      <c r="D102" s="149" t="n"/>
      <c r="E102" s="95" t="n"/>
      <c r="F102" s="60" t="n"/>
      <c r="G102" s="60" t="n"/>
      <c r="H102" s="60" t="n"/>
      <c r="I102" s="150" t="n"/>
      <c r="J102" s="132" t="n"/>
      <c r="K102" s="151" t="n"/>
      <c r="M102" s="98" t="n"/>
      <c r="O102" s="86" t="n"/>
      <c r="P102" s="86" t="n"/>
      <c r="Q102" s="86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6" t="n"/>
      <c r="AS102" s="156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9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110" t="n"/>
      <c r="C103" s="59" t="n"/>
      <c r="D103" s="149" t="n"/>
      <c r="E103" s="95" t="n"/>
      <c r="F103" s="60" t="n"/>
      <c r="G103" s="60" t="n"/>
      <c r="H103" s="60" t="n"/>
      <c r="I103" s="150" t="n"/>
      <c r="J103" s="132" t="n"/>
      <c r="K103" s="151" t="n"/>
      <c r="M103" s="98" t="n"/>
      <c r="O103" s="86" t="n"/>
      <c r="P103" s="86" t="n"/>
      <c r="Q103" s="86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6" t="n"/>
      <c r="AS103" s="156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9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110" t="n"/>
      <c r="C104" s="59" t="n"/>
      <c r="D104" s="149" t="n"/>
      <c r="E104" s="95" t="n"/>
      <c r="F104" s="60" t="n"/>
      <c r="G104" s="60" t="n"/>
      <c r="H104" s="60" t="n"/>
      <c r="I104" s="150" t="n"/>
      <c r="J104" s="132" t="n"/>
      <c r="K104" s="151" t="n"/>
      <c r="M104" s="98" t="n"/>
      <c r="O104" s="86" t="n"/>
      <c r="P104" s="86" t="n"/>
      <c r="Q104" s="86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6" t="n"/>
      <c r="AS104" s="156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9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110" t="n"/>
      <c r="C105" s="59" t="n"/>
      <c r="D105" s="149" t="n"/>
      <c r="E105" s="95" t="n"/>
      <c r="F105" s="60" t="n"/>
      <c r="G105" s="60" t="n"/>
      <c r="H105" s="60" t="n"/>
      <c r="I105" s="150" t="n"/>
      <c r="J105" s="132" t="n"/>
      <c r="K105" s="151" t="n"/>
      <c r="M105" s="98" t="n"/>
      <c r="O105" s="86" t="n"/>
      <c r="P105" s="86" t="n"/>
      <c r="Q105" s="86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6" t="n"/>
      <c r="AS105" s="156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9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110" t="n"/>
      <c r="C106" s="59" t="n"/>
      <c r="D106" s="149" t="n"/>
      <c r="E106" s="95" t="n"/>
      <c r="F106" s="60" t="n"/>
      <c r="G106" s="60" t="n"/>
      <c r="H106" s="60" t="n"/>
      <c r="I106" s="150" t="n"/>
      <c r="J106" s="132" t="n"/>
      <c r="K106" s="151" t="n"/>
      <c r="M106" s="98" t="n"/>
      <c r="O106" s="86" t="n"/>
      <c r="P106" s="86" t="n"/>
      <c r="Q106" s="86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6" t="n"/>
      <c r="AS106" s="156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9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110" t="n"/>
      <c r="C107" s="59" t="n"/>
      <c r="D107" s="149" t="n"/>
      <c r="E107" s="95" t="n"/>
      <c r="F107" s="60" t="n"/>
      <c r="G107" s="60" t="n"/>
      <c r="H107" s="60" t="n"/>
      <c r="I107" s="150" t="n"/>
      <c r="J107" s="132" t="n"/>
      <c r="K107" s="151" t="n"/>
      <c r="M107" s="98" t="n"/>
      <c r="O107" s="86" t="n"/>
      <c r="P107" s="86" t="n"/>
      <c r="Q107" s="86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6" t="n"/>
      <c r="AS107" s="156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9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110" t="n"/>
      <c r="C108" s="59" t="n"/>
      <c r="D108" s="149" t="n"/>
      <c r="E108" s="95" t="n"/>
      <c r="F108" s="60" t="n"/>
      <c r="G108" s="60" t="n"/>
      <c r="H108" s="60" t="n"/>
      <c r="I108" s="150" t="n"/>
      <c r="J108" s="132" t="n"/>
      <c r="K108" s="151" t="n"/>
      <c r="M108" s="98" t="n"/>
      <c r="O108" s="86" t="n"/>
      <c r="P108" s="86" t="n"/>
      <c r="Q108" s="86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6" t="n"/>
      <c r="AS108" s="156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9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110" t="n"/>
      <c r="C109" s="59" t="n"/>
      <c r="D109" s="149" t="n"/>
      <c r="E109" s="95" t="n"/>
      <c r="F109" s="60" t="n"/>
      <c r="G109" s="60" t="n"/>
      <c r="H109" s="60" t="n"/>
      <c r="I109" s="150" t="n"/>
      <c r="J109" s="132" t="n"/>
      <c r="K109" s="151" t="n"/>
      <c r="M109" s="98" t="n"/>
      <c r="O109" s="86" t="n"/>
      <c r="P109" s="86" t="n"/>
      <c r="Q109" s="86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6" t="n"/>
      <c r="AS109" s="156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9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110" t="n"/>
      <c r="C110" s="59" t="n"/>
      <c r="D110" s="149" t="n"/>
      <c r="E110" s="95" t="n"/>
      <c r="F110" s="60" t="n"/>
      <c r="G110" s="60" t="n"/>
      <c r="H110" s="60" t="n"/>
      <c r="I110" s="150" t="n"/>
      <c r="J110" s="132" t="n"/>
      <c r="K110" s="151" t="n"/>
      <c r="M110" s="98" t="n"/>
      <c r="O110" s="86" t="n"/>
      <c r="P110" s="86" t="n"/>
      <c r="Q110" s="86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6" t="n"/>
      <c r="AS110" s="156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9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110" t="n"/>
      <c r="C111" s="59" t="n"/>
      <c r="D111" s="149" t="n"/>
      <c r="E111" s="95" t="n"/>
      <c r="F111" s="60" t="n"/>
      <c r="G111" s="60" t="n"/>
      <c r="H111" s="60" t="n"/>
      <c r="I111" s="150" t="n"/>
      <c r="J111" s="132" t="n"/>
      <c r="K111" s="151" t="n"/>
      <c r="M111" s="98" t="n"/>
      <c r="O111" s="86" t="n"/>
      <c r="P111" s="86" t="n"/>
      <c r="Q111" s="86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6" t="n"/>
      <c r="AS111" s="156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9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110" t="n"/>
      <c r="C112" s="59" t="n"/>
      <c r="D112" s="149" t="n"/>
      <c r="E112" s="95" t="n"/>
      <c r="F112" s="60" t="n"/>
      <c r="G112" s="60" t="n"/>
      <c r="H112" s="60" t="n"/>
      <c r="I112" s="150" t="n"/>
      <c r="J112" s="132" t="n"/>
      <c r="K112" s="151" t="n"/>
      <c r="M112" s="98" t="n"/>
      <c r="O112" s="86" t="n"/>
      <c r="P112" s="86" t="n"/>
      <c r="Q112" s="86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6" t="n"/>
      <c r="AS112" s="156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9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110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M113" s="98" t="n"/>
      <c r="O113" s="86" t="n"/>
      <c r="P113" s="86" t="n"/>
      <c r="Q113" s="86" t="n"/>
      <c r="R113" s="98" t="n"/>
      <c r="S113" s="9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110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111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111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111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111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111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111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111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111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111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93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3" t="n"/>
      <c r="AS167" s="153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93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3" t="n"/>
      <c r="AS168" s="153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93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3" t="n"/>
      <c r="AS169" s="153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93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3" t="n"/>
      <c r="AS170" s="153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93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3" t="n"/>
      <c r="AS171" s="153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93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3" t="n"/>
      <c r="AS172" s="153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93" t="n"/>
      <c r="C173" s="59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3" t="n"/>
      <c r="AS173" s="153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93" t="n"/>
      <c r="C174" s="59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3" t="n"/>
      <c r="AS174" s="153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93" t="n"/>
      <c r="C175" s="59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3" t="n"/>
      <c r="AS175" s="153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93" t="n"/>
      <c r="C176" s="59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3" t="n"/>
      <c r="AS176" s="153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93" t="n"/>
      <c r="C177" s="59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3" t="n"/>
      <c r="AS177" s="153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93" t="n"/>
      <c r="C178" s="59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3" t="n"/>
      <c r="AS178" s="153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93" t="n"/>
      <c r="C179" s="59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3" t="n"/>
      <c r="AS179" s="153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93" t="n"/>
      <c r="C180" s="59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3" t="n"/>
      <c r="AS180" s="153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93" t="n"/>
      <c r="C181" s="59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3" t="n"/>
      <c r="AS181" s="153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48" t="n"/>
      <c r="K849" s="151" t="n"/>
      <c r="M849" s="98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37" t="n"/>
      <c r="AZ849" s="137" t="n"/>
      <c r="BA849" s="137" t="n"/>
      <c r="BB849" s="153" t="n"/>
      <c r="BC849" s="159" t="n"/>
      <c r="BD849" s="80" t="n"/>
      <c r="BO849" s="102" t="n"/>
      <c r="BP849" s="153" t="n"/>
      <c r="BQ849" s="153" t="n"/>
      <c r="BR849" s="137" t="n"/>
      <c r="BS849" s="102" t="n"/>
      <c r="BT849" s="153" t="n"/>
      <c r="BU849" s="60" t="n"/>
      <c r="BV849" s="59" t="n"/>
      <c r="BW849" s="61" t="n"/>
      <c r="BX849" s="61" t="n"/>
      <c r="BY849" s="61" t="n"/>
      <c r="BZ849" s="61" t="n"/>
      <c r="CA849" s="60" t="n"/>
      <c r="CB849" s="59" t="n"/>
      <c r="CC849" s="141" t="n"/>
      <c r="CE849" s="59" t="n"/>
      <c r="CF849" s="59" t="n"/>
      <c r="CG849" s="63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48" t="n"/>
      <c r="K850" s="151" t="n"/>
      <c r="M850" s="98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37" t="n"/>
      <c r="AZ850" s="137" t="n"/>
      <c r="BA850" s="137" t="n"/>
      <c r="BB850" s="153" t="n"/>
      <c r="BC850" s="159" t="n"/>
      <c r="BD850" s="80" t="n"/>
      <c r="BO850" s="102" t="n"/>
      <c r="BP850" s="153" t="n"/>
      <c r="BQ850" s="153" t="n"/>
      <c r="BR850" s="137" t="n"/>
      <c r="BS850" s="102" t="n"/>
      <c r="BT850" s="153" t="n"/>
      <c r="BU850" s="60" t="n"/>
      <c r="BV850" s="59" t="n"/>
      <c r="BW850" s="61" t="n"/>
      <c r="BX850" s="61" t="n"/>
      <c r="BY850" s="61" t="n"/>
      <c r="BZ850" s="61" t="n"/>
      <c r="CA850" s="60" t="n"/>
      <c r="CB850" s="59" t="n"/>
      <c r="CC850" s="141" t="n"/>
      <c r="CE850" s="59" t="n"/>
      <c r="CF850" s="59" t="n"/>
      <c r="CG850" s="63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48" t="n"/>
      <c r="K851" s="151" t="n"/>
      <c r="M851" s="98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37" t="n"/>
      <c r="AZ851" s="137" t="n"/>
      <c r="BA851" s="137" t="n"/>
      <c r="BB851" s="153" t="n"/>
      <c r="BC851" s="159" t="n"/>
      <c r="BD851" s="80" t="n"/>
      <c r="BO851" s="102" t="n"/>
      <c r="BP851" s="153" t="n"/>
      <c r="BQ851" s="153" t="n"/>
      <c r="BR851" s="137" t="n"/>
      <c r="BS851" s="102" t="n"/>
      <c r="BT851" s="153" t="n"/>
      <c r="BU851" s="60" t="n"/>
      <c r="BV851" s="59" t="n"/>
      <c r="BW851" s="61" t="n"/>
      <c r="BX851" s="61" t="n"/>
      <c r="BY851" s="61" t="n"/>
      <c r="BZ851" s="61" t="n"/>
      <c r="CA851" s="60" t="n"/>
      <c r="CB851" s="59" t="n"/>
      <c r="CC851" s="141" t="n"/>
      <c r="CE851" s="59" t="n"/>
      <c r="CF851" s="59" t="n"/>
      <c r="CG851" s="63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48" t="n"/>
      <c r="K852" s="151" t="n"/>
      <c r="M852" s="98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37" t="n"/>
      <c r="AZ852" s="137" t="n"/>
      <c r="BA852" s="137" t="n"/>
      <c r="BB852" s="153" t="n"/>
      <c r="BC852" s="159" t="n"/>
      <c r="BD852" s="80" t="n"/>
      <c r="BO852" s="102" t="n"/>
      <c r="BP852" s="153" t="n"/>
      <c r="BQ852" s="153" t="n"/>
      <c r="BR852" s="137" t="n"/>
      <c r="BS852" s="102" t="n"/>
      <c r="BT852" s="153" t="n"/>
      <c r="BU852" s="60" t="n"/>
      <c r="BV852" s="59" t="n"/>
      <c r="BW852" s="61" t="n"/>
      <c r="BX852" s="61" t="n"/>
      <c r="BY852" s="61" t="n"/>
      <c r="BZ852" s="61" t="n"/>
      <c r="CA852" s="60" t="n"/>
      <c r="CB852" s="59" t="n"/>
      <c r="CC852" s="141" t="n"/>
      <c r="CE852" s="59" t="n"/>
      <c r="CF852" s="59" t="n"/>
      <c r="CG852" s="63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48" t="n"/>
      <c r="K853" s="151" t="n"/>
      <c r="M853" s="98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37" t="n"/>
      <c r="AZ853" s="137" t="n"/>
      <c r="BA853" s="137" t="n"/>
      <c r="BB853" s="153" t="n"/>
      <c r="BC853" s="159" t="n"/>
      <c r="BD853" s="80" t="n"/>
      <c r="BO853" s="102" t="n"/>
      <c r="BP853" s="153" t="n"/>
      <c r="BQ853" s="153" t="n"/>
      <c r="BR853" s="137" t="n"/>
      <c r="BS853" s="102" t="n"/>
      <c r="BT853" s="153" t="n"/>
      <c r="BU853" s="60" t="n"/>
      <c r="BV853" s="59" t="n"/>
      <c r="BW853" s="61" t="n"/>
      <c r="BX853" s="61" t="n"/>
      <c r="BY853" s="61" t="n"/>
      <c r="BZ853" s="61" t="n"/>
      <c r="CA853" s="60" t="n"/>
      <c r="CB853" s="59" t="n"/>
      <c r="CC853" s="141" t="n"/>
      <c r="CE853" s="59" t="n"/>
      <c r="CF853" s="59" t="n"/>
      <c r="CG853" s="63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48" t="n"/>
      <c r="K854" s="151" t="n"/>
      <c r="M854" s="98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37" t="n"/>
      <c r="AZ854" s="137" t="n"/>
      <c r="BA854" s="137" t="n"/>
      <c r="BB854" s="153" t="n"/>
      <c r="BC854" s="159" t="n"/>
      <c r="BD854" s="80" t="n"/>
      <c r="BO854" s="102" t="n"/>
      <c r="BP854" s="153" t="n"/>
      <c r="BQ854" s="153" t="n"/>
      <c r="BR854" s="137" t="n"/>
      <c r="BS854" s="102" t="n"/>
      <c r="BT854" s="153" t="n"/>
      <c r="BU854" s="60" t="n"/>
      <c r="BV854" s="59" t="n"/>
      <c r="BW854" s="61" t="n"/>
      <c r="BX854" s="61" t="n"/>
      <c r="BY854" s="61" t="n"/>
      <c r="BZ854" s="61" t="n"/>
      <c r="CA854" s="60" t="n"/>
      <c r="CB854" s="59" t="n"/>
      <c r="CC854" s="141" t="n"/>
      <c r="CE854" s="59" t="n"/>
      <c r="CF854" s="59" t="n"/>
      <c r="CG854" s="63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48" t="n"/>
      <c r="K855" s="151" t="n"/>
      <c r="M855" s="98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37" t="n"/>
      <c r="AZ855" s="137" t="n"/>
      <c r="BA855" s="137" t="n"/>
      <c r="BB855" s="153" t="n"/>
      <c r="BC855" s="159" t="n"/>
      <c r="BD855" s="80" t="n"/>
      <c r="BO855" s="102" t="n"/>
      <c r="BP855" s="153" t="n"/>
      <c r="BQ855" s="153" t="n"/>
      <c r="BR855" s="137" t="n"/>
      <c r="BS855" s="102" t="n"/>
      <c r="BT855" s="153" t="n"/>
      <c r="BU855" s="60" t="n"/>
      <c r="BV855" s="59" t="n"/>
      <c r="BW855" s="61" t="n"/>
      <c r="BX855" s="61" t="n"/>
      <c r="BY855" s="61" t="n"/>
      <c r="BZ855" s="61" t="n"/>
      <c r="CA855" s="60" t="n"/>
      <c r="CB855" s="59" t="n"/>
      <c r="CC855" s="141" t="n"/>
      <c r="CE855" s="59" t="n"/>
      <c r="CF855" s="59" t="n"/>
      <c r="CG855" s="63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48" t="n"/>
      <c r="K856" s="151" t="n"/>
      <c r="M856" s="98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37" t="n"/>
      <c r="AZ856" s="137" t="n"/>
      <c r="BA856" s="137" t="n"/>
      <c r="BB856" s="153" t="n"/>
      <c r="BC856" s="159" t="n"/>
      <c r="BD856" s="80" t="n"/>
      <c r="BO856" s="102" t="n"/>
      <c r="BP856" s="153" t="n"/>
      <c r="BQ856" s="153" t="n"/>
      <c r="BR856" s="137" t="n"/>
      <c r="BS856" s="102" t="n"/>
      <c r="BT856" s="153" t="n"/>
      <c r="BU856" s="60" t="n"/>
      <c r="BV856" s="59" t="n"/>
      <c r="BW856" s="61" t="n"/>
      <c r="BX856" s="61" t="n"/>
      <c r="BY856" s="61" t="n"/>
      <c r="BZ856" s="61" t="n"/>
      <c r="CA856" s="60" t="n"/>
      <c r="CB856" s="59" t="n"/>
      <c r="CC856" s="141" t="n"/>
      <c r="CE856" s="59" t="n"/>
      <c r="CF856" s="59" t="n"/>
      <c r="CG856" s="63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48" t="n"/>
      <c r="K857" s="151" t="n"/>
      <c r="M857" s="98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37" t="n"/>
      <c r="AZ857" s="137" t="n"/>
      <c r="BA857" s="137" t="n"/>
      <c r="BB857" s="153" t="n"/>
      <c r="BC857" s="159" t="n"/>
      <c r="BD857" s="80" t="n"/>
      <c r="BO857" s="102" t="n"/>
      <c r="BP857" s="153" t="n"/>
      <c r="BQ857" s="153" t="n"/>
      <c r="BR857" s="137" t="n"/>
      <c r="BS857" s="102" t="n"/>
      <c r="BT857" s="153" t="n"/>
      <c r="BU857" s="60" t="n"/>
      <c r="BV857" s="59" t="n"/>
      <c r="BW857" s="61" t="n"/>
      <c r="BX857" s="61" t="n"/>
      <c r="BY857" s="61" t="n"/>
      <c r="BZ857" s="61" t="n"/>
      <c r="CA857" s="60" t="n"/>
      <c r="CB857" s="59" t="n"/>
      <c r="CC857" s="141" t="n"/>
      <c r="CE857" s="59" t="n"/>
      <c r="CF857" s="59" t="n"/>
      <c r="CG857" s="63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48" t="n"/>
      <c r="K858" s="151" t="n"/>
      <c r="M858" s="98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37" t="n"/>
      <c r="AZ858" s="137" t="n"/>
      <c r="BA858" s="137" t="n"/>
      <c r="BB858" s="153" t="n"/>
      <c r="BC858" s="159" t="n"/>
      <c r="BD858" s="80" t="n"/>
      <c r="BO858" s="102" t="n"/>
      <c r="BP858" s="153" t="n"/>
      <c r="BQ858" s="153" t="n"/>
      <c r="BR858" s="137" t="n"/>
      <c r="BS858" s="102" t="n"/>
      <c r="BT858" s="153" t="n"/>
      <c r="BU858" s="60" t="n"/>
      <c r="BV858" s="59" t="n"/>
      <c r="BW858" s="61" t="n"/>
      <c r="BX858" s="61" t="n"/>
      <c r="BY858" s="61" t="n"/>
      <c r="BZ858" s="61" t="n"/>
      <c r="CA858" s="60" t="n"/>
      <c r="CB858" s="59" t="n"/>
      <c r="CC858" s="141" t="n"/>
      <c r="CE858" s="59" t="n"/>
      <c r="CF858" s="59" t="n"/>
      <c r="CG858" s="63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48" t="n"/>
      <c r="K859" s="151" t="n"/>
      <c r="M859" s="98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37" t="n"/>
      <c r="AZ859" s="137" t="n"/>
      <c r="BA859" s="137" t="n"/>
      <c r="BB859" s="153" t="n"/>
      <c r="BC859" s="159" t="n"/>
      <c r="BD859" s="80" t="n"/>
      <c r="BO859" s="102" t="n"/>
      <c r="BP859" s="153" t="n"/>
      <c r="BQ859" s="153" t="n"/>
      <c r="BR859" s="137" t="n"/>
      <c r="BS859" s="102" t="n"/>
      <c r="BT859" s="153" t="n"/>
      <c r="BU859" s="60" t="n"/>
      <c r="BV859" s="59" t="n"/>
      <c r="BW859" s="61" t="n"/>
      <c r="BX859" s="61" t="n"/>
      <c r="BY859" s="61" t="n"/>
      <c r="BZ859" s="61" t="n"/>
      <c r="CA859" s="60" t="n"/>
      <c r="CB859" s="59" t="n"/>
      <c r="CC859" s="141" t="n"/>
      <c r="CE859" s="59" t="n"/>
      <c r="CF859" s="59" t="n"/>
      <c r="CG859" s="63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48" t="n"/>
      <c r="K860" s="151" t="n"/>
      <c r="M860" s="98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37" t="n"/>
      <c r="AZ860" s="137" t="n"/>
      <c r="BA860" s="137" t="n"/>
      <c r="BB860" s="153" t="n"/>
      <c r="BC860" s="159" t="n"/>
      <c r="BD860" s="80" t="n"/>
      <c r="BO860" s="102" t="n"/>
      <c r="BP860" s="153" t="n"/>
      <c r="BQ860" s="153" t="n"/>
      <c r="BR860" s="137" t="n"/>
      <c r="BS860" s="102" t="n"/>
      <c r="BT860" s="153" t="n"/>
      <c r="BU860" s="60" t="n"/>
      <c r="BV860" s="59" t="n"/>
      <c r="BW860" s="61" t="n"/>
      <c r="BX860" s="61" t="n"/>
      <c r="BY860" s="61" t="n"/>
      <c r="BZ860" s="61" t="n"/>
      <c r="CA860" s="60" t="n"/>
      <c r="CB860" s="59" t="n"/>
      <c r="CC860" s="141" t="n"/>
      <c r="CE860" s="59" t="n"/>
      <c r="CF860" s="59" t="n"/>
      <c r="CG860" s="63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48" t="n"/>
      <c r="K861" s="151" t="n"/>
      <c r="M861" s="98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37" t="n"/>
      <c r="AZ861" s="137" t="n"/>
      <c r="BA861" s="137" t="n"/>
      <c r="BB861" s="153" t="n"/>
      <c r="BC861" s="159" t="n"/>
      <c r="BD861" s="80" t="n"/>
      <c r="BO861" s="102" t="n"/>
      <c r="BP861" s="153" t="n"/>
      <c r="BQ861" s="153" t="n"/>
      <c r="BR861" s="137" t="n"/>
      <c r="BS861" s="102" t="n"/>
      <c r="BT861" s="153" t="n"/>
      <c r="BU861" s="60" t="n"/>
      <c r="BV861" s="59" t="n"/>
      <c r="BW861" s="61" t="n"/>
      <c r="BX861" s="61" t="n"/>
      <c r="BY861" s="61" t="n"/>
      <c r="BZ861" s="61" t="n"/>
      <c r="CA861" s="60" t="n"/>
      <c r="CB861" s="59" t="n"/>
      <c r="CC861" s="141" t="n"/>
      <c r="CE861" s="59" t="n"/>
      <c r="CF861" s="59" t="n"/>
      <c r="CG861" s="63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48" t="n"/>
      <c r="K862" s="151" t="n"/>
      <c r="M862" s="98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37" t="n"/>
      <c r="AZ862" s="137" t="n"/>
      <c r="BA862" s="137" t="n"/>
      <c r="BB862" s="153" t="n"/>
      <c r="BC862" s="159" t="n"/>
      <c r="BD862" s="80" t="n"/>
      <c r="BO862" s="102" t="n"/>
      <c r="BP862" s="153" t="n"/>
      <c r="BQ862" s="153" t="n"/>
      <c r="BR862" s="137" t="n"/>
      <c r="BS862" s="102" t="n"/>
      <c r="BT862" s="153" t="n"/>
      <c r="BU862" s="60" t="n"/>
      <c r="BV862" s="59" t="n"/>
      <c r="BW862" s="61" t="n"/>
      <c r="BX862" s="61" t="n"/>
      <c r="BY862" s="61" t="n"/>
      <c r="BZ862" s="61" t="n"/>
      <c r="CA862" s="60" t="n"/>
      <c r="CB862" s="59" t="n"/>
      <c r="CC862" s="141" t="n"/>
      <c r="CE862" s="59" t="n"/>
      <c r="CF862" s="59" t="n"/>
      <c r="CG862" s="63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48" t="n"/>
      <c r="K863" s="151" t="n"/>
      <c r="M863" s="98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37" t="n"/>
      <c r="AZ863" s="137" t="n"/>
      <c r="BA863" s="137" t="n"/>
      <c r="BB863" s="153" t="n"/>
      <c r="BC863" s="159" t="n"/>
      <c r="BD863" s="80" t="n"/>
      <c r="BO863" s="102" t="n"/>
      <c r="BP863" s="153" t="n"/>
      <c r="BQ863" s="153" t="n"/>
      <c r="BR863" s="137" t="n"/>
      <c r="BS863" s="102" t="n"/>
      <c r="BT863" s="153" t="n"/>
      <c r="BU863" s="60" t="n"/>
      <c r="BV863" s="59" t="n"/>
      <c r="BW863" s="61" t="n"/>
      <c r="BX863" s="61" t="n"/>
      <c r="BY863" s="61" t="n"/>
      <c r="BZ863" s="61" t="n"/>
      <c r="CA863" s="60" t="n"/>
      <c r="CB863" s="59" t="n"/>
      <c r="CC863" s="141" t="n"/>
      <c r="CE863" s="59" t="n"/>
      <c r="CF863" s="59" t="n"/>
      <c r="CG863" s="63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32" t="n"/>
      <c r="K1018" s="151" t="n"/>
      <c r="M1018" s="98" t="n"/>
      <c r="O1018" s="86" t="n"/>
      <c r="P1018" s="86" t="n"/>
      <c r="Q1018" s="86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17" t="n"/>
      <c r="AZ1018" s="117" t="n"/>
      <c r="BA1018" s="117" t="n"/>
      <c r="BB1018" s="155" t="n"/>
      <c r="BC1018" s="139" t="n"/>
      <c r="BD1018" s="80" t="n"/>
      <c r="BO1018" s="102" t="n"/>
      <c r="BP1018" s="156" t="n"/>
      <c r="BQ1018" s="156" t="n"/>
      <c r="BR1018" s="137" t="n"/>
      <c r="BS1018" s="109" t="n"/>
      <c r="BT1018" s="153" t="n"/>
      <c r="BU1018" s="60" t="n"/>
      <c r="BV1018" s="89" t="n"/>
      <c r="BW1018" s="61" t="n"/>
      <c r="BX1018" s="77" t="n"/>
      <c r="BY1018" s="77" t="n"/>
      <c r="BZ1018" s="78" t="n"/>
      <c r="CA1018" s="60" t="n"/>
      <c r="CB1018" s="76" t="n"/>
      <c r="CC1018" s="140" t="n"/>
      <c r="CE1018" s="76" t="n"/>
      <c r="CF1018" s="89" t="n"/>
      <c r="CG1018" s="91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32" t="n"/>
      <c r="K1031" s="151" t="n"/>
      <c r="M1031" s="98" t="n"/>
      <c r="O1031" s="86" t="n"/>
      <c r="P1031" s="86" t="n"/>
      <c r="Q1031" s="86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17" t="n"/>
      <c r="AZ1031" s="117" t="n"/>
      <c r="BA1031" s="117" t="n"/>
      <c r="BB1031" s="155" t="n"/>
      <c r="BC1031" s="139" t="n"/>
      <c r="BD1031" s="80" t="n"/>
      <c r="BO1031" s="102" t="n"/>
      <c r="BP1031" s="156" t="n"/>
      <c r="BQ1031" s="156" t="n"/>
      <c r="BR1031" s="137" t="n"/>
      <c r="BS1031" s="109" t="n"/>
      <c r="BT1031" s="153" t="n"/>
      <c r="BU1031" s="60" t="n"/>
      <c r="BV1031" s="89" t="n"/>
      <c r="BW1031" s="61" t="n"/>
      <c r="BX1031" s="77" t="n"/>
      <c r="BY1031" s="77" t="n"/>
      <c r="BZ1031" s="78" t="n"/>
      <c r="CA1031" s="60" t="n"/>
      <c r="CB1031" s="76" t="n"/>
      <c r="CC1031" s="140" t="n"/>
      <c r="CE1031" s="76" t="n"/>
      <c r="CF1031" s="89" t="n"/>
      <c r="CG1031" s="91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48" t="n"/>
      <c r="K1033" s="151" t="n"/>
      <c r="M1033" s="98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37" t="n"/>
      <c r="AZ1033" s="137" t="n"/>
      <c r="BA1033" s="137" t="n"/>
      <c r="BB1033" s="153" t="n"/>
      <c r="BC1033" s="159" t="n"/>
      <c r="BD1033" s="80" t="n"/>
      <c r="BO1033" s="102" t="n"/>
      <c r="BP1033" s="153" t="n"/>
      <c r="BQ1033" s="153" t="n"/>
      <c r="BR1033" s="137" t="n"/>
      <c r="BS1033" s="102" t="n"/>
      <c r="BT1033" s="153" t="n"/>
      <c r="BU1033" s="60" t="n"/>
      <c r="BV1033" s="59" t="n"/>
      <c r="BW1033" s="61" t="n"/>
      <c r="BX1033" s="61" t="n"/>
      <c r="BY1033" s="61" t="n"/>
      <c r="BZ1033" s="61" t="n"/>
      <c r="CA1033" s="60" t="n"/>
      <c r="CB1033" s="59" t="n"/>
      <c r="CC1033" s="141" t="n"/>
      <c r="CE1033" s="59" t="n"/>
      <c r="CF1033" s="59" t="n"/>
      <c r="CG1033" s="63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48" t="n"/>
      <c r="K1046" s="151" t="n"/>
      <c r="M1046" s="98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37" t="n"/>
      <c r="AZ1046" s="137" t="n"/>
      <c r="BA1046" s="137" t="n"/>
      <c r="BB1046" s="153" t="n"/>
      <c r="BC1046" s="159" t="n"/>
      <c r="BD1046" s="80" t="n"/>
      <c r="BO1046" s="102" t="n"/>
      <c r="BP1046" s="153" t="n"/>
      <c r="BQ1046" s="153" t="n"/>
      <c r="BR1046" s="137" t="n"/>
      <c r="BS1046" s="102" t="n"/>
      <c r="BT1046" s="153" t="n"/>
      <c r="BU1046" s="60" t="n"/>
      <c r="BV1046" s="59" t="n"/>
      <c r="BW1046" s="61" t="n"/>
      <c r="BX1046" s="61" t="n"/>
      <c r="BY1046" s="61" t="n"/>
      <c r="BZ1046" s="61" t="n"/>
      <c r="CA1046" s="60" t="n"/>
      <c r="CB1046" s="59" t="n"/>
      <c r="CC1046" s="141" t="n"/>
      <c r="CE1046" s="59" t="n"/>
      <c r="CF1046" s="59" t="n"/>
      <c r="CG1046" s="63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32" t="n"/>
      <c r="K1131" s="151" t="n"/>
      <c r="M1131" s="98" t="n"/>
      <c r="O1131" s="86" t="n"/>
      <c r="P1131" s="86" t="n"/>
      <c r="Q1131" s="86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17" t="n"/>
      <c r="AZ1131" s="117" t="n"/>
      <c r="BA1131" s="117" t="n"/>
      <c r="BB1131" s="155" t="n"/>
      <c r="BC1131" s="139" t="n"/>
      <c r="BD1131" s="80" t="n"/>
      <c r="BO1131" s="102" t="n"/>
      <c r="BP1131" s="156" t="n"/>
      <c r="BQ1131" s="156" t="n"/>
      <c r="BR1131" s="137" t="n"/>
      <c r="BS1131" s="109" t="n"/>
      <c r="BT1131" s="153" t="n"/>
      <c r="BU1131" s="60" t="n"/>
      <c r="BV1131" s="89" t="n"/>
      <c r="BW1131" s="61" t="n"/>
      <c r="BX1131" s="77" t="n"/>
      <c r="BY1131" s="77" t="n"/>
      <c r="BZ1131" s="78" t="n"/>
      <c r="CA1131" s="60" t="n"/>
      <c r="CB1131" s="76" t="n"/>
      <c r="CC1131" s="140" t="n"/>
      <c r="CE1131" s="76" t="n"/>
      <c r="CF1131" s="89" t="n"/>
      <c r="CG1131" s="91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48" t="n"/>
      <c r="K1146" s="151" t="n"/>
      <c r="M1146" s="98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37" t="n"/>
      <c r="AZ1146" s="137" t="n"/>
      <c r="BA1146" s="137" t="n"/>
      <c r="BB1146" s="153" t="n"/>
      <c r="BC1146" s="159" t="n"/>
      <c r="BD1146" s="80" t="n"/>
      <c r="BO1146" s="102" t="n"/>
      <c r="BP1146" s="153" t="n"/>
      <c r="BQ1146" s="153" t="n"/>
      <c r="BR1146" s="137" t="n"/>
      <c r="BS1146" s="102" t="n"/>
      <c r="BT1146" s="153" t="n"/>
      <c r="BU1146" s="60" t="n"/>
      <c r="BV1146" s="59" t="n"/>
      <c r="BW1146" s="61" t="n"/>
      <c r="BX1146" s="61" t="n"/>
      <c r="BY1146" s="61" t="n"/>
      <c r="BZ1146" s="61" t="n"/>
      <c r="CA1146" s="60" t="n"/>
      <c r="CB1146" s="59" t="n"/>
      <c r="CC1146" s="141" t="n"/>
      <c r="CE1146" s="59" t="n"/>
      <c r="CF1146" s="59" t="n"/>
      <c r="CG1146" s="63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32" t="n"/>
      <c r="K1312" s="151" t="n"/>
      <c r="M1312" s="98" t="n"/>
      <c r="O1312" s="86" t="n"/>
      <c r="P1312" s="86" t="n"/>
      <c r="Q1312" s="86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17" t="n"/>
      <c r="AZ1312" s="117" t="n"/>
      <c r="BA1312" s="117" t="n"/>
      <c r="BB1312" s="155" t="n"/>
      <c r="BC1312" s="139" t="n"/>
      <c r="BD1312" s="80" t="n"/>
      <c r="BO1312" s="102" t="n"/>
      <c r="BP1312" s="156" t="n"/>
      <c r="BQ1312" s="156" t="n"/>
      <c r="BR1312" s="137" t="n"/>
      <c r="BS1312" s="109" t="n"/>
      <c r="BT1312" s="153" t="n"/>
      <c r="BU1312" s="60" t="n"/>
      <c r="BV1312" s="89" t="n"/>
      <c r="BW1312" s="61" t="n"/>
      <c r="BX1312" s="77" t="n"/>
      <c r="BY1312" s="77" t="n"/>
      <c r="BZ1312" s="78" t="n"/>
      <c r="CA1312" s="60" t="n"/>
      <c r="CB1312" s="76" t="n"/>
      <c r="CC1312" s="140" t="n"/>
      <c r="CE1312" s="76" t="n"/>
      <c r="CF1312" s="89" t="n"/>
      <c r="CG1312" s="91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32" t="n"/>
      <c r="K1313" s="151" t="n"/>
      <c r="M1313" s="98" t="n"/>
      <c r="O1313" s="86" t="n"/>
      <c r="P1313" s="86" t="n"/>
      <c r="Q1313" s="86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17" t="n"/>
      <c r="AZ1313" s="117" t="n"/>
      <c r="BA1313" s="117" t="n"/>
      <c r="BB1313" s="155" t="n"/>
      <c r="BC1313" s="139" t="n"/>
      <c r="BD1313" s="80" t="n"/>
      <c r="BO1313" s="102" t="n"/>
      <c r="BP1313" s="156" t="n"/>
      <c r="BQ1313" s="156" t="n"/>
      <c r="BR1313" s="137" t="n"/>
      <c r="BS1313" s="109" t="n"/>
      <c r="BT1313" s="153" t="n"/>
      <c r="BU1313" s="60" t="n"/>
      <c r="BV1313" s="89" t="n"/>
      <c r="BW1313" s="61" t="n"/>
      <c r="BX1313" s="77" t="n"/>
      <c r="BY1313" s="77" t="n"/>
      <c r="BZ1313" s="78" t="n"/>
      <c r="CA1313" s="60" t="n"/>
      <c r="CB1313" s="76" t="n"/>
      <c r="CC1313" s="140" t="n"/>
      <c r="CE1313" s="76" t="n"/>
      <c r="CF1313" s="89" t="n"/>
      <c r="CG1313" s="91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32" t="n"/>
      <c r="K1314" s="151" t="n"/>
      <c r="M1314" s="98" t="n"/>
      <c r="O1314" s="86" t="n"/>
      <c r="P1314" s="86" t="n"/>
      <c r="Q1314" s="86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17" t="n"/>
      <c r="AZ1314" s="117" t="n"/>
      <c r="BA1314" s="117" t="n"/>
      <c r="BB1314" s="155" t="n"/>
      <c r="BC1314" s="139" t="n"/>
      <c r="BD1314" s="80" t="n"/>
      <c r="BO1314" s="102" t="n"/>
      <c r="BP1314" s="156" t="n"/>
      <c r="BQ1314" s="156" t="n"/>
      <c r="BR1314" s="137" t="n"/>
      <c r="BS1314" s="109" t="n"/>
      <c r="BT1314" s="153" t="n"/>
      <c r="BU1314" s="60" t="n"/>
      <c r="BV1314" s="89" t="n"/>
      <c r="BW1314" s="61" t="n"/>
      <c r="BX1314" s="77" t="n"/>
      <c r="BY1314" s="77" t="n"/>
      <c r="BZ1314" s="78" t="n"/>
      <c r="CA1314" s="60" t="n"/>
      <c r="CB1314" s="76" t="n"/>
      <c r="CC1314" s="140" t="n"/>
      <c r="CE1314" s="76" t="n"/>
      <c r="CF1314" s="89" t="n"/>
      <c r="CG1314" s="91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32" t="n"/>
      <c r="K1315" s="151" t="n"/>
      <c r="M1315" s="98" t="n"/>
      <c r="O1315" s="86" t="n"/>
      <c r="P1315" s="86" t="n"/>
      <c r="Q1315" s="86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17" t="n"/>
      <c r="AZ1315" s="117" t="n"/>
      <c r="BA1315" s="117" t="n"/>
      <c r="BB1315" s="155" t="n"/>
      <c r="BC1315" s="139" t="n"/>
      <c r="BD1315" s="80" t="n"/>
      <c r="BO1315" s="102" t="n"/>
      <c r="BP1315" s="156" t="n"/>
      <c r="BQ1315" s="156" t="n"/>
      <c r="BR1315" s="137" t="n"/>
      <c r="BS1315" s="109" t="n"/>
      <c r="BT1315" s="153" t="n"/>
      <c r="BU1315" s="60" t="n"/>
      <c r="BV1315" s="89" t="n"/>
      <c r="BW1315" s="61" t="n"/>
      <c r="BX1315" s="77" t="n"/>
      <c r="BY1315" s="77" t="n"/>
      <c r="BZ1315" s="78" t="n"/>
      <c r="CA1315" s="60" t="n"/>
      <c r="CB1315" s="76" t="n"/>
      <c r="CC1315" s="140" t="n"/>
      <c r="CE1315" s="76" t="n"/>
      <c r="CF1315" s="89" t="n"/>
      <c r="CG1315" s="91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32" t="n"/>
      <c r="K1316" s="151" t="n"/>
      <c r="M1316" s="98" t="n"/>
      <c r="O1316" s="86" t="n"/>
      <c r="P1316" s="86" t="n"/>
      <c r="Q1316" s="86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17" t="n"/>
      <c r="AZ1316" s="117" t="n"/>
      <c r="BA1316" s="117" t="n"/>
      <c r="BB1316" s="155" t="n"/>
      <c r="BC1316" s="139" t="n"/>
      <c r="BD1316" s="80" t="n"/>
      <c r="BO1316" s="102" t="n"/>
      <c r="BP1316" s="156" t="n"/>
      <c r="BQ1316" s="156" t="n"/>
      <c r="BR1316" s="137" t="n"/>
      <c r="BS1316" s="109" t="n"/>
      <c r="BT1316" s="153" t="n"/>
      <c r="BU1316" s="60" t="n"/>
      <c r="BV1316" s="89" t="n"/>
      <c r="BW1316" s="61" t="n"/>
      <c r="BX1316" s="77" t="n"/>
      <c r="BY1316" s="77" t="n"/>
      <c r="BZ1316" s="78" t="n"/>
      <c r="CA1316" s="60" t="n"/>
      <c r="CB1316" s="76" t="n"/>
      <c r="CC1316" s="140" t="n"/>
      <c r="CE1316" s="76" t="n"/>
      <c r="CF1316" s="89" t="n"/>
      <c r="CG1316" s="91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32" t="n"/>
      <c r="K1317" s="151" t="n"/>
      <c r="M1317" s="98" t="n"/>
      <c r="O1317" s="86" t="n"/>
      <c r="P1317" s="86" t="n"/>
      <c r="Q1317" s="86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17" t="n"/>
      <c r="AZ1317" s="117" t="n"/>
      <c r="BA1317" s="117" t="n"/>
      <c r="BB1317" s="155" t="n"/>
      <c r="BC1317" s="139" t="n"/>
      <c r="BD1317" s="80" t="n"/>
      <c r="BO1317" s="102" t="n"/>
      <c r="BP1317" s="156" t="n"/>
      <c r="BQ1317" s="156" t="n"/>
      <c r="BR1317" s="137" t="n"/>
      <c r="BS1317" s="109" t="n"/>
      <c r="BT1317" s="153" t="n"/>
      <c r="BU1317" s="60" t="n"/>
      <c r="BV1317" s="89" t="n"/>
      <c r="BW1317" s="61" t="n"/>
      <c r="BX1317" s="77" t="n"/>
      <c r="BY1317" s="77" t="n"/>
      <c r="BZ1317" s="78" t="n"/>
      <c r="CA1317" s="60" t="n"/>
      <c r="CB1317" s="76" t="n"/>
      <c r="CC1317" s="140" t="n"/>
      <c r="CE1317" s="76" t="n"/>
      <c r="CF1317" s="89" t="n"/>
      <c r="CG1317" s="91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32" t="n"/>
      <c r="K1323" s="151" t="n"/>
      <c r="M1323" s="98" t="n"/>
      <c r="O1323" s="86" t="n"/>
      <c r="P1323" s="86" t="n"/>
      <c r="Q1323" s="86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17" t="n"/>
      <c r="AZ1323" s="117" t="n"/>
      <c r="BA1323" s="117" t="n"/>
      <c r="BB1323" s="155" t="n"/>
      <c r="BC1323" s="139" t="n"/>
      <c r="BD1323" s="80" t="n"/>
      <c r="BO1323" s="102" t="n"/>
      <c r="BP1323" s="156" t="n"/>
      <c r="BQ1323" s="156" t="n"/>
      <c r="BR1323" s="137" t="n"/>
      <c r="BS1323" s="109" t="n"/>
      <c r="BT1323" s="153" t="n"/>
      <c r="BU1323" s="60" t="n"/>
      <c r="BV1323" s="89" t="n"/>
      <c r="BW1323" s="61" t="n"/>
      <c r="BX1323" s="77" t="n"/>
      <c r="BY1323" s="77" t="n"/>
      <c r="BZ1323" s="78" t="n"/>
      <c r="CA1323" s="60" t="n"/>
      <c r="CB1323" s="76" t="n"/>
      <c r="CC1323" s="140" t="n"/>
      <c r="CE1323" s="76" t="n"/>
      <c r="CF1323" s="89" t="n"/>
      <c r="CG1323" s="91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32" t="n"/>
      <c r="K1324" s="151" t="n"/>
      <c r="M1324" s="98" t="n"/>
      <c r="O1324" s="86" t="n"/>
      <c r="P1324" s="86" t="n"/>
      <c r="Q1324" s="86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17" t="n"/>
      <c r="AZ1324" s="117" t="n"/>
      <c r="BA1324" s="117" t="n"/>
      <c r="BB1324" s="155" t="n"/>
      <c r="BC1324" s="139" t="n"/>
      <c r="BD1324" s="80" t="n"/>
      <c r="BO1324" s="102" t="n"/>
      <c r="BP1324" s="156" t="n"/>
      <c r="BQ1324" s="156" t="n"/>
      <c r="BR1324" s="137" t="n"/>
      <c r="BS1324" s="109" t="n"/>
      <c r="BT1324" s="153" t="n"/>
      <c r="BU1324" s="60" t="n"/>
      <c r="BV1324" s="89" t="n"/>
      <c r="BW1324" s="61" t="n"/>
      <c r="BX1324" s="77" t="n"/>
      <c r="BY1324" s="77" t="n"/>
      <c r="BZ1324" s="78" t="n"/>
      <c r="CA1324" s="60" t="n"/>
      <c r="CB1324" s="76" t="n"/>
      <c r="CC1324" s="140" t="n"/>
      <c r="CE1324" s="76" t="n"/>
      <c r="CF1324" s="89" t="n"/>
      <c r="CG1324" s="91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32" t="n"/>
      <c r="K1325" s="151" t="n"/>
      <c r="M1325" s="98" t="n"/>
      <c r="O1325" s="86" t="n"/>
      <c r="P1325" s="86" t="n"/>
      <c r="Q1325" s="86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17" t="n"/>
      <c r="AZ1325" s="117" t="n"/>
      <c r="BA1325" s="117" t="n"/>
      <c r="BB1325" s="155" t="n"/>
      <c r="BC1325" s="139" t="n"/>
      <c r="BD1325" s="80" t="n"/>
      <c r="BO1325" s="102" t="n"/>
      <c r="BP1325" s="156" t="n"/>
      <c r="BQ1325" s="156" t="n"/>
      <c r="BR1325" s="137" t="n"/>
      <c r="BS1325" s="109" t="n"/>
      <c r="BT1325" s="153" t="n"/>
      <c r="BU1325" s="60" t="n"/>
      <c r="BV1325" s="89" t="n"/>
      <c r="BW1325" s="61" t="n"/>
      <c r="BX1325" s="77" t="n"/>
      <c r="BY1325" s="77" t="n"/>
      <c r="BZ1325" s="78" t="n"/>
      <c r="CA1325" s="60" t="n"/>
      <c r="CB1325" s="76" t="n"/>
      <c r="CC1325" s="140" t="n"/>
      <c r="CE1325" s="76" t="n"/>
      <c r="CF1325" s="89" t="n"/>
      <c r="CG1325" s="91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32" t="n"/>
      <c r="K1326" s="151" t="n"/>
      <c r="M1326" s="98" t="n"/>
      <c r="O1326" s="86" t="n"/>
      <c r="P1326" s="86" t="n"/>
      <c r="Q1326" s="86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17" t="n"/>
      <c r="AZ1326" s="117" t="n"/>
      <c r="BA1326" s="117" t="n"/>
      <c r="BB1326" s="155" t="n"/>
      <c r="BC1326" s="139" t="n"/>
      <c r="BD1326" s="80" t="n"/>
      <c r="BO1326" s="102" t="n"/>
      <c r="BP1326" s="156" t="n"/>
      <c r="BQ1326" s="156" t="n"/>
      <c r="BR1326" s="137" t="n"/>
      <c r="BS1326" s="109" t="n"/>
      <c r="BT1326" s="153" t="n"/>
      <c r="BU1326" s="60" t="n"/>
      <c r="BV1326" s="89" t="n"/>
      <c r="BW1326" s="61" t="n"/>
      <c r="BX1326" s="77" t="n"/>
      <c r="BY1326" s="77" t="n"/>
      <c r="BZ1326" s="78" t="n"/>
      <c r="CA1326" s="60" t="n"/>
      <c r="CB1326" s="76" t="n"/>
      <c r="CC1326" s="140" t="n"/>
      <c r="CE1326" s="76" t="n"/>
      <c r="CF1326" s="89" t="n"/>
      <c r="CG1326" s="91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32" t="n"/>
      <c r="K1333" s="151" t="n"/>
      <c r="M1333" s="98" t="n"/>
      <c r="O1333" s="86" t="n"/>
      <c r="P1333" s="86" t="n"/>
      <c r="Q1333" s="86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17" t="n"/>
      <c r="AZ1333" s="117" t="n"/>
      <c r="BA1333" s="117" t="n"/>
      <c r="BB1333" s="155" t="n"/>
      <c r="BC1333" s="139" t="n"/>
      <c r="BD1333" s="80" t="n"/>
      <c r="BO1333" s="102" t="n"/>
      <c r="BP1333" s="156" t="n"/>
      <c r="BQ1333" s="156" t="n"/>
      <c r="BR1333" s="137" t="n"/>
      <c r="BS1333" s="109" t="n"/>
      <c r="BT1333" s="153" t="n"/>
      <c r="BU1333" s="60" t="n"/>
      <c r="BV1333" s="89" t="n"/>
      <c r="BW1333" s="61" t="n"/>
      <c r="BX1333" s="77" t="n"/>
      <c r="BY1333" s="77" t="n"/>
      <c r="BZ1333" s="78" t="n"/>
      <c r="CA1333" s="60" t="n"/>
      <c r="CB1333" s="76" t="n"/>
      <c r="CC1333" s="140" t="n"/>
      <c r="CE1333" s="76" t="n"/>
      <c r="CF1333" s="89" t="n"/>
      <c r="CG1333" s="91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32" t="n"/>
      <c r="K1334" s="151" t="n"/>
      <c r="M1334" s="98" t="n"/>
      <c r="O1334" s="86" t="n"/>
      <c r="P1334" s="86" t="n"/>
      <c r="Q1334" s="86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17" t="n"/>
      <c r="AZ1334" s="117" t="n"/>
      <c r="BA1334" s="117" t="n"/>
      <c r="BB1334" s="155" t="n"/>
      <c r="BC1334" s="139" t="n"/>
      <c r="BD1334" s="80" t="n"/>
      <c r="BO1334" s="102" t="n"/>
      <c r="BP1334" s="156" t="n"/>
      <c r="BQ1334" s="156" t="n"/>
      <c r="BR1334" s="137" t="n"/>
      <c r="BS1334" s="109" t="n"/>
      <c r="BT1334" s="153" t="n"/>
      <c r="BU1334" s="60" t="n"/>
      <c r="BV1334" s="89" t="n"/>
      <c r="BW1334" s="61" t="n"/>
      <c r="BX1334" s="77" t="n"/>
      <c r="BY1334" s="77" t="n"/>
      <c r="BZ1334" s="78" t="n"/>
      <c r="CA1334" s="60" t="n"/>
      <c r="CB1334" s="76" t="n"/>
      <c r="CC1334" s="140" t="n"/>
      <c r="CE1334" s="76" t="n"/>
      <c r="CF1334" s="89" t="n"/>
      <c r="CG1334" s="91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32" t="n"/>
      <c r="K1335" s="151" t="n"/>
      <c r="M1335" s="98" t="n"/>
      <c r="O1335" s="86" t="n"/>
      <c r="P1335" s="86" t="n"/>
      <c r="Q1335" s="86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17" t="n"/>
      <c r="AZ1335" s="117" t="n"/>
      <c r="BA1335" s="117" t="n"/>
      <c r="BB1335" s="155" t="n"/>
      <c r="BC1335" s="139" t="n"/>
      <c r="BD1335" s="80" t="n"/>
      <c r="BO1335" s="102" t="n"/>
      <c r="BP1335" s="156" t="n"/>
      <c r="BQ1335" s="156" t="n"/>
      <c r="BR1335" s="137" t="n"/>
      <c r="BS1335" s="109" t="n"/>
      <c r="BT1335" s="153" t="n"/>
      <c r="BU1335" s="60" t="n"/>
      <c r="BV1335" s="89" t="n"/>
      <c r="BW1335" s="61" t="n"/>
      <c r="BX1335" s="77" t="n"/>
      <c r="BY1335" s="77" t="n"/>
      <c r="BZ1335" s="78" t="n"/>
      <c r="CA1335" s="60" t="n"/>
      <c r="CB1335" s="76" t="n"/>
      <c r="CC1335" s="140" t="n"/>
      <c r="CE1335" s="76" t="n"/>
      <c r="CF1335" s="89" t="n"/>
      <c r="CG1335" s="91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32" t="n"/>
      <c r="K1336" s="151" t="n"/>
      <c r="M1336" s="98" t="n"/>
      <c r="O1336" s="86" t="n"/>
      <c r="P1336" s="86" t="n"/>
      <c r="Q1336" s="86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17" t="n"/>
      <c r="AZ1336" s="117" t="n"/>
      <c r="BA1336" s="117" t="n"/>
      <c r="BB1336" s="155" t="n"/>
      <c r="BC1336" s="139" t="n"/>
      <c r="BD1336" s="80" t="n"/>
      <c r="BO1336" s="102" t="n"/>
      <c r="BP1336" s="156" t="n"/>
      <c r="BQ1336" s="156" t="n"/>
      <c r="BR1336" s="137" t="n"/>
      <c r="BS1336" s="109" t="n"/>
      <c r="BT1336" s="153" t="n"/>
      <c r="BU1336" s="60" t="n"/>
      <c r="BV1336" s="89" t="n"/>
      <c r="BW1336" s="61" t="n"/>
      <c r="BX1336" s="77" t="n"/>
      <c r="BY1336" s="77" t="n"/>
      <c r="BZ1336" s="78" t="n"/>
      <c r="CA1336" s="60" t="n"/>
      <c r="CB1336" s="76" t="n"/>
      <c r="CC1336" s="140" t="n"/>
      <c r="CE1336" s="76" t="n"/>
      <c r="CF1336" s="89" t="n"/>
      <c r="CG1336" s="91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32" t="n"/>
      <c r="K1337" s="151" t="n"/>
      <c r="M1337" s="98" t="n"/>
      <c r="O1337" s="86" t="n"/>
      <c r="P1337" s="86" t="n"/>
      <c r="Q1337" s="86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17" t="n"/>
      <c r="AZ1337" s="117" t="n"/>
      <c r="BA1337" s="117" t="n"/>
      <c r="BB1337" s="155" t="n"/>
      <c r="BC1337" s="139" t="n"/>
      <c r="BD1337" s="80" t="n"/>
      <c r="BO1337" s="102" t="n"/>
      <c r="BP1337" s="156" t="n"/>
      <c r="BQ1337" s="156" t="n"/>
      <c r="BR1337" s="137" t="n"/>
      <c r="BS1337" s="109" t="n"/>
      <c r="BT1337" s="153" t="n"/>
      <c r="BU1337" s="60" t="n"/>
      <c r="BV1337" s="89" t="n"/>
      <c r="BW1337" s="61" t="n"/>
      <c r="BX1337" s="77" t="n"/>
      <c r="BY1337" s="77" t="n"/>
      <c r="BZ1337" s="78" t="n"/>
      <c r="CA1337" s="60" t="n"/>
      <c r="CB1337" s="76" t="n"/>
      <c r="CC1337" s="140" t="n"/>
      <c r="CE1337" s="76" t="n"/>
      <c r="CF1337" s="89" t="n"/>
      <c r="CG1337" s="91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48" t="n"/>
      <c r="K1353" s="151" t="n"/>
      <c r="M1353" s="98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37" t="n"/>
      <c r="AZ1353" s="137" t="n"/>
      <c r="BA1353" s="137" t="n"/>
      <c r="BB1353" s="153" t="n"/>
      <c r="BC1353" s="159" t="n"/>
      <c r="BD1353" s="80" t="n"/>
      <c r="BO1353" s="102" t="n"/>
      <c r="BP1353" s="153" t="n"/>
      <c r="BQ1353" s="153" t="n"/>
      <c r="BR1353" s="137" t="n"/>
      <c r="BS1353" s="102" t="n"/>
      <c r="BT1353" s="153" t="n"/>
      <c r="BU1353" s="60" t="n"/>
      <c r="BV1353" s="59" t="n"/>
      <c r="BW1353" s="61" t="n"/>
      <c r="BX1353" s="61" t="n"/>
      <c r="BY1353" s="61" t="n"/>
      <c r="BZ1353" s="61" t="n"/>
      <c r="CA1353" s="60" t="n"/>
      <c r="CB1353" s="59" t="n"/>
      <c r="CC1353" s="141" t="n"/>
      <c r="CE1353" s="59" t="n"/>
      <c r="CF1353" s="59" t="n"/>
      <c r="CG1353" s="63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48" t="n"/>
      <c r="K1358" s="151" t="n"/>
      <c r="M1358" s="98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37" t="n"/>
      <c r="AZ1358" s="137" t="n"/>
      <c r="BA1358" s="137" t="n"/>
      <c r="BB1358" s="153" t="n"/>
      <c r="BC1358" s="159" t="n"/>
      <c r="BD1358" s="80" t="n"/>
      <c r="BO1358" s="102" t="n"/>
      <c r="BP1358" s="153" t="n"/>
      <c r="BQ1358" s="153" t="n"/>
      <c r="BR1358" s="137" t="n"/>
      <c r="BS1358" s="102" t="n"/>
      <c r="BT1358" s="153" t="n"/>
      <c r="BU1358" s="60" t="n"/>
      <c r="BV1358" s="59" t="n"/>
      <c r="BW1358" s="61" t="n"/>
      <c r="BX1358" s="61" t="n"/>
      <c r="BY1358" s="61" t="n"/>
      <c r="BZ1358" s="61" t="n"/>
      <c r="CA1358" s="60" t="n"/>
      <c r="CB1358" s="59" t="n"/>
      <c r="CC1358" s="141" t="n"/>
      <c r="CE1358" s="59" t="n"/>
      <c r="CF1358" s="59" t="n"/>
      <c r="CG1358" s="63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48" t="n"/>
      <c r="K1359" s="151" t="n"/>
      <c r="M1359" s="98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37" t="n"/>
      <c r="AZ1359" s="137" t="n"/>
      <c r="BA1359" s="137" t="n"/>
      <c r="BB1359" s="153" t="n"/>
      <c r="BC1359" s="159" t="n"/>
      <c r="BD1359" s="80" t="n"/>
      <c r="BO1359" s="102" t="n"/>
      <c r="BP1359" s="153" t="n"/>
      <c r="BQ1359" s="153" t="n"/>
      <c r="BR1359" s="137" t="n"/>
      <c r="BS1359" s="102" t="n"/>
      <c r="BT1359" s="153" t="n"/>
      <c r="BU1359" s="60" t="n"/>
      <c r="BV1359" s="59" t="n"/>
      <c r="BW1359" s="61" t="n"/>
      <c r="BX1359" s="61" t="n"/>
      <c r="BY1359" s="61" t="n"/>
      <c r="BZ1359" s="61" t="n"/>
      <c r="CA1359" s="60" t="n"/>
      <c r="CB1359" s="59" t="n"/>
      <c r="CC1359" s="141" t="n"/>
      <c r="CE1359" s="59" t="n"/>
      <c r="CF1359" s="59" t="n"/>
      <c r="CG1359" s="63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48" t="n"/>
      <c r="K1360" s="151" t="n"/>
      <c r="M1360" s="98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37" t="n"/>
      <c r="AZ1360" s="137" t="n"/>
      <c r="BA1360" s="137" t="n"/>
      <c r="BB1360" s="153" t="n"/>
      <c r="BC1360" s="159" t="n"/>
      <c r="BD1360" s="80" t="n"/>
      <c r="BO1360" s="102" t="n"/>
      <c r="BP1360" s="153" t="n"/>
      <c r="BQ1360" s="153" t="n"/>
      <c r="BR1360" s="137" t="n"/>
      <c r="BS1360" s="102" t="n"/>
      <c r="BT1360" s="153" t="n"/>
      <c r="BU1360" s="60" t="n"/>
      <c r="BV1360" s="59" t="n"/>
      <c r="BW1360" s="61" t="n"/>
      <c r="BX1360" s="61" t="n"/>
      <c r="BY1360" s="61" t="n"/>
      <c r="BZ1360" s="61" t="n"/>
      <c r="CA1360" s="60" t="n"/>
      <c r="CB1360" s="59" t="n"/>
      <c r="CC1360" s="141" t="n"/>
      <c r="CE1360" s="59" t="n"/>
      <c r="CF1360" s="59" t="n"/>
      <c r="CG1360" s="63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32" t="n"/>
      <c r="K1368" s="151" t="n"/>
      <c r="M1368" s="98" t="n"/>
      <c r="O1368" s="86" t="n"/>
      <c r="P1368" s="86" t="n"/>
      <c r="Q1368" s="86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17" t="n"/>
      <c r="AZ1368" s="117" t="n"/>
      <c r="BA1368" s="117" t="n"/>
      <c r="BB1368" s="155" t="n"/>
      <c r="BC1368" s="139" t="n"/>
      <c r="BD1368" s="80" t="n"/>
      <c r="BO1368" s="102" t="n"/>
      <c r="BP1368" s="156" t="n"/>
      <c r="BQ1368" s="156" t="n"/>
      <c r="BR1368" s="137" t="n"/>
      <c r="BS1368" s="109" t="n"/>
      <c r="BT1368" s="153" t="n"/>
      <c r="BU1368" s="60" t="n"/>
      <c r="BV1368" s="89" t="n"/>
      <c r="BW1368" s="61" t="n"/>
      <c r="BX1368" s="77" t="n"/>
      <c r="BY1368" s="77" t="n"/>
      <c r="BZ1368" s="78" t="n"/>
      <c r="CA1368" s="60" t="n"/>
      <c r="CB1368" s="76" t="n"/>
      <c r="CC1368" s="140" t="n"/>
      <c r="CE1368" s="76" t="n"/>
      <c r="CF1368" s="89" t="n"/>
      <c r="CG1368" s="91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48" t="n"/>
      <c r="K1369" s="151" t="n"/>
      <c r="M1369" s="98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37" t="n"/>
      <c r="AZ1369" s="137" t="n"/>
      <c r="BA1369" s="137" t="n"/>
      <c r="BB1369" s="153" t="n"/>
      <c r="BC1369" s="159" t="n"/>
      <c r="BD1369" s="80" t="n"/>
      <c r="BO1369" s="102" t="n"/>
      <c r="BP1369" s="153" t="n"/>
      <c r="BQ1369" s="153" t="n"/>
      <c r="BR1369" s="137" t="n"/>
      <c r="BS1369" s="102" t="n"/>
      <c r="BT1369" s="153" t="n"/>
      <c r="BU1369" s="60" t="n"/>
      <c r="BV1369" s="59" t="n"/>
      <c r="BW1369" s="61" t="n"/>
      <c r="BX1369" s="61" t="n"/>
      <c r="BY1369" s="61" t="n"/>
      <c r="BZ1369" s="61" t="n"/>
      <c r="CA1369" s="60" t="n"/>
      <c r="CB1369" s="59" t="n"/>
      <c r="CC1369" s="141" t="n"/>
      <c r="CE1369" s="59" t="n"/>
      <c r="CF1369" s="59" t="n"/>
      <c r="CG1369" s="63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48" t="n"/>
      <c r="K1370" s="151" t="n"/>
      <c r="M1370" s="98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37" t="n"/>
      <c r="AZ1370" s="137" t="n"/>
      <c r="BA1370" s="137" t="n"/>
      <c r="BB1370" s="153" t="n"/>
      <c r="BC1370" s="159" t="n"/>
      <c r="BD1370" s="80" t="n"/>
      <c r="BO1370" s="102" t="n"/>
      <c r="BP1370" s="153" t="n"/>
      <c r="BQ1370" s="153" t="n"/>
      <c r="BR1370" s="137" t="n"/>
      <c r="BS1370" s="102" t="n"/>
      <c r="BT1370" s="153" t="n"/>
      <c r="BU1370" s="60" t="n"/>
      <c r="BV1370" s="59" t="n"/>
      <c r="BW1370" s="61" t="n"/>
      <c r="BX1370" s="61" t="n"/>
      <c r="BY1370" s="61" t="n"/>
      <c r="BZ1370" s="61" t="n"/>
      <c r="CA1370" s="60" t="n"/>
      <c r="CB1370" s="59" t="n"/>
      <c r="CC1370" s="141" t="n"/>
      <c r="CE1370" s="59" t="n"/>
      <c r="CF1370" s="59" t="n"/>
      <c r="CG1370" s="63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32" t="n"/>
      <c r="K1373" s="151" t="n"/>
      <c r="M1373" s="98" t="n"/>
      <c r="O1373" s="86" t="n"/>
      <c r="P1373" s="86" t="n"/>
      <c r="Q1373" s="86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17" t="n"/>
      <c r="AZ1373" s="117" t="n"/>
      <c r="BA1373" s="117" t="n"/>
      <c r="BB1373" s="155" t="n"/>
      <c r="BC1373" s="139" t="n"/>
      <c r="BD1373" s="80" t="n"/>
      <c r="BO1373" s="102" t="n"/>
      <c r="BP1373" s="156" t="n"/>
      <c r="BQ1373" s="156" t="n"/>
      <c r="BR1373" s="137" t="n"/>
      <c r="BS1373" s="109" t="n"/>
      <c r="BT1373" s="153" t="n"/>
      <c r="BU1373" s="60" t="n"/>
      <c r="BV1373" s="89" t="n"/>
      <c r="BW1373" s="61" t="n"/>
      <c r="BX1373" s="77" t="n"/>
      <c r="BY1373" s="77" t="n"/>
      <c r="BZ1373" s="78" t="n"/>
      <c r="CA1373" s="60" t="n"/>
      <c r="CB1373" s="76" t="n"/>
      <c r="CC1373" s="140" t="n"/>
      <c r="CE1373" s="76" t="n"/>
      <c r="CF1373" s="89" t="n"/>
      <c r="CG1373" s="91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32" t="n"/>
      <c r="K1374" s="151" t="n"/>
      <c r="M1374" s="98" t="n"/>
      <c r="O1374" s="86" t="n"/>
      <c r="P1374" s="86" t="n"/>
      <c r="Q1374" s="86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17" t="n"/>
      <c r="AZ1374" s="117" t="n"/>
      <c r="BA1374" s="117" t="n"/>
      <c r="BB1374" s="155" t="n"/>
      <c r="BC1374" s="139" t="n"/>
      <c r="BD1374" s="80" t="n"/>
      <c r="BO1374" s="102" t="n"/>
      <c r="BP1374" s="156" t="n"/>
      <c r="BQ1374" s="156" t="n"/>
      <c r="BR1374" s="137" t="n"/>
      <c r="BS1374" s="109" t="n"/>
      <c r="BT1374" s="153" t="n"/>
      <c r="BU1374" s="60" t="n"/>
      <c r="BV1374" s="89" t="n"/>
      <c r="BW1374" s="61" t="n"/>
      <c r="BX1374" s="77" t="n"/>
      <c r="BY1374" s="77" t="n"/>
      <c r="BZ1374" s="78" t="n"/>
      <c r="CA1374" s="60" t="n"/>
      <c r="CB1374" s="76" t="n"/>
      <c r="CC1374" s="140" t="n"/>
      <c r="CE1374" s="76" t="n"/>
      <c r="CF1374" s="89" t="n"/>
      <c r="CG1374" s="91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32" t="n"/>
      <c r="K1375" s="151" t="n"/>
      <c r="M1375" s="98" t="n"/>
      <c r="O1375" s="86" t="n"/>
      <c r="P1375" s="86" t="n"/>
      <c r="Q1375" s="86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17" t="n"/>
      <c r="AZ1375" s="117" t="n"/>
      <c r="BA1375" s="117" t="n"/>
      <c r="BB1375" s="155" t="n"/>
      <c r="BC1375" s="139" t="n"/>
      <c r="BD1375" s="80" t="n"/>
      <c r="BO1375" s="102" t="n"/>
      <c r="BP1375" s="156" t="n"/>
      <c r="BQ1375" s="156" t="n"/>
      <c r="BR1375" s="137" t="n"/>
      <c r="BS1375" s="109" t="n"/>
      <c r="BT1375" s="153" t="n"/>
      <c r="BU1375" s="60" t="n"/>
      <c r="BV1375" s="89" t="n"/>
      <c r="BW1375" s="61" t="n"/>
      <c r="BX1375" s="77" t="n"/>
      <c r="BY1375" s="77" t="n"/>
      <c r="BZ1375" s="78" t="n"/>
      <c r="CA1375" s="60" t="n"/>
      <c r="CB1375" s="76" t="n"/>
      <c r="CC1375" s="140" t="n"/>
      <c r="CE1375" s="76" t="n"/>
      <c r="CF1375" s="89" t="n"/>
      <c r="CG1375" s="91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48" t="n"/>
      <c r="K1379" s="151" t="n"/>
      <c r="M1379" s="98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37" t="n"/>
      <c r="AZ1379" s="137" t="n"/>
      <c r="BA1379" s="137" t="n"/>
      <c r="BB1379" s="153" t="n"/>
      <c r="BC1379" s="159" t="n"/>
      <c r="BD1379" s="80" t="n"/>
      <c r="BO1379" s="102" t="n"/>
      <c r="BP1379" s="153" t="n"/>
      <c r="BQ1379" s="153" t="n"/>
      <c r="BR1379" s="137" t="n"/>
      <c r="BS1379" s="102" t="n"/>
      <c r="BT1379" s="153" t="n"/>
      <c r="BU1379" s="60" t="n"/>
      <c r="BV1379" s="59" t="n"/>
      <c r="BW1379" s="61" t="n"/>
      <c r="BX1379" s="61" t="n"/>
      <c r="BY1379" s="61" t="n"/>
      <c r="BZ1379" s="61" t="n"/>
      <c r="CA1379" s="60" t="n"/>
      <c r="CB1379" s="59" t="n"/>
      <c r="CC1379" s="141" t="n"/>
      <c r="CE1379" s="59" t="n"/>
      <c r="CF1379" s="59" t="n"/>
      <c r="CG1379" s="63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32" t="n"/>
      <c r="K1384" s="151" t="n"/>
      <c r="M1384" s="98" t="n"/>
      <c r="O1384" s="86" t="n"/>
      <c r="P1384" s="86" t="n"/>
      <c r="Q1384" s="86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17" t="n"/>
      <c r="AZ1384" s="117" t="n"/>
      <c r="BA1384" s="117" t="n"/>
      <c r="BB1384" s="155" t="n"/>
      <c r="BC1384" s="139" t="n"/>
      <c r="BD1384" s="80" t="n"/>
      <c r="BO1384" s="102" t="n"/>
      <c r="BP1384" s="156" t="n"/>
      <c r="BQ1384" s="156" t="n"/>
      <c r="BR1384" s="137" t="n"/>
      <c r="BS1384" s="109" t="n"/>
      <c r="BT1384" s="153" t="n"/>
      <c r="BU1384" s="60" t="n"/>
      <c r="BV1384" s="89" t="n"/>
      <c r="BW1384" s="61" t="n"/>
      <c r="BX1384" s="77" t="n"/>
      <c r="BY1384" s="77" t="n"/>
      <c r="BZ1384" s="78" t="n"/>
      <c r="CA1384" s="60" t="n"/>
      <c r="CB1384" s="76" t="n"/>
      <c r="CC1384" s="140" t="n"/>
      <c r="CE1384" s="76" t="n"/>
      <c r="CF1384" s="89" t="n"/>
      <c r="CG1384" s="91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32" t="n"/>
      <c r="K1385" s="151" t="n"/>
      <c r="M1385" s="98" t="n"/>
      <c r="O1385" s="86" t="n"/>
      <c r="P1385" s="86" t="n"/>
      <c r="Q1385" s="86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17" t="n"/>
      <c r="AZ1385" s="117" t="n"/>
      <c r="BA1385" s="117" t="n"/>
      <c r="BB1385" s="155" t="n"/>
      <c r="BC1385" s="139" t="n"/>
      <c r="BD1385" s="80" t="n"/>
      <c r="BO1385" s="102" t="n"/>
      <c r="BP1385" s="156" t="n"/>
      <c r="BQ1385" s="156" t="n"/>
      <c r="BR1385" s="137" t="n"/>
      <c r="BS1385" s="109" t="n"/>
      <c r="BT1385" s="153" t="n"/>
      <c r="BU1385" s="60" t="n"/>
      <c r="BV1385" s="89" t="n"/>
      <c r="BW1385" s="61" t="n"/>
      <c r="BX1385" s="77" t="n"/>
      <c r="BY1385" s="77" t="n"/>
      <c r="BZ1385" s="78" t="n"/>
      <c r="CA1385" s="60" t="n"/>
      <c r="CB1385" s="76" t="n"/>
      <c r="CC1385" s="140" t="n"/>
      <c r="CE1385" s="76" t="n"/>
      <c r="CF1385" s="89" t="n"/>
      <c r="CG1385" s="91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32" t="n"/>
      <c r="K1394" s="151" t="n"/>
      <c r="M1394" s="98" t="n"/>
      <c r="O1394" s="86" t="n"/>
      <c r="P1394" s="86" t="n"/>
      <c r="Q1394" s="86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17" t="n"/>
      <c r="AZ1394" s="117" t="n"/>
      <c r="BA1394" s="117" t="n"/>
      <c r="BB1394" s="155" t="n"/>
      <c r="BC1394" s="139" t="n"/>
      <c r="BD1394" s="80" t="n"/>
      <c r="BO1394" s="102" t="n"/>
      <c r="BP1394" s="156" t="n"/>
      <c r="BQ1394" s="156" t="n"/>
      <c r="BR1394" s="137" t="n"/>
      <c r="BS1394" s="109" t="n"/>
      <c r="BT1394" s="153" t="n"/>
      <c r="BU1394" s="60" t="n"/>
      <c r="BV1394" s="89" t="n"/>
      <c r="BW1394" s="61" t="n"/>
      <c r="BX1394" s="77" t="n"/>
      <c r="BY1394" s="77" t="n"/>
      <c r="BZ1394" s="78" t="n"/>
      <c r="CA1394" s="60" t="n"/>
      <c r="CB1394" s="76" t="n"/>
      <c r="CC1394" s="140" t="n"/>
      <c r="CE1394" s="76" t="n"/>
      <c r="CF1394" s="89" t="n"/>
      <c r="CG1394" s="91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/>
    <row r="1414" customFormat="1" s="2"/>
    <row r="1415" customFormat="1" s="2"/>
    <row r="1416" customFormat="1" s="5"/>
    <row r="1417" customFormat="1" s="2"/>
    <row r="1418" customFormat="1" s="2"/>
    <row r="1419" ht="33" customFormat="1" customHeight="1" s="5"/>
    <row r="1420" customFormat="1" s="2"/>
    <row r="1421" customFormat="1" s="2"/>
    <row r="1422" customFormat="1" s="2"/>
    <row r="1423" customFormat="1" s="2"/>
    <row r="1424" customFormat="1" s="2"/>
    <row r="1425" customFormat="1" s="2"/>
    <row r="1426" customFormat="1" s="2"/>
    <row r="1427" customFormat="1" s="2"/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Penny Cheung</dc:creator>
  <dcterms:created xsi:type="dcterms:W3CDTF">1998-12-03T07:18:48Z</dcterms:created>
  <dcterms:modified xsi:type="dcterms:W3CDTF">2026-10-17T01:46:41Z</dcterms:modified>
  <cp:lastModifiedBy>ZHU Jiaqi</cp:lastModifiedBy>
  <cp:lastPrinted>2013-12-11T03:06:09Z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</Properties>
</file>