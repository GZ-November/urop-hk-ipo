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18</v>
      </c>
      <c r="B2" s="47" t="inlineStr">
        <is>
          <t>3677.HK</t>
        </is>
      </c>
      <c r="C2" s="44" t="inlineStr">
        <is>
          <t>Jiangsu Zenergy Battery Technologies Group Co., Ltd.- H shares</t>
        </is>
      </c>
      <c r="D2" s="130" t="n">
        <v>45750</v>
      </c>
      <c r="E2" s="48" t="n">
        <v>45761</v>
      </c>
      <c r="F2" s="43" t="inlineStr">
        <is>
          <t>China International Capital Corporation 
Hong Kong Securities Limited/
CMB International Capital Limited</t>
        </is>
      </c>
      <c r="G2" s="43" t="inlineStr">
        <is>
          <t>Ernst &amp; Young</t>
        </is>
      </c>
      <c r="H2" s="43" t="n"/>
      <c r="I2" s="131" t="n">
        <v>100500348</v>
      </c>
      <c r="J2" s="132" t="n">
        <v>904500651</v>
      </c>
      <c r="K2" s="133" t="n">
        <v>8.27</v>
      </c>
      <c r="L2" t="n">
        <v>2508500103</v>
      </c>
      <c r="M2" s="67" t="n">
        <v>121523700</v>
      </c>
      <c r="N2" t="n">
        <v>2386976403</v>
      </c>
      <c r="O2" t="n">
        <v>2386976403</v>
      </c>
      <c r="P2" t="n">
        <v>0</v>
      </c>
      <c r="Q2" t="n">
        <v>121523700</v>
      </c>
      <c r="R2" s="67" t="n">
        <v>109371300</v>
      </c>
      <c r="S2" s="67" t="n">
        <v>12152400</v>
      </c>
      <c r="T2" s="134" t="n">
        <v>8.27</v>
      </c>
      <c r="U2" s="134" t="n">
        <v>8.27</v>
      </c>
      <c r="V2" s="169" t="n">
        <v>0</v>
      </c>
      <c r="W2" s="169" t="n">
        <v>0</v>
      </c>
      <c r="X2" s="170" t="inlineStr">
        <is>
          <t>Fixed price</t>
        </is>
      </c>
      <c r="Y2" s="26" t="inlineStr">
        <is>
          <t>RMB</t>
        </is>
      </c>
      <c r="Z2" s="117" t="n">
        <v>10450817000</v>
      </c>
      <c r="AA2" s="117" t="n">
        <v>14130782000</v>
      </c>
      <c r="AB2" s="117" t="n">
        <v>15594231000</v>
      </c>
      <c r="AC2" s="117" t="n">
        <v>2472564000</v>
      </c>
      <c r="AD2" s="117" t="n">
        <v>4747233000</v>
      </c>
      <c r="AE2" s="117" t="n">
        <v>5897122000</v>
      </c>
      <c r="AF2" s="117" t="n">
        <v>7978253000</v>
      </c>
      <c r="AG2" s="117" t="n">
        <v>9383549000</v>
      </c>
      <c r="AH2" s="117" t="n">
        <v>9697109000</v>
      </c>
      <c r="AI2" s="117" t="n">
        <v>3290253000</v>
      </c>
      <c r="AJ2" s="117" t="n">
        <v>4161670000</v>
      </c>
      <c r="AK2" s="117" t="n">
        <v>5130317000</v>
      </c>
      <c r="AL2" s="117" t="n">
        <v>-1731048000</v>
      </c>
      <c r="AM2" s="117" t="n">
        <v>-604379000</v>
      </c>
      <c r="AN2" s="117" t="n">
        <v>79043000</v>
      </c>
      <c r="AO2" s="117" t="n">
        <v>-1719981000</v>
      </c>
      <c r="AP2" s="117" t="n">
        <v>-589867000</v>
      </c>
      <c r="AQ2" s="117" t="n">
        <v>91014000</v>
      </c>
      <c r="AR2" s="135" t="n">
        <v>0.02</v>
      </c>
      <c r="AS2" s="135" t="n">
        <v>0.02</v>
      </c>
      <c r="AT2" s="70" t="n">
        <v>0.15</v>
      </c>
      <c r="AU2" s="51" t="inlineStr">
        <is>
          <t>Lithium-ion battery manufacturer (EV battery and ESS battery products)</t>
        </is>
      </c>
      <c r="AV2" s="51" t="inlineStr">
        <is>
          <t>Main Board - Rule 8.05(3) market capitalization/revenue test</t>
        </is>
      </c>
      <c r="AW2" s="136" t="n">
        <v>45657</v>
      </c>
      <c r="AX2" s="137" t="n">
        <v>-361142000</v>
      </c>
      <c r="AY2" s="117" t="n">
        <v>2199072000</v>
      </c>
      <c r="AZ2" s="117" t="n">
        <v>556165000</v>
      </c>
      <c r="BA2" s="117" t="n">
        <v>0</v>
      </c>
      <c r="BB2" s="138" t="n">
        <v>0.882</v>
      </c>
      <c r="BC2" s="139" t="n">
        <v>1</v>
      </c>
      <c r="BD2" s="80" t="n">
        <v>1</v>
      </c>
      <c r="BE2" s="161" t="n">
        <v>1</v>
      </c>
      <c r="BF2" s="161" t="n">
        <v>1</v>
      </c>
      <c r="BG2" s="161" t="inlineStr">
        <is>
          <t>NaN</t>
        </is>
      </c>
      <c r="BH2" s="161" t="n">
        <v>1</v>
      </c>
      <c r="BI2" s="161" t="inlineStr">
        <is>
          <t>NaN</t>
        </is>
      </c>
      <c r="BJ2" s="162" t="inlineStr">
        <is>
          <t>Oceanpine Capital; Nanjing Jiangning; CICC SAIC Investment; Southeast Xinneng; Chuanghe Xincai; C&amp;D Investment; Juxin Xihai; Lianhe Jiaying; Jiaxing Chenyue; Xiamen ITG Group; Nanjing Heyi; Anhui Haichuang</t>
        </is>
      </c>
      <c r="BK2" s="163" t="n">
        <v>0.1604</v>
      </c>
      <c r="BL2" s="161" t="n">
        <v>0</v>
      </c>
      <c r="BM2" s="164" t="inlineStr">
        <is>
          <t>Series A</t>
        </is>
      </c>
      <c r="BN2" s="165" t="inlineStr">
        <is>
          <t>NaN</t>
        </is>
      </c>
      <c r="BO2" s="51" t="inlineStr">
        <is>
          <t>Individual (Ms. Cao and Dr. Chen, acting in concert)</t>
        </is>
      </c>
      <c r="BP2" s="135" t="n">
        <v>0.4621</v>
      </c>
      <c r="BQ2" s="135" t="n">
        <v>0.4621</v>
      </c>
      <c r="BR2" s="137" t="n">
        <v>4014484000</v>
      </c>
      <c r="BS2" s="73" t="inlineStr">
        <is>
          <t>Commercialization stage (NCM and LFP products commercialized; LMFP, sodium-ion and semi-solid-state in pipeline)</t>
        </is>
      </c>
      <c r="BT2" s="138" t="n">
        <v>0</v>
      </c>
      <c r="BU2" s="60" t="inlineStr">
        <is>
          <t>Main Board</t>
        </is>
      </c>
      <c r="BV2" s="89" t="inlineStr">
        <is>
          <t>H Shares and Unlisted Shares</t>
        </is>
      </c>
      <c r="BW2" s="61" t="n">
        <v>0</v>
      </c>
      <c r="BX2" s="77" t="n">
        <v>0</v>
      </c>
      <c r="BY2" s="77" t="n">
        <v>0</v>
      </c>
      <c r="BZ2" s="78" t="n">
        <v>0</v>
      </c>
      <c r="CA2" s="60" t="inlineStr">
        <is>
          <t>101070</t>
        </is>
      </c>
      <c r="CB2" s="76" t="inlineStr">
        <is>
          <t>HSICS (Hang Seng Industry Classification System) 2026</t>
        </is>
      </c>
      <c r="CC2" s="140" t="n">
        <v>43522</v>
      </c>
      <c r="CD2" s="171" t="n">
        <v>6.13</v>
      </c>
      <c r="CE2" s="76" t="inlineStr">
        <is>
          <t>PRC</t>
        </is>
      </c>
      <c r="CF2" s="89" t="inlineStr">
        <is>
          <t>No. 68 Xin'anjiang Road, Dongnan Community, Changshu, Jiangsu Province, the PRC</t>
        </is>
      </c>
      <c r="CG2" s="91" t="n">
        <v>1000</v>
      </c>
      <c r="CH2" s="60" t="inlineStr">
        <is>
          <t>IFRS</t>
        </is>
      </c>
      <c r="CI2" s="141" t="n">
        <v>44562</v>
      </c>
      <c r="CJ2" s="141" t="n">
        <v>44926</v>
      </c>
      <c r="CK2" s="141" t="n">
        <v>44927</v>
      </c>
      <c r="CL2" s="141" t="n">
        <v>45291</v>
      </c>
      <c r="CM2" s="141" t="n">
        <v>45292</v>
      </c>
      <c r="CN2" s="92" t="n">
        <v>5130317000</v>
      </c>
      <c r="CO2" s="64" t="n">
        <v>79043000</v>
      </c>
      <c r="CP2" s="64" t="n">
        <v>91014000</v>
      </c>
      <c r="CQ2" s="141" t="n">
        <v>45750</v>
      </c>
      <c r="CR2" s="141" t="n">
        <v>45756</v>
      </c>
      <c r="CS2" s="63" t="n">
        <v>1439372739</v>
      </c>
      <c r="CT2" s="64" t="n">
        <v>748444000</v>
      </c>
      <c r="CU2" s="64" t="n">
        <v>614798000</v>
      </c>
      <c r="CV2" s="59" t="inlineStr">
        <is>
          <t>true and fair view</t>
        </is>
      </c>
      <c r="CW2" s="64" t="n">
        <v>77550000</v>
      </c>
      <c r="CX2" s="51" t="inlineStr">
        <is>
          <t>Jiangsu Mixed Ownership Reform Fund; Suzhou High-end Equipment Fund; Southeast Investment Holding</t>
        </is>
      </c>
      <c r="CY2" s="142" t="n">
        <v>0.6179</v>
      </c>
      <c r="CZ2" s="136" t="n">
        <v>45944</v>
      </c>
      <c r="DA2" s="143" t="n">
        <v>3.51</v>
      </c>
      <c r="DB2" s="63" t="n">
        <v>5998</v>
      </c>
      <c r="DC2" s="63" t="n">
        <v>42696000</v>
      </c>
      <c r="DD2" s="59" t="inlineStr">
        <is>
          <t>Subscription level 3.51 times</t>
        </is>
      </c>
      <c r="DE2" s="141" t="inlineStr">
        <is>
          <t>NA</t>
        </is>
      </c>
      <c r="DF2" s="141" t="n">
        <v>45758</v>
      </c>
      <c r="DG2" s="63" t="n">
        <v>121523700</v>
      </c>
      <c r="DH2" s="63" t="n">
        <v>12152400</v>
      </c>
      <c r="DI2" s="63" t="n">
        <v>109371300</v>
      </c>
      <c r="DJ2" s="63" t="n">
        <v>0</v>
      </c>
      <c r="DK2" s="169" t="n">
        <v>0</v>
      </c>
      <c r="DL2" s="59" t="inlineStr">
        <is>
          <t>Claw-back triggered No; no reallocation, final HKPO stays at 12,152,400 (approximately 10% of the Global Offering)</t>
        </is>
      </c>
      <c r="DM2" s="144" t="n">
        <v>927500000</v>
      </c>
      <c r="DN2" s="142" t="n">
        <v>0.2116</v>
      </c>
      <c r="DO2" s="51" t="n">
        <v>2508500103</v>
      </c>
      <c r="DP2" s="142" t="n">
        <v>0.01851</v>
      </c>
      <c r="DQ2" s="59" t="inlineStr">
        <is>
          <t>分母为上市时已发行股份总数 2,508,500,103 股（假设非上市股份转换为 H 股已完成，且超额配售权未行使）</t>
        </is>
      </c>
      <c r="DR2" s="63" t="n">
        <v>2508500103</v>
      </c>
      <c r="DS2" s="142" t="n">
        <v>-0.01660077</v>
      </c>
      <c r="DT2" s="80" t="n">
        <v>15</v>
      </c>
      <c r="DU2" s="142" t="n">
        <v>0.034872</v>
      </c>
      <c r="DV2" s="144" t="n">
        <v>44694000000</v>
      </c>
      <c r="DW2" s="145" t="n">
        <v>8.390000000000001</v>
      </c>
      <c r="DX2" s="169" t="n">
        <v>0.01451</v>
      </c>
      <c r="DY2" s="172" t="n">
        <v>14582844</v>
      </c>
      <c r="DZ2" s="146" t="n">
        <v>8.460000000000001</v>
      </c>
      <c r="EA2" s="146" t="n">
        <v>8.460000000000001</v>
      </c>
      <c r="EB2" s="146" t="n">
        <v>8.33</v>
      </c>
      <c r="EC2" s="63" t="n">
        <v>3230400</v>
      </c>
      <c r="ED2" s="169" t="n">
        <v>0.026582</v>
      </c>
      <c r="EE2" s="64" t="n">
        <v>27167900</v>
      </c>
      <c r="EF2" s="60" t="inlineStr">
        <is>
          <t>PN18 statutory clawback</t>
        </is>
      </c>
      <c r="EG2" s="59" t="inlineStr">
        <is>
          <t>FINI (from 22/11/2023)</t>
        </is>
      </c>
      <c r="EH2" t="inlineStr">
        <is>
          <t>江苏正力新能电池技术股份有限公司</t>
        </is>
      </c>
      <c r="EI2" s="174" t="inlineStr">
        <is>
          <t>Active</t>
        </is>
      </c>
      <c r="EJ2" s="175" t="n">
        <v>9.609999999999999</v>
      </c>
      <c r="EK2" s="176" t="n">
        <v>0.145411</v>
      </c>
      <c r="EL2" s="176" t="n">
        <v>0.162031</v>
      </c>
      <c r="EM2" s="176" t="n">
        <v>0.095052</v>
      </c>
      <c r="EN2" s="176" t="n">
        <v>0.056374</v>
      </c>
      <c r="EO2" s="179" t="n">
        <v>1.046</v>
      </c>
      <c r="EP2" s="179" t="n">
        <v>1.0843</v>
      </c>
      <c r="EQ2" s="178" t="n">
        <v>12683475</v>
      </c>
      <c r="ER2" s="175" t="n">
        <v>11.86</v>
      </c>
      <c r="ES2" s="176" t="n">
        <v>0.413588</v>
      </c>
      <c r="ET2" s="176" t="n">
        <v>0.434099</v>
      </c>
      <c r="EU2" s="176" t="n">
        <v>0.187882</v>
      </c>
      <c r="EV2" s="176" t="n">
        <v>0.18108</v>
      </c>
      <c r="EW2" s="179" t="n">
        <v>1.19</v>
      </c>
      <c r="EX2" s="179" t="n">
        <v>1.1969</v>
      </c>
      <c r="EY2" s="178" t="n">
        <v>108347715</v>
      </c>
      <c r="EZ2" s="176" t="n">
        <v>3.988078</v>
      </c>
      <c r="FA2" s="176" t="n"/>
      <c r="FB2" s="179" t="n"/>
      <c r="FC2" s="176" t="n"/>
      <c r="FD2" s="179" t="n"/>
      <c r="FE2" s="174" t="inlineStr">
        <is>
          <t>Standard</t>
        </is>
      </c>
      <c r="FF2" s="181" t="inlineStr">
        <is>
          <t>China International Capital Corporation / Sponsor-OC</t>
        </is>
      </c>
      <c r="FG2" s="185" t="inlineStr">
        <is>
          <t>2025-05-14</t>
        </is>
      </c>
      <c r="FH2" s="183" t="n">
        <v>0</v>
      </c>
      <c r="FI2" s="178" t="n">
        <v>0</v>
      </c>
      <c r="FJ2" s="176" t="n">
        <v>0.15</v>
      </c>
      <c r="FK2" s="185" t="inlineStr">
        <is>
          <t>2025-05-14</t>
        </is>
      </c>
      <c r="FL2" s="178" t="n">
        <v>0</v>
      </c>
      <c r="FM2" s="176" t="n">
        <v>0</v>
      </c>
      <c r="FN2" s="176" t="n">
        <v>0.075792</v>
      </c>
      <c r="FO2" s="176" t="n">
        <v>0.149028</v>
      </c>
      <c r="FP2" s="176" t="n">
        <v>0.983436</v>
      </c>
      <c r="FQ2" s="176" t="n">
        <v>-0.014303</v>
      </c>
      <c r="FR2" s="179" t="n">
        <v>0.9791</v>
      </c>
      <c r="FS2" s="176" t="n">
        <v>0.145411</v>
      </c>
      <c r="FT2" s="179" t="n">
        <v>1.046</v>
      </c>
      <c r="FU2" s="176" t="n">
        <v>0.239571</v>
      </c>
      <c r="FV2" s="179" t="n">
        <v>1.0828</v>
      </c>
      <c r="FW2" s="179" t="n">
        <v>1.1473</v>
      </c>
      <c r="FX2" s="178" t="n">
        <v>10863488.89</v>
      </c>
      <c r="FY2" s="186" t="n">
        <v>0.001177285714285714</v>
      </c>
      <c r="FZ2" s="183" t="n">
        <v>0</v>
      </c>
      <c r="GA2" s="176" t="n">
        <v>0.02702259469376962</v>
      </c>
      <c r="GB2" s="176" t="n">
        <v>0.179508</v>
      </c>
      <c r="GC2" s="185" t="inlineStr">
        <is>
          <t>2025-10-14</t>
        </is>
      </c>
      <c r="GD2" s="185" t="inlineStr">
        <is>
          <t>2026-04-14</t>
        </is>
      </c>
      <c r="GE2" s="176" t="n">
        <v>-0.104706</v>
      </c>
      <c r="GF2" s="176" t="n">
        <v>-0.221232</v>
      </c>
      <c r="GG2" s="179" t="n">
        <v>0.4612</v>
      </c>
      <c r="GH2" s="181" t="inlineStr">
        <is>
          <t>China International Capital Corporation / Sponsor-OC</t>
        </is>
      </c>
      <c r="GI2" s="183" t="n">
        <v>0</v>
      </c>
      <c r="GJ2" s="183" t="n">
        <v>0</v>
      </c>
      <c r="GK2" s="176" t="n">
        <v>0.025</v>
      </c>
      <c r="GL2" s="176" t="n">
        <v>0.01</v>
      </c>
      <c r="GM2" s="176" t="n">
        <v>0.035</v>
      </c>
      <c r="GN2" s="183" t="n">
        <v>4</v>
      </c>
      <c r="GO2" s="183" t="n">
        <v>0</v>
      </c>
      <c r="GP2" s="183" t="n">
        <v>0</v>
      </c>
      <c r="GQ2" s="183" t="n">
        <v>6</v>
      </c>
      <c r="GR2" s="183" t="n">
        <v>0</v>
      </c>
      <c r="GS2" s="181" t="inlineStr">
        <is>
          <t>POST_FINI</t>
        </is>
      </c>
      <c r="GT2" s="181" t="inlineStr">
        <is>
          <t>PRE_2025_REFORM</t>
        </is>
      </c>
    </row>
    <row r="3" ht="51" customFormat="1" customHeight="1" s="12">
      <c r="A3" s="43" t="n">
        <v>19</v>
      </c>
      <c r="B3" s="47" t="inlineStr">
        <is>
          <t>9606.HK</t>
        </is>
      </c>
      <c r="C3" s="44" t="inlineStr">
        <is>
          <t>Duality Biotherapeutics, Inc. - B</t>
        </is>
      </c>
      <c r="D3" s="130" t="n">
        <v>45754</v>
      </c>
      <c r="E3" s="48" t="n">
        <v>45762</v>
      </c>
      <c r="F3" s="43" t="inlineStr">
        <is>
          <t>Morgan Stanley Asia Limited/
Jefferies Hong Kong Limited/
CITIC Securities (Hong Kong) Limited</t>
        </is>
      </c>
      <c r="G3" s="43" t="inlineStr">
        <is>
          <t>PricewaterhouseCoopers</t>
        </is>
      </c>
      <c r="H3" s="43" t="n"/>
      <c r="I3" s="131" t="n">
        <v>712886680</v>
      </c>
      <c r="J3" s="132" t="n">
        <v>1172689980</v>
      </c>
      <c r="K3" s="133" t="n">
        <v>94.59999999999999</v>
      </c>
      <c r="L3" t="n">
        <v>83175764</v>
      </c>
      <c r="M3" s="67" t="n">
        <v>15071600</v>
      </c>
      <c r="N3" t="n">
        <v>68104164</v>
      </c>
      <c r="O3" t="n">
        <v>68104164</v>
      </c>
      <c r="P3" t="n">
        <v>0</v>
      </c>
      <c r="Q3" t="n">
        <v>15071600</v>
      </c>
      <c r="R3" s="67" t="n">
        <v>13564400</v>
      </c>
      <c r="S3" s="67" t="n">
        <v>1507200</v>
      </c>
      <c r="T3" s="134" t="n">
        <v>103.2</v>
      </c>
      <c r="U3" s="134" t="n">
        <v>94.59999999999999</v>
      </c>
      <c r="V3" s="169" t="n">
        <v>-0.043478</v>
      </c>
      <c r="W3" s="169" t="n">
        <v>0.08695700000000001</v>
      </c>
      <c r="X3" s="170" t="inlineStr">
        <is>
          <t>At low</t>
        </is>
      </c>
      <c r="Y3" s="26" t="inlineStr">
        <is>
          <t>RMB</t>
        </is>
      </c>
      <c r="Z3" s="137" t="inlineStr">
        <is>
          <t>NaN</t>
        </is>
      </c>
      <c r="AA3" s="137" t="n">
        <v>1499909000</v>
      </c>
      <c r="AB3" s="137" t="n">
        <v>2090222000</v>
      </c>
      <c r="AC3" s="137" t="inlineStr">
        <is>
          <t>NaN</t>
        </is>
      </c>
      <c r="AD3" s="137" t="n">
        <v>-1123913000</v>
      </c>
      <c r="AE3" s="137" t="n">
        <v>-2021899000</v>
      </c>
      <c r="AF3" s="137" t="inlineStr">
        <is>
          <t>NaN</t>
        </is>
      </c>
      <c r="AG3" s="137" t="n">
        <v>2623822000</v>
      </c>
      <c r="AH3" s="137" t="n">
        <v>4112121000</v>
      </c>
      <c r="AI3" s="137" t="inlineStr">
        <is>
          <t>NaN</t>
        </is>
      </c>
      <c r="AJ3" s="137" t="n">
        <v>1786540000</v>
      </c>
      <c r="AK3" s="137" t="n">
        <v>1941257000</v>
      </c>
      <c r="AL3" s="137" t="inlineStr">
        <is>
          <t>NaN</t>
        </is>
      </c>
      <c r="AM3" s="137" t="n">
        <v>-202249000</v>
      </c>
      <c r="AN3" s="137" t="n">
        <v>-1014546000</v>
      </c>
      <c r="AO3" s="137" t="inlineStr">
        <is>
          <t>NaN</t>
        </is>
      </c>
      <c r="AP3" s="137" t="n">
        <v>-357512000</v>
      </c>
      <c r="AQ3" s="137" t="n">
        <v>-1050434000</v>
      </c>
      <c r="AR3" s="135" t="n">
        <v>0.03</v>
      </c>
      <c r="AS3" s="135" t="n">
        <v>0.03</v>
      </c>
      <c r="AT3" s="70" t="n">
        <v>0.15</v>
      </c>
      <c r="AU3" s="51" t="inlineStr">
        <is>
          <t>抗体偶联药物（ADC）创新药研发（生物科技）</t>
        </is>
      </c>
      <c r="AV3" s="51" t="inlineStr">
        <is>
          <t>Chapter 18A of the Listing Rules（18A 生物科技公司）</t>
        </is>
      </c>
      <c r="AW3" s="136" t="n">
        <v>45657</v>
      </c>
      <c r="AX3" s="137" t="n">
        <v>285781000</v>
      </c>
      <c r="AY3" s="117" t="n">
        <v>1208906000</v>
      </c>
      <c r="AZ3" s="117" t="n">
        <v>836726000</v>
      </c>
      <c r="BA3" s="117" t="n">
        <v>0</v>
      </c>
      <c r="BB3" s="138" t="n">
        <v>1</v>
      </c>
      <c r="BC3" s="139" t="n">
        <v>1</v>
      </c>
      <c r="BD3" s="80" t="n">
        <v>1</v>
      </c>
      <c r="BE3" s="161" t="n">
        <v>1</v>
      </c>
      <c r="BF3" s="161" t="n">
        <v>1</v>
      </c>
      <c r="BG3" s="161" t="inlineStr">
        <is>
          <t>NaN</t>
        </is>
      </c>
      <c r="BH3" s="161" t="n">
        <v>1</v>
      </c>
      <c r="BI3" s="161" t="n">
        <v>1</v>
      </c>
      <c r="BJ3" s="162" t="inlineStr">
        <is>
          <t>LAV USD; King Star Med; Shanghai Yingjia; Orchids; Golden Sword; China Singapore Suzhou Industrial Park Ventures (CSVC)</t>
        </is>
      </c>
      <c r="BK3" s="163" t="inlineStr">
        <is>
          <t>NaN</t>
        </is>
      </c>
      <c r="BL3" s="161" t="n">
        <v>1</v>
      </c>
      <c r="BM3" s="164" t="inlineStr">
        <is>
          <t>Series Seed Financing (April 24, 2020)</t>
        </is>
      </c>
      <c r="BN3" s="165" t="n">
        <v>4.9</v>
      </c>
      <c r="BO3" s="51" t="inlineStr">
        <is>
          <t>无单一控股股东；创始人朱忠远博士与单一最大股东 LAV USD</t>
        </is>
      </c>
      <c r="BP3" s="135" t="n">
        <v>0.2389</v>
      </c>
      <c r="BQ3" s="135" t="n">
        <v>0.2389</v>
      </c>
      <c r="BR3" s="137" t="n">
        <v>5289000</v>
      </c>
      <c r="BS3" s="73" t="inlineStr">
        <is>
          <t>尚无产品获批上市（临床开发阶段，未取得任何药品上市许可）</t>
        </is>
      </c>
      <c r="BT3" s="142" t="n">
        <v>0</v>
      </c>
      <c r="BU3" s="60" t="inlineStr">
        <is>
          <t>Main Board</t>
        </is>
      </c>
      <c r="BV3" s="89" t="inlineStr">
        <is>
          <t>Ordinary Shares</t>
        </is>
      </c>
      <c r="BW3" s="61" t="n">
        <v>0</v>
      </c>
      <c r="BX3" s="77" t="n">
        <v>0</v>
      </c>
      <c r="BY3" s="77" t="n">
        <v>1</v>
      </c>
      <c r="BZ3" s="78" t="n">
        <v>0</v>
      </c>
      <c r="CA3" s="60" t="inlineStr">
        <is>
          <t>281020</t>
        </is>
      </c>
      <c r="CB3" s="76" t="inlineStr">
        <is>
          <t>HSICS (Hang Seng Industry Classification System) 2026</t>
        </is>
      </c>
      <c r="CC3" s="140" t="n">
        <v>43649</v>
      </c>
      <c r="CD3" s="171" t="n">
        <v>5.79</v>
      </c>
      <c r="CE3" s="76" t="inlineStr">
        <is>
          <t>NA</t>
        </is>
      </c>
      <c r="CF3" s="89" t="inlineStr">
        <is>
          <t>Unit 301, Building 3, Zone B, Phase III, Biopharmaceutical Industrial Park, Pudong New Area, Shanghai, the PRC</t>
        </is>
      </c>
      <c r="CG3" s="91" t="n">
        <v>1000</v>
      </c>
      <c r="CH3" s="60" t="inlineStr">
        <is>
          <t>IFRS</t>
        </is>
      </c>
      <c r="CI3" s="141" t="n">
        <v>44562</v>
      </c>
      <c r="CJ3" s="141" t="n">
        <v>44926</v>
      </c>
      <c r="CK3" s="141" t="n">
        <v>44927</v>
      </c>
      <c r="CL3" s="141" t="n">
        <v>45291</v>
      </c>
      <c r="CM3" s="141" t="n">
        <v>45292</v>
      </c>
      <c r="CN3" s="92" t="n">
        <v>1941257000</v>
      </c>
      <c r="CO3" s="64" t="n">
        <v>-1014546000</v>
      </c>
      <c r="CP3" s="64" t="n">
        <v>-1050434000</v>
      </c>
      <c r="CQ3" s="141" t="n">
        <v>45754</v>
      </c>
      <c r="CR3" s="141" t="n">
        <v>45757</v>
      </c>
      <c r="CS3" s="63" t="n">
        <v>83175764</v>
      </c>
      <c r="CT3" s="64" t="n">
        <v>784667000</v>
      </c>
      <c r="CU3" s="64" t="n">
        <v>4079000</v>
      </c>
      <c r="CV3" s="59" t="inlineStr">
        <is>
          <t>Unqualified (true and fair view)</t>
        </is>
      </c>
      <c r="CW3" s="64" t="n">
        <v>120300000</v>
      </c>
      <c r="CX3" s="51" t="inlineStr">
        <is>
          <t>BioNTech SE; LAV Star Opportunities Limited; Lake Bleu Prime Healthcare Master Fund Limited; Lake Bleu Innovation Healthcare Master Fund Limited; TruMed Healthcare Master Fund; ABS Direct Equity Fund LLC Asia Series 11; TruMed Health Innovation Fund LP; Fullgoal Asset Management (HK) Limited; Fullgoal Fund Management Co., Ltd.; E Fund Management Co., Ltd.; E Fund Management (Hong Kong) Co., Ltd.; China Universal Asset Management Co., Ltd.; Panjing Harbourview Investment Fund; MY Asian Opportunities Master Fund, L.P.; Emerging Markets Healthcare Partners LLC; Worldwide Healthcare Partners LLC; Suzhou Suchuang Biomedical Health Venture Capital Fund Partnership (Limited Partnership)</t>
        </is>
      </c>
      <c r="CY3" s="142" t="n">
        <v>0.3082</v>
      </c>
      <c r="CZ3" s="136" t="n">
        <v>45945</v>
      </c>
      <c r="DA3" s="143" t="n">
        <v>115.14</v>
      </c>
      <c r="DB3" s="63" t="n">
        <v>26857</v>
      </c>
      <c r="DC3" s="63" t="n">
        <v>173541500</v>
      </c>
      <c r="DD3" s="59" t="inlineStr">
        <is>
          <t>Subscription level 115.14 times</t>
        </is>
      </c>
      <c r="DE3" s="141" t="n">
        <v>45758</v>
      </c>
      <c r="DF3" s="141" t="n">
        <v>45761</v>
      </c>
      <c r="DG3" s="63" t="n">
        <v>17332300</v>
      </c>
      <c r="DH3" s="63" t="n">
        <v>7535800</v>
      </c>
      <c r="DI3" s="63" t="n">
        <v>9796500</v>
      </c>
      <c r="DJ3" s="63" t="n">
        <v>2599800</v>
      </c>
      <c r="DK3" s="169" t="n">
        <v>1</v>
      </c>
      <c r="DL3" s="59" t="inlineStr">
        <is>
          <t>Claw-back triggered: Yes; 6,028,600 Offer Shares reallocated from the International Offering to the Hong Kong Public Offering; final Hong Kong Public Offering 7,535,800 Shares (approximately 43.48% of the Global Offering)</t>
        </is>
      </c>
      <c r="DM3" s="144" t="n">
        <v>1512620000</v>
      </c>
      <c r="DN3" s="142" t="n">
        <v>0.7286</v>
      </c>
      <c r="DO3" s="51" t="n">
        <v>85436464</v>
      </c>
      <c r="DP3" s="142" t="n">
        <v>0.14034</v>
      </c>
      <c r="DQ3" s="59" t="inlineStr">
        <is>
          <t>分母为上市时已发行股份总数85,436,464股（含发售规模调整权全额行使、不含超额配售权）；公告仅披露公众持股62,253,243股(72.86%)，未单列自由流通量，自由流通股数=全球发售17,332,300股−基石获配5,341,800股=11,990,500股</t>
        </is>
      </c>
      <c r="DR3" s="63" t="n">
        <v>85436464</v>
      </c>
      <c r="DS3" s="142" t="n">
        <v>-0.0623684</v>
      </c>
      <c r="DT3" s="80" t="n">
        <v>15</v>
      </c>
      <c r="DU3" s="142" t="n">
        <v>0.0343667</v>
      </c>
      <c r="DV3" s="144" t="n">
        <v>44689000000</v>
      </c>
      <c r="DW3" s="145" t="n">
        <v>205</v>
      </c>
      <c r="DX3" s="169" t="n">
        <v>1.167019</v>
      </c>
      <c r="DY3" s="172" t="n">
        <v>1913485920</v>
      </c>
      <c r="DZ3" s="146" t="n">
        <v>181</v>
      </c>
      <c r="EA3" s="146" t="n">
        <v>222</v>
      </c>
      <c r="EB3" s="146" t="n">
        <v>181</v>
      </c>
      <c r="EC3" s="63" t="n">
        <v>10825216</v>
      </c>
      <c r="ED3" s="169" t="n">
        <v>0.624569</v>
      </c>
      <c r="EE3" s="64" t="n">
        <v>2030244000</v>
      </c>
      <c r="EF3" s="60" t="inlineStr">
        <is>
          <t>PN18 statutory clawback</t>
        </is>
      </c>
      <c r="EG3" s="59" t="inlineStr">
        <is>
          <t>FINI (from 22/11/2023)</t>
        </is>
      </c>
      <c r="EH3" t="inlineStr">
        <is>
          <t>映恩生物</t>
        </is>
      </c>
      <c r="EI3" s="174" t="inlineStr">
        <is>
          <t>Active</t>
        </is>
      </c>
      <c r="EJ3" s="175" t="n">
        <v>194.4</v>
      </c>
      <c r="EK3" s="176" t="n">
        <v>-0.051707</v>
      </c>
      <c r="EL3" s="176" t="n">
        <v>1.054968</v>
      </c>
      <c r="EM3" s="176" t="n">
        <v>0.087522</v>
      </c>
      <c r="EN3" s="176" t="n">
        <v>0.060169</v>
      </c>
      <c r="EO3" s="179" t="n">
        <v>0.872</v>
      </c>
      <c r="EP3" s="179" t="n">
        <v>0.8945</v>
      </c>
      <c r="EQ3" s="178" t="n">
        <v>223357185</v>
      </c>
      <c r="ER3" s="175" t="n">
        <v>314</v>
      </c>
      <c r="ES3" s="176" t="n">
        <v>0.531707</v>
      </c>
      <c r="ET3" s="176" t="n">
        <v>2.319239</v>
      </c>
      <c r="EU3" s="176" t="n">
        <v>0.207038</v>
      </c>
      <c r="EV3" s="176" t="n">
        <v>0.219542</v>
      </c>
      <c r="EW3" s="179" t="n">
        <v>1.269</v>
      </c>
      <c r="EX3" s="179" t="n">
        <v>1.256</v>
      </c>
      <c r="EY3" s="178" t="n">
        <v>450534065</v>
      </c>
      <c r="EZ3" s="176" t="n">
        <v>0.221911</v>
      </c>
      <c r="FA3" s="176" t="n"/>
      <c r="FB3" s="179" t="n"/>
      <c r="FC3" s="176" t="n"/>
      <c r="FD3" s="179" t="n"/>
      <c r="FE3" s="174" t="inlineStr">
        <is>
          <t>18A (Biotech / B-tag)</t>
        </is>
      </c>
      <c r="FF3" s="181" t="inlineStr">
        <is>
          <t>China International Capital Corporation / Sponsor-OC</t>
        </is>
      </c>
      <c r="FG3" s="185" t="inlineStr">
        <is>
          <t>2025-05-15</t>
        </is>
      </c>
      <c r="FH3" s="183" t="n">
        <v>0</v>
      </c>
      <c r="FI3" s="178" t="n">
        <v>0</v>
      </c>
      <c r="FJ3" s="176" t="n">
        <v>0.15</v>
      </c>
      <c r="FK3" s="185" t="inlineStr">
        <is>
          <t>2025-05-15</t>
        </is>
      </c>
      <c r="FL3" s="178" t="n">
        <v>0</v>
      </c>
      <c r="FM3" s="176" t="n">
        <v>0</v>
      </c>
      <c r="FN3" s="176" t="n">
        <v>0.025871</v>
      </c>
      <c r="FO3" s="176" t="n">
        <v>0.513514</v>
      </c>
      <c r="FP3" s="176" t="n">
        <v>0.379238</v>
      </c>
      <c r="FQ3" s="176" t="n">
        <v>0.066341</v>
      </c>
      <c r="FR3" s="179" t="n">
        <v>1.037</v>
      </c>
      <c r="FS3" s="176" t="n">
        <v>-0.051707</v>
      </c>
      <c r="FT3" s="179" t="n">
        <v>0.872</v>
      </c>
      <c r="FU3" s="176" t="n">
        <v>0.601951</v>
      </c>
      <c r="FV3" s="179" t="n">
        <v>1.4036</v>
      </c>
      <c r="FW3" s="179" t="n">
        <v>1.4646</v>
      </c>
      <c r="FX3" s="178" t="n">
        <v>124458679.37</v>
      </c>
      <c r="FY3" s="186" t="n">
        <v>0.000415031746031746</v>
      </c>
      <c r="FZ3" s="183" t="n">
        <v>0</v>
      </c>
      <c r="GA3" s="176" t="n">
        <v>0.1168804328724185</v>
      </c>
      <c r="GB3" s="176" t="n">
        <v>0.476841</v>
      </c>
      <c r="GC3" s="185" t="inlineStr">
        <is>
          <t>2025-10-15</t>
        </is>
      </c>
      <c r="GD3" s="185" t="inlineStr">
        <is>
          <t>2026-04-15</t>
        </is>
      </c>
      <c r="GE3" s="176" t="n">
        <v>0.019748</v>
      </c>
      <c r="GF3" s="176" t="n">
        <v>-0.405517</v>
      </c>
      <c r="GG3" s="179" t="n">
        <v>2.3639</v>
      </c>
      <c r="GH3" s="181" t="inlineStr">
        <is>
          <t>China International Capital Corporation / Sponsor-OC</t>
        </is>
      </c>
      <c r="GI3" s="183" t="n">
        <v>0</v>
      </c>
      <c r="GJ3" s="183" t="n">
        <v>0</v>
      </c>
      <c r="GK3" s="176" t="n">
        <v>0.025</v>
      </c>
      <c r="GL3" s="176" t="n">
        <v>0.01</v>
      </c>
      <c r="GM3" s="176" t="n">
        <v>0.035</v>
      </c>
      <c r="GN3" s="183" t="n">
        <v>4</v>
      </c>
      <c r="GO3" s="183" t="n">
        <v>0</v>
      </c>
      <c r="GP3" s="183" t="n">
        <v>0</v>
      </c>
      <c r="GQ3" s="183" t="n">
        <v>6</v>
      </c>
      <c r="GR3" s="183" t="n">
        <v>0</v>
      </c>
      <c r="GS3" s="181" t="inlineStr">
        <is>
          <t>POST_FINI</t>
        </is>
      </c>
      <c r="GT3" s="181" t="inlineStr">
        <is>
          <t>PRE_2025_REFORM</t>
        </is>
      </c>
    </row>
    <row r="4" ht="34" customFormat="1" customHeight="1" s="12">
      <c r="A4" s="43" t="n">
        <v>20</v>
      </c>
      <c r="B4" s="47" t="inlineStr">
        <is>
          <t>1333.HK</t>
        </is>
      </c>
      <c r="C4" s="44" t="inlineStr">
        <is>
          <t>Breton Technology Co., Ltd.- H shares</t>
        </is>
      </c>
      <c r="D4" s="130" t="n">
        <v>45772</v>
      </c>
      <c r="E4" s="48" t="n">
        <v>45784</v>
      </c>
      <c r="F4" s="43" t="inlineStr">
        <is>
          <t>China International Capital Corporation 
Hong Kong Securities Limited/
CMB International Capital Limited</t>
        </is>
      </c>
      <c r="G4" s="43" t="inlineStr">
        <is>
          <t>KPMG</t>
        </is>
      </c>
      <c r="H4" s="43" t="n"/>
      <c r="I4" s="131" t="n">
        <v>46800000</v>
      </c>
      <c r="J4" s="132" t="n">
        <v>187200000</v>
      </c>
      <c r="K4" s="133" t="n">
        <v>18</v>
      </c>
      <c r="L4" s="81" t="n">
        <v>379651762</v>
      </c>
      <c r="M4" s="82" t="n">
        <v>13000000</v>
      </c>
      <c r="N4" s="81" t="n">
        <v>366651762</v>
      </c>
      <c r="O4" s="81" t="n">
        <v>366651762</v>
      </c>
      <c r="P4" s="81" t="n">
        <v>0</v>
      </c>
      <c r="Q4" s="81" t="n">
        <v>13000000</v>
      </c>
      <c r="R4" s="82" t="n">
        <v>11700000</v>
      </c>
      <c r="S4" s="82" t="n">
        <v>1300000</v>
      </c>
      <c r="T4" s="147" t="n">
        <v>18</v>
      </c>
      <c r="U4" s="147" t="n">
        <v>18</v>
      </c>
      <c r="V4" s="169" t="n">
        <v>0</v>
      </c>
      <c r="W4" s="169" t="n">
        <v>0</v>
      </c>
      <c r="X4" s="170" t="inlineStr">
        <is>
          <t>Fixed price</t>
        </is>
      </c>
      <c r="Y4" s="26" t="inlineStr">
        <is>
          <t>CNY</t>
        </is>
      </c>
      <c r="Z4" s="137" t="n">
        <v>927817000</v>
      </c>
      <c r="AA4" s="137" t="n">
        <v>1421814000</v>
      </c>
      <c r="AB4" s="137" t="n">
        <v>1438340000</v>
      </c>
      <c r="AC4" s="137" t="n">
        <v>553936276</v>
      </c>
      <c r="AD4" s="137" t="n">
        <v>922299540</v>
      </c>
      <c r="AE4" s="137" t="n">
        <v>682280994</v>
      </c>
      <c r="AF4" s="137" t="n">
        <v>373881000</v>
      </c>
      <c r="AG4" s="137" t="n">
        <v>499515000</v>
      </c>
      <c r="AH4" s="137" t="n">
        <v>756059000</v>
      </c>
      <c r="AI4" s="137" t="n">
        <v>360106324</v>
      </c>
      <c r="AJ4" s="137" t="n">
        <v>463738031</v>
      </c>
      <c r="AK4" s="137" t="n">
        <v>635456675</v>
      </c>
      <c r="AL4" s="137" t="n">
        <v>-177470438</v>
      </c>
      <c r="AM4" s="137" t="n">
        <v>-229412150</v>
      </c>
      <c r="AN4" s="137" t="n">
        <v>-274457165</v>
      </c>
      <c r="AO4" s="137" t="n">
        <v>-178100753</v>
      </c>
      <c r="AP4" s="137" t="n">
        <v>-229413531</v>
      </c>
      <c r="AQ4" s="137" t="n">
        <v>-274547480</v>
      </c>
      <c r="AR4" s="135" t="n">
        <v>0.1423</v>
      </c>
      <c r="AS4" s="135" t="n">
        <v>0.1423</v>
      </c>
      <c r="AT4" s="84" t="n">
        <v>0.15</v>
      </c>
      <c r="AU4" s="51" t="inlineStr">
        <is>
          <t>China-based provider of electric-powered engineering machinery (battery-electric loaders and wide-body dump trucks with autonomous capabilities)</t>
        </is>
      </c>
      <c r="AV4" s="51" t="inlineStr">
        <is>
          <t>Main Board - Rule 8.05(3) (market capitalization/revenue test)</t>
        </is>
      </c>
      <c r="AW4" s="136" t="n">
        <v>45657</v>
      </c>
      <c r="AX4" s="137" t="n">
        <v>-269950792</v>
      </c>
      <c r="AY4" s="117" t="n">
        <v>199254000</v>
      </c>
      <c r="AZ4" s="117" t="n">
        <v>81706535</v>
      </c>
      <c r="BA4" s="117" t="inlineStr">
        <is>
          <t>NaN</t>
        </is>
      </c>
      <c r="BB4" s="138" t="n">
        <v>0.435</v>
      </c>
      <c r="BC4" s="139" t="n">
        <v>1</v>
      </c>
      <c r="BD4" s="80" t="n">
        <v>1</v>
      </c>
      <c r="BE4" s="161" t="n">
        <v>1</v>
      </c>
      <c r="BF4" s="161" t="n">
        <v>1</v>
      </c>
      <c r="BG4" s="161" t="n">
        <v>1</v>
      </c>
      <c r="BH4" s="161" t="n">
        <v>1</v>
      </c>
      <c r="BI4" s="161" t="inlineStr">
        <is>
          <t>NaN</t>
        </is>
      </c>
      <c r="BJ4" s="162" t="inlineStr">
        <is>
          <t>Zhongding No.5; Xiangtan Caixin; Changjiang Automobile Valley; Huzhou Qingyun; Jinhua Boleidun; Kesheng Center; Shandong Kinetic Energy; Rockets Capital L.P.; Broad-Ocean Motor</t>
        </is>
      </c>
      <c r="BK4" s="163" t="inlineStr">
        <is>
          <t>NaN</t>
        </is>
      </c>
      <c r="BL4" s="161" t="n">
        <v>0</v>
      </c>
      <c r="BM4" s="164" t="inlineStr">
        <is>
          <t>Series A financing (October 2018)</t>
        </is>
      </c>
      <c r="BN4" s="165" t="inlineStr">
        <is>
          <t>NaN</t>
        </is>
      </c>
      <c r="BO4" s="51" t="inlineStr">
        <is>
          <t>Individual founder (Mr. Chen) acting in concert with his controlled entities</t>
        </is>
      </c>
      <c r="BP4" s="135" t="n">
        <v>0.3107</v>
      </c>
      <c r="BQ4" s="135" t="n">
        <v>0.3107</v>
      </c>
      <c r="BR4" s="137" t="n">
        <v>352313000</v>
      </c>
      <c r="BS4" s="73" t="inlineStr">
        <is>
          <t>Commercialized (products in mass production generating revenue during Track Record Period)</t>
        </is>
      </c>
      <c r="BT4" s="142" t="n">
        <v>0</v>
      </c>
      <c r="BU4" s="60" t="inlineStr">
        <is>
          <t>Main Board</t>
        </is>
      </c>
      <c r="BV4" s="89" t="inlineStr">
        <is>
          <t>H Shares</t>
        </is>
      </c>
      <c r="BW4" s="61" t="n">
        <v>0</v>
      </c>
      <c r="BX4" s="77" t="n">
        <v>0</v>
      </c>
      <c r="BY4" s="77" t="n">
        <v>0</v>
      </c>
      <c r="BZ4" s="78" t="n">
        <v>0</v>
      </c>
      <c r="CA4" s="60" t="inlineStr">
        <is>
          <t>101040</t>
        </is>
      </c>
      <c r="CB4" s="76" t="inlineStr">
        <is>
          <t>HSICS (Hang Seng Industry Classification System) 2026</t>
        </is>
      </c>
      <c r="CC4" s="140" t="n">
        <v>42702</v>
      </c>
      <c r="CD4" s="171" t="n">
        <v>8.44</v>
      </c>
      <c r="CE4" s="76" t="inlineStr">
        <is>
          <t>PRC</t>
        </is>
      </c>
      <c r="CF4" s="89" t="inlineStr">
        <is>
          <t>Room 208, 2/F, Block 3, No. 168 Shennan Road, Minhang District, Shanghai, PRC</t>
        </is>
      </c>
      <c r="CG4" s="91" t="n">
        <v>1</v>
      </c>
      <c r="CH4" s="60" t="inlineStr">
        <is>
          <t>IFRS</t>
        </is>
      </c>
      <c r="CI4" s="141" t="n">
        <v>44562</v>
      </c>
      <c r="CJ4" s="141" t="n">
        <v>44926</v>
      </c>
      <c r="CK4" s="141" t="n">
        <v>44927</v>
      </c>
      <c r="CL4" s="141" t="n">
        <v>45291</v>
      </c>
      <c r="CM4" s="141" t="n">
        <v>45292</v>
      </c>
      <c r="CN4" s="64" t="n">
        <v>635456675</v>
      </c>
      <c r="CO4" s="64" t="n">
        <v>-274457165</v>
      </c>
      <c r="CP4" s="64" t="n">
        <v>-274547480</v>
      </c>
      <c r="CQ4" s="141" t="n">
        <v>45772</v>
      </c>
      <c r="CR4" s="141" t="n">
        <v>45777</v>
      </c>
      <c r="CS4" s="63" t="n">
        <v>241241531</v>
      </c>
      <c r="CT4" s="64" t="n">
        <v>36838867</v>
      </c>
      <c r="CU4" s="64" t="n">
        <v>80894068</v>
      </c>
      <c r="CV4" s="59" t="inlineStr">
        <is>
          <t>Unqualified opinion (true and fair view)</t>
        </is>
      </c>
      <c r="CW4" s="64" t="n">
        <v>86200000</v>
      </c>
      <c r="CX4" s="51" t="inlineStr">
        <is>
          <t>HongKong Xinwei Electronic Co., Limited (香港欣威電子有限公司); Changfeng Growth Equity Fund OFC (長風成長股票開放式基金型公司)</t>
        </is>
      </c>
      <c r="CY4" s="142" t="n">
        <v>0.2697</v>
      </c>
      <c r="CZ4" s="136" t="n">
        <v>45968</v>
      </c>
      <c r="DA4" s="143" t="n">
        <v>198.72</v>
      </c>
      <c r="DB4" s="63" t="n">
        <v>30638</v>
      </c>
      <c r="DC4" s="63" t="n">
        <v>258340400</v>
      </c>
      <c r="DD4" s="59" t="inlineStr">
        <is>
          <t>Subscription level 198.72 times</t>
        </is>
      </c>
      <c r="DE4" s="141" t="inlineStr">
        <is>
          <t>NA</t>
        </is>
      </c>
      <c r="DF4" s="141" t="n">
        <v>45783</v>
      </c>
      <c r="DG4" s="63" t="n">
        <v>13000000</v>
      </c>
      <c r="DH4" s="63" t="n">
        <v>2600000</v>
      </c>
      <c r="DI4" s="63" t="n">
        <v>10400000</v>
      </c>
      <c r="DJ4" s="63" t="n">
        <v>0</v>
      </c>
      <c r="DK4" s="169" t="n">
        <v>0</v>
      </c>
      <c r="DL4" s="59" t="inlineStr">
        <is>
          <t>1,300,000 Offer Shares reallocated from the International Offering to the Hong Kong Public Offering; final number of Offer Shares under the Hong Kong Public Offering adjusted to 2,600,000 (20% of the Global Offering) and International Offering reduced to 10,400,000 (80%), because the International Offer Shares were undersubscribed (0.92 times) and the Hong Kong Public Offer Shares were oversubscribed.</t>
        </is>
      </c>
      <c r="DM4" s="144" t="n">
        <v>147800000</v>
      </c>
      <c r="DN4" s="142" t="n">
        <v>0.4423</v>
      </c>
      <c r="DO4" s="51" t="n">
        <v>379651762</v>
      </c>
      <c r="DP4" s="142" t="n">
        <v>0.025</v>
      </c>
      <c r="DQ4" s="59" t="inlineStr">
        <is>
          <t>Denominator = total number of issued Shares upon Listing (379,651,762 Shares, i.e. H Shares plus Unlisted Shares converted into H Shares upon Listing), the base used for the 44.23% public float statement.</t>
        </is>
      </c>
      <c r="DR4" s="63" t="n">
        <v>379651762</v>
      </c>
      <c r="DS4" s="142" t="n">
        <v>-0.08348688999999999</v>
      </c>
      <c r="DT4" s="80" t="n">
        <v>9</v>
      </c>
      <c r="DU4" s="142" t="n">
        <v>0.0376208</v>
      </c>
      <c r="DV4" s="144" t="n">
        <v>44547000000</v>
      </c>
      <c r="DW4" s="145" t="n">
        <v>24.9</v>
      </c>
      <c r="DX4" s="169" t="n">
        <v>0.383333</v>
      </c>
      <c r="DY4" s="172" t="n">
        <v>89700000</v>
      </c>
      <c r="DZ4" s="146" t="n">
        <v>29</v>
      </c>
      <c r="EA4" s="146" t="n">
        <v>32.5</v>
      </c>
      <c r="EB4" s="146" t="n">
        <v>23.5</v>
      </c>
      <c r="EC4" s="63" t="n">
        <v>8331032</v>
      </c>
      <c r="ED4" s="169" t="n">
        <v>0.640849</v>
      </c>
      <c r="EE4" s="64" t="n">
        <v>222147750</v>
      </c>
      <c r="EF4" s="60" t="inlineStr">
        <is>
          <t>PN18 statutory clawback</t>
        </is>
      </c>
      <c r="EG4" s="59" t="inlineStr">
        <is>
          <t>FINI (from 22/11/2023)</t>
        </is>
      </c>
      <c r="EH4" t="inlineStr">
        <is>
          <t>博雷顿科技股份公司</t>
        </is>
      </c>
      <c r="EI4" s="174" t="inlineStr">
        <is>
          <t>Active</t>
        </is>
      </c>
      <c r="EJ4" s="175" t="n">
        <v>29.6</v>
      </c>
      <c r="EK4" s="176" t="n">
        <v>0.188755</v>
      </c>
      <c r="EL4" s="176" t="n">
        <v>0.644444</v>
      </c>
      <c r="EM4" s="176" t="n">
        <v>0.036163</v>
      </c>
      <c r="EN4" s="176" t="n">
        <v>-0.002029</v>
      </c>
      <c r="EO4" s="179" t="n">
        <v>1.1473</v>
      </c>
      <c r="EP4" s="179" t="n">
        <v>1.1912</v>
      </c>
      <c r="EQ4" s="178" t="n">
        <v>27547993</v>
      </c>
      <c r="ER4" s="175" t="n">
        <v>34.38</v>
      </c>
      <c r="ES4" s="176" t="n">
        <v>0.380723</v>
      </c>
      <c r="ET4" s="176" t="n">
        <v>0.91</v>
      </c>
      <c r="EU4" s="176" t="n">
        <v>0.156441</v>
      </c>
      <c r="EV4" s="176" t="n">
        <v>0.122561</v>
      </c>
      <c r="EW4" s="179" t="n">
        <v>1.1939</v>
      </c>
      <c r="EX4" s="179" t="n">
        <v>1.23</v>
      </c>
      <c r="EY4" s="178" t="n">
        <v>37018032</v>
      </c>
      <c r="EZ4" s="176" t="n">
        <v>0.166637</v>
      </c>
      <c r="FA4" s="176" t="n"/>
      <c r="FB4" s="179" t="n"/>
      <c r="FC4" s="176" t="n"/>
      <c r="FD4" s="179" t="n"/>
      <c r="FE4" s="174" t="inlineStr">
        <is>
          <t>Standard</t>
        </is>
      </c>
      <c r="FF4" s="181" t="inlineStr">
        <is>
          <t>China International Capital Corporation / Sponsor-OC</t>
        </is>
      </c>
      <c r="FG4" s="185" t="inlineStr">
        <is>
          <t>2025-06-06</t>
        </is>
      </c>
      <c r="FH4" s="183" t="n">
        <v>0</v>
      </c>
      <c r="FI4" s="178" t="n">
        <v>0</v>
      </c>
      <c r="FJ4" s="176" t="n">
        <v>0.15</v>
      </c>
      <c r="FK4" s="185" t="inlineStr">
        <is>
          <t>2025-06-06</t>
        </is>
      </c>
      <c r="FL4" s="178" t="n">
        <v>0</v>
      </c>
      <c r="FM4" s="176" t="n">
        <v>0</v>
      </c>
      <c r="FN4" s="176" t="n">
        <v>0.0859</v>
      </c>
      <c r="FO4" s="176" t="n">
        <v>-0.021672</v>
      </c>
      <c r="FP4" s="176" t="n">
        <v>0.5393790000000001</v>
      </c>
      <c r="FQ4" s="176" t="n">
        <v>-0.026104</v>
      </c>
      <c r="FR4" s="179" t="n">
        <v>0.9563</v>
      </c>
      <c r="FS4" s="176" t="n">
        <v>0.188755</v>
      </c>
      <c r="FT4" s="179" t="n">
        <v>1.1473</v>
      </c>
      <c r="FU4" s="176" t="n">
        <v>0.108434</v>
      </c>
      <c r="FV4" s="179" t="n">
        <v>1.0169</v>
      </c>
      <c r="FW4" s="179" t="n">
        <v>1.0516</v>
      </c>
      <c r="FX4" s="178" t="n">
        <v>15598800.48</v>
      </c>
      <c r="FY4" s="186" t="n">
        <v>0.003039452380952381</v>
      </c>
      <c r="FZ4" s="183" t="n">
        <v>0</v>
      </c>
      <c r="GA4" s="176" t="n">
        <v>0.06416624098727967</v>
      </c>
      <c r="GB4" s="176" t="n">
        <v>0.39514</v>
      </c>
      <c r="GC4" s="185" t="inlineStr">
        <is>
          <t>2025-11-07</t>
        </is>
      </c>
      <c r="GD4" s="185" t="inlineStr">
        <is>
          <t>2026-05-07</t>
        </is>
      </c>
      <c r="GE4" s="176" t="n">
        <v>-0.155396</v>
      </c>
      <c r="GF4" s="176" t="n">
        <v>-0.38088</v>
      </c>
      <c r="GG4" s="179" t="n">
        <v>1.4294</v>
      </c>
      <c r="GH4" s="181" t="inlineStr">
        <is>
          <t>China International Capital Corporation / Sponsor-OC</t>
        </is>
      </c>
      <c r="GI4" s="183" t="n">
        <v>0</v>
      </c>
      <c r="GJ4" s="183" t="n">
        <v>0</v>
      </c>
      <c r="GK4" s="176" t="n">
        <v>0.025</v>
      </c>
      <c r="GL4" s="176" t="n">
        <v>0.01</v>
      </c>
      <c r="GM4" s="176" t="n">
        <v>0.035</v>
      </c>
      <c r="GN4" s="183" t="n">
        <v>4</v>
      </c>
      <c r="GO4" s="183" t="n">
        <v>0</v>
      </c>
      <c r="GP4" s="183" t="n">
        <v>0</v>
      </c>
      <c r="GQ4" s="183" t="n">
        <v>6</v>
      </c>
      <c r="GR4" s="183" t="n">
        <v>0</v>
      </c>
      <c r="GS4" s="181" t="inlineStr">
        <is>
          <t>POST_FINI</t>
        </is>
      </c>
      <c r="GT4" s="181" t="inlineStr">
        <is>
          <t>PRE_2025_REFORM</t>
        </is>
      </c>
    </row>
    <row r="5" ht="51" customFormat="1" customHeight="1" s="12">
      <c r="A5" s="43" t="n">
        <v>21</v>
      </c>
      <c r="B5" s="47" t="inlineStr">
        <is>
          <t>2589.HK</t>
        </is>
      </c>
      <c r="C5" s="44" t="inlineStr">
        <is>
          <t>Auntea Jenny (Shanghai) Industrial Co., Ltd.
- H shares</t>
        </is>
      </c>
      <c r="D5" s="130" t="n">
        <v>45775</v>
      </c>
      <c r="E5" s="48" t="n">
        <v>45785</v>
      </c>
      <c r="F5" s="43" t="inlineStr">
        <is>
          <t>CITIC Securities (Hong Kong) Limited/
Haitong International Capital Limited/
Orient Capital (Hong Kong) Limited</t>
        </is>
      </c>
      <c r="G5" s="43" t="inlineStr">
        <is>
          <t>Ernst &amp; Young</t>
        </is>
      </c>
      <c r="H5" s="43" t="n"/>
      <c r="I5" s="131" t="n">
        <v>136385390.4</v>
      </c>
      <c r="J5" s="132" t="n">
        <v>177298632</v>
      </c>
      <c r="K5" s="133" t="n">
        <v>113.12</v>
      </c>
      <c r="L5" s="81" t="n">
        <v>104841340</v>
      </c>
      <c r="M5" s="82" t="n">
        <v>2411340</v>
      </c>
      <c r="N5" s="81" t="n">
        <v>102430000</v>
      </c>
      <c r="O5" s="81" t="n">
        <v>102430000</v>
      </c>
      <c r="P5" s="81" t="n">
        <v>0</v>
      </c>
      <c r="Q5" s="81" t="n">
        <v>2411340</v>
      </c>
      <c r="R5" s="82" t="n">
        <v>2170200</v>
      </c>
      <c r="S5" s="82" t="n">
        <v>241140</v>
      </c>
      <c r="T5" s="147" t="n">
        <v>113.12</v>
      </c>
      <c r="U5" s="147" t="n">
        <v>95.56999999999999</v>
      </c>
      <c r="V5" s="169" t="n">
        <v>0.084096</v>
      </c>
      <c r="W5" s="169" t="n">
        <v>0.168192</v>
      </c>
      <c r="X5" s="170" t="inlineStr">
        <is>
          <t>At high</t>
        </is>
      </c>
      <c r="Y5" s="26" t="inlineStr">
        <is>
          <t>RMB</t>
        </is>
      </c>
      <c r="Z5" s="137" t="n">
        <v>925195000</v>
      </c>
      <c r="AA5" s="137" t="n">
        <v>1548079000</v>
      </c>
      <c r="AB5" s="137" t="n">
        <v>1855783000</v>
      </c>
      <c r="AC5" s="137" t="n">
        <v>364575000</v>
      </c>
      <c r="AD5" s="137" t="n">
        <v>838969000</v>
      </c>
      <c r="AE5" s="137" t="n">
        <v>1184086000</v>
      </c>
      <c r="AF5" s="137" t="n">
        <v>560620000</v>
      </c>
      <c r="AG5" s="137" t="n">
        <v>709110000</v>
      </c>
      <c r="AH5" s="137" t="n">
        <v>671697000</v>
      </c>
      <c r="AI5" s="137" t="n">
        <v>2199005000</v>
      </c>
      <c r="AJ5" s="137" t="n">
        <v>3348201000</v>
      </c>
      <c r="AK5" s="137" t="n">
        <v>3284576000</v>
      </c>
      <c r="AL5" s="137" t="n">
        <v>201940000</v>
      </c>
      <c r="AM5" s="137" t="n">
        <v>510511000</v>
      </c>
      <c r="AN5" s="137" t="n">
        <v>449402000</v>
      </c>
      <c r="AO5" s="137" t="n">
        <v>149470000</v>
      </c>
      <c r="AP5" s="137" t="n">
        <v>387902000</v>
      </c>
      <c r="AQ5" s="137" t="n">
        <v>328931000</v>
      </c>
      <c r="AR5" s="135" t="n">
        <v>0.03</v>
      </c>
      <c r="AS5" s="135" t="n">
        <v>0.03</v>
      </c>
      <c r="AT5" s="84" t="n">
        <v>0.15</v>
      </c>
      <c r="AU5" s="51" t="inlineStr">
        <is>
          <t>Freshly-made tea drinks / freshly-made beverage chain (mainly franchised)</t>
        </is>
      </c>
      <c r="AV5" s="51" t="inlineStr">
        <is>
          <t>Main Board</t>
        </is>
      </c>
      <c r="AW5" s="136" t="n">
        <v>45657</v>
      </c>
      <c r="AX5" s="137" t="n">
        <v>420544000</v>
      </c>
      <c r="AY5" s="117" t="n">
        <v>342659000</v>
      </c>
      <c r="AZ5" s="117" t="n">
        <v>51865000</v>
      </c>
      <c r="BA5" s="117" t="n">
        <v>0</v>
      </c>
      <c r="BB5" s="138" t="n">
        <v>0.016</v>
      </c>
      <c r="BC5" s="139" t="n">
        <v>1</v>
      </c>
      <c r="BD5" s="80" t="n">
        <v>1</v>
      </c>
      <c r="BE5" s="161" t="n">
        <v>1</v>
      </c>
      <c r="BF5" s="161" t="n">
        <v>1</v>
      </c>
      <c r="BG5" s="161" t="n">
        <v>1</v>
      </c>
      <c r="BH5" s="161" t="inlineStr">
        <is>
          <t>NaN</t>
        </is>
      </c>
      <c r="BI5" s="161" t="inlineStr">
        <is>
          <t>NaN</t>
        </is>
      </c>
      <c r="BJ5" s="162" t="inlineStr">
        <is>
          <t>Suzhou Yizhong Venture Capital Partnership; Jinyi Capital (Zhuhai Jinyiming Equity Investment Fund Partnership); Suzhou Xiangzhong Venture Capital Partnership; InnoVision Capital (Zhuhai Hengqin Zhiyi Qianrui Investment Partnership); Desai Innovation (Beijing Desai Innovation Equity Investment Center); Shibei Hi-tech (Shanghai Shibei Hi-tech Venture Capital Partnership); Nanjing Xiangzhong Venture Capital Partnership; Yiyu Consulting; Hanshuai Investment; Jinxiao Investment; Yinlin Investment; Shanghai Yipu</t>
        </is>
      </c>
      <c r="BK5" s="163" t="n">
        <v>0.1652</v>
      </c>
      <c r="BL5" s="161" t="n">
        <v>0</v>
      </c>
      <c r="BM5" s="164" t="inlineStr">
        <is>
          <t>Series A</t>
        </is>
      </c>
      <c r="BN5" s="165" t="n">
        <v>4.6</v>
      </c>
      <c r="BO5" s="51" t="inlineStr">
        <is>
          <t>Natural persons (Mr. Shan Weijun and Ms. Zhou Rong, acting in concert)</t>
        </is>
      </c>
      <c r="BP5" s="135" t="n">
        <v>0.7877999999999999</v>
      </c>
      <c r="BQ5" s="135" t="n">
        <v>0.7877999999999999</v>
      </c>
      <c r="BR5" s="137" t="n">
        <v>126011000</v>
      </c>
      <c r="BS5" s="73" t="inlineStr">
        <is>
          <t>NA</t>
        </is>
      </c>
      <c r="BT5" s="142" t="n">
        <v>0</v>
      </c>
      <c r="BU5" s="60" t="inlineStr">
        <is>
          <t>Main Board</t>
        </is>
      </c>
      <c r="BV5" s="89" t="inlineStr">
        <is>
          <t>H Shares</t>
        </is>
      </c>
      <c r="BW5" s="61" t="n">
        <v>0</v>
      </c>
      <c r="BX5" s="77" t="n">
        <v>0</v>
      </c>
      <c r="BY5" s="77" t="n">
        <v>0</v>
      </c>
      <c r="BZ5" s="78" t="n">
        <v>0</v>
      </c>
      <c r="CA5" s="60" t="inlineStr">
        <is>
          <t>251030</t>
        </is>
      </c>
      <c r="CB5" s="76" t="inlineStr">
        <is>
          <t>HSICS (Hang Seng Industry Classification System) 2026</t>
        </is>
      </c>
      <c r="CC5" s="140" t="n">
        <v>41586</v>
      </c>
      <c r="CD5" s="171" t="n">
        <v>11.5</v>
      </c>
      <c r="CE5" s="76" t="inlineStr">
        <is>
          <t>PRC</t>
        </is>
      </c>
      <c r="CF5" s="89" t="inlineStr">
        <is>
          <t>5/F, Building A, Helen Center, Financial Street, 440 Helen Road, Hongkou District, Shanghai, PRC</t>
        </is>
      </c>
      <c r="CG5" s="91" t="n">
        <v>1000</v>
      </c>
      <c r="CH5" s="60" t="inlineStr">
        <is>
          <t>IFRS</t>
        </is>
      </c>
      <c r="CI5" s="141" t="n">
        <v>44562</v>
      </c>
      <c r="CJ5" s="141" t="n">
        <v>44926</v>
      </c>
      <c r="CK5" s="141" t="n">
        <v>44927</v>
      </c>
      <c r="CL5" s="141" t="n">
        <v>45291</v>
      </c>
      <c r="CM5" s="141" t="n">
        <v>45292</v>
      </c>
      <c r="CN5" s="64" t="n">
        <v>3284576000</v>
      </c>
      <c r="CO5" s="64" t="n">
        <v>449402000</v>
      </c>
      <c r="CP5" s="64" t="n">
        <v>328931000</v>
      </c>
      <c r="CQ5" s="141" t="n">
        <v>45775</v>
      </c>
      <c r="CR5" s="141" t="n">
        <v>45779</v>
      </c>
      <c r="CS5" s="63" t="n">
        <v>59065046</v>
      </c>
      <c r="CT5" s="64" t="n">
        <v>1027319000</v>
      </c>
      <c r="CU5" s="64" t="n">
        <v>24147000</v>
      </c>
      <c r="CV5" s="59" t="inlineStr">
        <is>
          <t>Unqualified opinion (true and fair view)</t>
        </is>
      </c>
      <c r="CW5" s="64" t="n">
        <v>78460000</v>
      </c>
      <c r="CX5" s="51" t="inlineStr">
        <is>
          <t>Infore Holding (Hong Kong) Limited; Sino Top Trading Limited</t>
        </is>
      </c>
      <c r="CY5" s="142" t="n">
        <v>0.2597</v>
      </c>
      <c r="CZ5" s="136" t="n">
        <v>45969</v>
      </c>
      <c r="DA5" s="143" t="n">
        <v>3616.83</v>
      </c>
      <c r="DB5" s="63" t="n">
        <v>127637</v>
      </c>
      <c r="DC5" s="63" t="n">
        <v>872162250</v>
      </c>
      <c r="DD5" s="59" t="inlineStr">
        <is>
          <t>Subscription level 3,616.83 times</t>
        </is>
      </c>
      <c r="DE5" s="141" t="n">
        <v>45783</v>
      </c>
      <c r="DF5" s="141" t="n">
        <v>45784</v>
      </c>
      <c r="DG5" s="63" t="n">
        <v>2411340</v>
      </c>
      <c r="DH5" s="63" t="n">
        <v>1205670</v>
      </c>
      <c r="DI5" s="63" t="n">
        <v>1205670</v>
      </c>
      <c r="DJ5" s="63" t="n">
        <v>361680</v>
      </c>
      <c r="DK5" s="169" t="n">
        <v>1</v>
      </c>
      <c r="DL5" s="59" t="inlineStr">
        <is>
          <t>公开发售超额认购超过100倍，触发回拨机制；由国际配售回拨至公开发售后，公开发售最终为 1,205,670 股 H 股，占全球发售（假设超额配售权未行使）的 50%；国际配售由初始 2,170,200 股降至 1,205,670 股。</t>
        </is>
      </c>
      <c r="DM5" s="144" t="n">
        <v>195000000</v>
      </c>
      <c r="DN5" s="142" t="n">
        <v>0.1502</v>
      </c>
      <c r="DO5" s="51" t="n">
        <v>104841340</v>
      </c>
      <c r="DP5" s="142" t="n">
        <v>0.017</v>
      </c>
      <c r="DQ5" s="59" t="inlineStr">
        <is>
          <t>分母为上市时已发行股份总数 104,841,340 股（未行使超额配售权口径，Number of issued Shares upon Listing (before exercise of the Over-allotment Option)）；公众持股 15.02% 与自由流通比例均以此为分母，未剔除基石及其他受禁售限制的上市前股东股份。</t>
        </is>
      </c>
      <c r="DR5" s="63" t="n">
        <v>104841340</v>
      </c>
      <c r="DS5" s="142" t="n">
        <v>-0.05840882</v>
      </c>
      <c r="DT5" s="80" t="n">
        <v>9</v>
      </c>
      <c r="DU5" s="142" t="n">
        <v>0.0382994</v>
      </c>
      <c r="DV5" s="144" t="n">
        <v>44822000000</v>
      </c>
      <c r="DW5" s="145" t="n">
        <v>154.197</v>
      </c>
      <c r="DX5" s="169" t="n">
        <v>0.363128</v>
      </c>
      <c r="DY5" s="172" t="n">
        <v>99050613.18000001</v>
      </c>
      <c r="DZ5" s="146" t="n">
        <v>186.397</v>
      </c>
      <c r="EA5" s="146" t="n">
        <v>193.397</v>
      </c>
      <c r="EB5" s="146" t="n">
        <v>147.797</v>
      </c>
      <c r="EC5" s="63" t="n">
        <v>3268382</v>
      </c>
      <c r="ED5" s="169" t="n">
        <v>1.355421</v>
      </c>
      <c r="EE5" s="64" t="n">
        <v>567839880</v>
      </c>
      <c r="EF5" s="60" t="inlineStr">
        <is>
          <t>PN18 statutory clawback</t>
        </is>
      </c>
      <c r="EG5" s="59" t="inlineStr">
        <is>
          <t>FINI (from 22/11/2023)</t>
        </is>
      </c>
      <c r="EH5" t="inlineStr">
        <is>
          <t>沪上阿姨（上海）实业股份有限公司</t>
        </is>
      </c>
      <c r="EI5" s="174" t="inlineStr">
        <is>
          <t>Active</t>
        </is>
      </c>
      <c r="EJ5" s="175" t="n">
        <v>120.397</v>
      </c>
      <c r="EK5" s="176" t="n">
        <v>-0.2192</v>
      </c>
      <c r="EL5" s="176" t="n">
        <v>0.06433</v>
      </c>
      <c r="EM5" s="176" t="n">
        <v>0.038554</v>
      </c>
      <c r="EN5" s="176" t="n">
        <v>-0.001891</v>
      </c>
      <c r="EO5" s="179" t="n">
        <v>0.7518</v>
      </c>
      <c r="EP5" s="179" t="n">
        <v>0.7823</v>
      </c>
      <c r="EQ5" s="178" t="n">
        <v>51225306.5</v>
      </c>
      <c r="ER5" s="175" t="n">
        <v>89.39700000000001</v>
      </c>
      <c r="ES5" s="176" t="n">
        <v>-0.420242</v>
      </c>
      <c r="ET5" s="176" t="n">
        <v>-0.209715</v>
      </c>
      <c r="EU5" s="176" t="n">
        <v>0.170054</v>
      </c>
      <c r="EV5" s="176" t="n">
        <v>0.131318</v>
      </c>
      <c r="EW5" s="179" t="n">
        <v>0.4955</v>
      </c>
      <c r="EX5" s="179" t="n">
        <v>0.5125</v>
      </c>
      <c r="EY5" s="178" t="n">
        <v>13249450</v>
      </c>
      <c r="EZ5" s="176" t="n">
        <v>0.023333</v>
      </c>
      <c r="FA5" s="176" t="n"/>
      <c r="FB5" s="179" t="n"/>
      <c r="FC5" s="176" t="n"/>
      <c r="FD5" s="179" t="n"/>
      <c r="FE5" s="174" t="inlineStr">
        <is>
          <t>Standard</t>
        </is>
      </c>
      <c r="FF5" s="181" t="inlineStr">
        <is>
          <t>China International Capital Corporation / Sponsor-OC</t>
        </is>
      </c>
      <c r="FG5" s="185" t="inlineStr">
        <is>
          <t>2025-06-07</t>
        </is>
      </c>
      <c r="FH5" s="183" t="n">
        <v>0</v>
      </c>
      <c r="FI5" s="178" t="n">
        <v>0</v>
      </c>
      <c r="FJ5" s="176" t="n">
        <v>0.15</v>
      </c>
      <c r="FK5" s="185" t="inlineStr">
        <is>
          <t>2025-06-07</t>
        </is>
      </c>
      <c r="FL5" s="178" t="n">
        <v>0</v>
      </c>
      <c r="FM5" s="176" t="n">
        <v>0</v>
      </c>
      <c r="FN5" s="176" t="n">
        <v>0.03295</v>
      </c>
      <c r="FO5" s="176" t="n">
        <v>0.157289</v>
      </c>
      <c r="FP5" s="176" t="n">
        <v>0.290919</v>
      </c>
      <c r="FQ5" s="176" t="n">
        <v>-0.17121</v>
      </c>
      <c r="FR5" s="179" t="n">
        <v>0.7985</v>
      </c>
      <c r="FS5" s="176" t="n">
        <v>-0.2192</v>
      </c>
      <c r="FT5" s="179" t="n">
        <v>0.7518</v>
      </c>
      <c r="FU5" s="176" t="n">
        <v>-0.146566</v>
      </c>
      <c r="FV5" s="179" t="n">
        <v>0.7806</v>
      </c>
      <c r="FW5" s="179" t="n">
        <v>0.8083</v>
      </c>
      <c r="FX5" s="178" t="n">
        <v>24367746.83</v>
      </c>
      <c r="FY5" s="186" t="n">
        <v>0.001763769841269841</v>
      </c>
      <c r="FZ5" s="183" t="n">
        <v>0</v>
      </c>
      <c r="GA5" s="176" t="n">
        <v>0.04688013262642882</v>
      </c>
      <c r="GB5" s="176" t="n">
        <v>0.584549</v>
      </c>
      <c r="GC5" s="185" t="inlineStr">
        <is>
          <t>2025-11-08</t>
        </is>
      </c>
      <c r="GD5" s="185" t="inlineStr">
        <is>
          <t>2026-05-08</t>
        </is>
      </c>
      <c r="GE5" s="176" t="n">
        <v>0.221726</v>
      </c>
      <c r="GF5" s="176" t="n">
        <v>-0.192126</v>
      </c>
      <c r="GG5" s="179" t="n">
        <v>6.3614</v>
      </c>
      <c r="GH5" s="181" t="inlineStr">
        <is>
          <t>China International Capital Corporation / Sponsor-OC</t>
        </is>
      </c>
      <c r="GI5" s="183" t="n">
        <v>0</v>
      </c>
      <c r="GJ5" s="183" t="n">
        <v>0</v>
      </c>
      <c r="GK5" s="176" t="n">
        <v>0.025</v>
      </c>
      <c r="GL5" s="176" t="n">
        <v>0.01</v>
      </c>
      <c r="GM5" s="176" t="n">
        <v>0.035</v>
      </c>
      <c r="GN5" s="183" t="n">
        <v>4</v>
      </c>
      <c r="GO5" s="183" t="n">
        <v>0</v>
      </c>
      <c r="GP5" s="183" t="n">
        <v>0</v>
      </c>
      <c r="GQ5" s="183" t="n">
        <v>6</v>
      </c>
      <c r="GR5" s="183" t="n">
        <v>0</v>
      </c>
      <c r="GS5" s="181" t="inlineStr">
        <is>
          <t>POST_FINI</t>
        </is>
      </c>
      <c r="GT5" s="181" t="inlineStr">
        <is>
          <t>PRE_2025_REFORM</t>
        </is>
      </c>
    </row>
    <row r="6" ht="68" customFormat="1" customHeight="1" s="12">
      <c r="A6" s="43" t="n">
        <v>22</v>
      </c>
      <c r="B6" s="47" t="inlineStr">
        <is>
          <t>2865.HK</t>
        </is>
      </c>
      <c r="C6" s="44" t="inlineStr">
        <is>
          <t>Hainan Drinda New Energy Technology Co., Ltd. 
- H shares</t>
        </is>
      </c>
      <c r="D6" s="130" t="n">
        <v>45775</v>
      </c>
      <c r="E6" s="48" t="n">
        <v>45785</v>
      </c>
      <c r="F6" s="43" t="inlineStr">
        <is>
          <t>Huatai Financial Holdings (Hong Kong) Limited/
CMB International Capital Limited/
Deutsche Securities Asia Limited</t>
        </is>
      </c>
      <c r="G6" s="43" t="inlineStr">
        <is>
          <t>Deloitte Touche Tohmatsu</t>
        </is>
      </c>
      <c r="H6" s="43" t="n"/>
      <c r="I6" s="131" t="n">
        <v>140504095</v>
      </c>
      <c r="J6" s="132" t="n">
        <v>1264521350</v>
      </c>
      <c r="K6" s="133" t="n">
        <v>22.15</v>
      </c>
      <c r="L6" s="81" t="n">
        <v>292584052</v>
      </c>
      <c r="M6" s="82" t="n">
        <v>63432300</v>
      </c>
      <c r="N6" s="81" t="n">
        <v>229151752</v>
      </c>
      <c r="O6" s="81" t="n">
        <v>229151752</v>
      </c>
      <c r="P6" s="81" t="n">
        <v>0</v>
      </c>
      <c r="Q6" s="81" t="n">
        <v>63432300</v>
      </c>
      <c r="R6" s="82" t="n">
        <v>57089000</v>
      </c>
      <c r="S6" s="82" t="n">
        <v>6343300</v>
      </c>
      <c r="T6" s="147" t="n">
        <v>28.6</v>
      </c>
      <c r="U6" s="147" t="n">
        <v>20.4</v>
      </c>
      <c r="V6" s="169" t="n">
        <v>-0.095918</v>
      </c>
      <c r="W6" s="169" t="n">
        <v>0.334694</v>
      </c>
      <c r="X6" s="170" t="inlineStr">
        <is>
          <t>Within range</t>
        </is>
      </c>
      <c r="Y6" s="26" t="inlineStr">
        <is>
          <t>RMB</t>
        </is>
      </c>
      <c r="Z6" s="137" t="n">
        <v>8839676000</v>
      </c>
      <c r="AA6" s="137" t="n">
        <v>17925955000</v>
      </c>
      <c r="AB6" s="137" t="n">
        <v>16444209000</v>
      </c>
      <c r="AC6" s="137" t="n">
        <v>1050830000</v>
      </c>
      <c r="AD6" s="137" t="n">
        <v>4709240000</v>
      </c>
      <c r="AE6" s="137" t="n">
        <v>3886997000</v>
      </c>
      <c r="AF6" s="137" t="n">
        <v>7788846000</v>
      </c>
      <c r="AG6" s="137" t="n">
        <v>13216715000</v>
      </c>
      <c r="AH6" s="137" t="n">
        <v>12557212000</v>
      </c>
      <c r="AI6" s="137" t="n">
        <v>11085713000</v>
      </c>
      <c r="AJ6" s="137" t="n">
        <v>18610794000</v>
      </c>
      <c r="AK6" s="137" t="n">
        <v>9923894000</v>
      </c>
      <c r="AL6" s="137" t="n">
        <v>679936000</v>
      </c>
      <c r="AM6" s="137" t="n">
        <v>744489000</v>
      </c>
      <c r="AN6" s="137" t="n">
        <v>-731419000</v>
      </c>
      <c r="AO6" s="137" t="n">
        <v>820987000</v>
      </c>
      <c r="AP6" s="137" t="n">
        <v>815642000</v>
      </c>
      <c r="AQ6" s="137" t="n">
        <v>-591113000</v>
      </c>
      <c r="AR6" s="135" t="n">
        <v>0.025</v>
      </c>
      <c r="AS6" s="135" t="n">
        <v>0.025</v>
      </c>
      <c r="AT6" s="84" t="n">
        <v>0.15</v>
      </c>
      <c r="AU6" s="51" t="inlineStr">
        <is>
          <t>Photovoltaic cells - R&amp;D, manufacturing and sales of high-efficiency PV cells</t>
        </is>
      </c>
      <c r="AV6" s="51" t="inlineStr">
        <is>
          <t>Main Board listing under Rule 8.05(3) market capitalization/revenue test</t>
        </is>
      </c>
      <c r="AW6" s="136" t="n">
        <v>45657</v>
      </c>
      <c r="AX6" s="137" t="n">
        <v>780545000</v>
      </c>
      <c r="AY6" s="117" t="n">
        <v>2616276000</v>
      </c>
      <c r="AZ6" s="117" t="n">
        <v>206953000</v>
      </c>
      <c r="BA6" s="117" t="n">
        <v>0</v>
      </c>
      <c r="BB6" s="138" t="n">
        <v>0.415</v>
      </c>
      <c r="BC6" s="139" t="n">
        <v>1</v>
      </c>
      <c r="BD6" s="80" t="inlineStr">
        <is>
          <t>NaN</t>
        </is>
      </c>
      <c r="BE6" s="161" t="inlineStr">
        <is>
          <t>NaN</t>
        </is>
      </c>
      <c r="BF6" s="161" t="inlineStr">
        <is>
          <t>NaN</t>
        </is>
      </c>
      <c r="BG6" s="161" t="inlineStr">
        <is>
          <t>NaN</t>
        </is>
      </c>
      <c r="BH6" s="161" t="n">
        <v>1</v>
      </c>
      <c r="BI6" s="161" t="inlineStr">
        <is>
          <t>NaN</t>
        </is>
      </c>
      <c r="BJ6" s="162" t="inlineStr">
        <is>
          <t>Shangrao Economic and Technological Development Zone Industrial Development Investment Co., Ltd.</t>
        </is>
      </c>
      <c r="BK6" s="163" t="inlineStr">
        <is>
          <t>NaN</t>
        </is>
      </c>
      <c r="BL6" s="161" t="inlineStr">
        <is>
          <t>NaN</t>
        </is>
      </c>
      <c r="BM6" s="164" t="inlineStr">
        <is>
          <t>NA</t>
        </is>
      </c>
      <c r="BN6" s="165" t="inlineStr">
        <is>
          <t>NaN</t>
        </is>
      </c>
      <c r="BO6" s="51" t="inlineStr">
        <is>
          <t>Natural persons (Yang Family) acting in concert</t>
        </is>
      </c>
      <c r="BP6" s="135" t="n">
        <v>0.1771</v>
      </c>
      <c r="BQ6" s="135" t="n">
        <v>0.1771</v>
      </c>
      <c r="BR6" s="137" t="n">
        <v>5377936000</v>
      </c>
      <c r="BS6" s="73" t="inlineStr">
        <is>
          <t>Commercialised - large-scale mass production</t>
        </is>
      </c>
      <c r="BT6" s="142" t="n">
        <v>0</v>
      </c>
      <c r="BU6" s="60" t="inlineStr">
        <is>
          <t>Main Board</t>
        </is>
      </c>
      <c r="BV6" s="89" t="inlineStr">
        <is>
          <t>H Shares</t>
        </is>
      </c>
      <c r="BW6" s="61" t="n">
        <v>1</v>
      </c>
      <c r="BX6" s="77" t="n">
        <v>0</v>
      </c>
      <c r="BY6" s="77" t="n">
        <v>0</v>
      </c>
      <c r="BZ6" s="78" t="n">
        <v>0</v>
      </c>
      <c r="CA6" s="60" t="inlineStr">
        <is>
          <t>101050</t>
        </is>
      </c>
      <c r="CB6" s="76" t="inlineStr">
        <is>
          <t>HSICS (Hang Seng Industry Classification System) 2026</t>
        </is>
      </c>
      <c r="CC6" s="140" t="n">
        <v>37714</v>
      </c>
      <c r="CD6" s="171" t="n">
        <v>22.1</v>
      </c>
      <c r="CE6" s="76" t="inlineStr">
        <is>
          <t>PRC</t>
        </is>
      </c>
      <c r="CF6" s="89" t="inlineStr">
        <is>
          <t>Hainan Drinda Building, Haikou Free Trade Zone, No. 168 Nanhai Avenue, Haikou, Hainan, PRC</t>
        </is>
      </c>
      <c r="CG6" s="91" t="n">
        <v>1000</v>
      </c>
      <c r="CH6" s="60" t="inlineStr">
        <is>
          <t>IFRS</t>
        </is>
      </c>
      <c r="CI6" s="141" t="n">
        <v>44562</v>
      </c>
      <c r="CJ6" s="141" t="n">
        <v>44926</v>
      </c>
      <c r="CK6" s="141" t="n">
        <v>44927</v>
      </c>
      <c r="CL6" s="141" t="n">
        <v>45291</v>
      </c>
      <c r="CM6" s="141" t="n">
        <v>45292</v>
      </c>
      <c r="CN6" s="64" t="n">
        <v>9923894000</v>
      </c>
      <c r="CO6" s="64" t="n">
        <v>-731419000</v>
      </c>
      <c r="CP6" s="64" t="n">
        <v>-591113000</v>
      </c>
      <c r="CQ6" s="141" t="n">
        <v>45775</v>
      </c>
      <c r="CR6" s="141" t="n">
        <v>45779</v>
      </c>
      <c r="CS6" s="63" t="n">
        <v>63432300</v>
      </c>
      <c r="CT6" s="64" t="n">
        <v>-85058000</v>
      </c>
      <c r="CU6" s="64" t="n">
        <v>604501000</v>
      </c>
      <c r="CV6" s="59" t="inlineStr">
        <is>
          <t>Unqualified opinion (true and fair view)</t>
        </is>
      </c>
      <c r="CW6" s="64" t="n">
        <v>120100000</v>
      </c>
      <c r="CX6" s="51" t="inlineStr">
        <is>
          <t>Zhuhai Gokin New Energy Investment Co., Ltd; Modern Direct Investment New Energy Technology Co., Limited</t>
        </is>
      </c>
      <c r="CY6" s="142" t="n">
        <v>0.3482</v>
      </c>
      <c r="CZ6" s="136" t="n">
        <v>45969</v>
      </c>
      <c r="DA6" s="143" t="n">
        <v>3.5</v>
      </c>
      <c r="DB6" s="63" t="n">
        <v>9151</v>
      </c>
      <c r="DC6" s="63" t="n">
        <v>22227000</v>
      </c>
      <c r="DD6" s="59" t="inlineStr">
        <is>
          <t>Subscription level 3.50 times</t>
        </is>
      </c>
      <c r="DE6" s="141" t="n">
        <v>45783</v>
      </c>
      <c r="DF6" s="141" t="n">
        <v>45784</v>
      </c>
      <c r="DG6" s="63" t="n">
        <v>63432300</v>
      </c>
      <c r="DH6" s="63" t="n">
        <v>6343300</v>
      </c>
      <c r="DI6" s="63" t="n">
        <v>57089000</v>
      </c>
      <c r="DJ6" s="63" t="n">
        <v>0</v>
      </c>
      <c r="DK6" s="169" t="n">
        <v>0</v>
      </c>
      <c r="DL6" s="59" t="inlineStr">
        <is>
          <t>Claw-back triggered No; oversubscribed by less than 15 times and no reallocation, no clawback arrangement triggered</t>
        </is>
      </c>
      <c r="DM6" s="144" t="n">
        <v>1291670000</v>
      </c>
      <c r="DN6" s="142" t="n">
        <v>0.25</v>
      </c>
      <c r="DO6" s="51" t="n">
        <v>292584052</v>
      </c>
      <c r="DP6" s="142" t="n">
        <v>0.14131</v>
      </c>
      <c r="DQ6" s="59" t="inlineStr">
        <is>
          <t>分母为上市时已发行股份总数 292,584,052 股（含 63,432,300 股 H 股及 A 股等非上市股份；超额配售权未行使且将不行使），不含超额配售部分</t>
        </is>
      </c>
      <c r="DR6" s="63" t="n">
        <v>292584052</v>
      </c>
      <c r="DS6" s="142" t="n">
        <v>-0.05840882</v>
      </c>
      <c r="DT6" s="80" t="n">
        <v>9</v>
      </c>
      <c r="DU6" s="142" t="n">
        <v>0.0382994</v>
      </c>
      <c r="DV6" s="144" t="n">
        <v>44822000000</v>
      </c>
      <c r="DW6" s="145" t="n">
        <v>26.6</v>
      </c>
      <c r="DX6" s="169" t="n">
        <v>0.200903</v>
      </c>
      <c r="DY6" s="172" t="n">
        <v>282273735</v>
      </c>
      <c r="DZ6" s="146" t="n">
        <v>22.2</v>
      </c>
      <c r="EA6" s="146" t="n">
        <v>27.5</v>
      </c>
      <c r="EB6" s="146" t="n">
        <v>22.1</v>
      </c>
      <c r="EC6" s="63" t="n">
        <v>6655000</v>
      </c>
      <c r="ED6" s="169" t="n">
        <v>0.104915</v>
      </c>
      <c r="EE6" s="64" t="n">
        <v>160785100</v>
      </c>
      <c r="EF6" s="60" t="inlineStr">
        <is>
          <t>PN18 statutory clawback</t>
        </is>
      </c>
      <c r="EG6" s="59" t="inlineStr">
        <is>
          <t>FINI (from 22/11/2023)</t>
        </is>
      </c>
      <c r="EH6" t="inlineStr">
        <is>
          <t>海南钧达新能源科技股份有限公司</t>
        </is>
      </c>
      <c r="EI6" s="174" t="inlineStr">
        <is>
          <t>Active</t>
        </is>
      </c>
      <c r="EJ6" s="175" t="n">
        <v>25.25</v>
      </c>
      <c r="EK6" s="176" t="n">
        <v>-0.050752</v>
      </c>
      <c r="EL6" s="176" t="n">
        <v>0.139955</v>
      </c>
      <c r="EM6" s="176" t="n">
        <v>0.038554</v>
      </c>
      <c r="EN6" s="176" t="n">
        <v>-0.001891</v>
      </c>
      <c r="EO6" s="179" t="n">
        <v>0.914</v>
      </c>
      <c r="EP6" s="179" t="n">
        <v>0.951</v>
      </c>
      <c r="EQ6" s="178" t="n">
        <v>36639560</v>
      </c>
      <c r="ER6" s="175" t="n">
        <v>19.45</v>
      </c>
      <c r="ES6" s="176" t="n">
        <v>-0.268797</v>
      </c>
      <c r="ET6" s="176" t="n">
        <v>-0.121896</v>
      </c>
      <c r="EU6" s="176" t="n">
        <v>0.170054</v>
      </c>
      <c r="EV6" s="176" t="n">
        <v>0.131318</v>
      </c>
      <c r="EW6" s="179" t="n">
        <v>0.6249</v>
      </c>
      <c r="EX6" s="179" t="n">
        <v>0.6463</v>
      </c>
      <c r="EY6" s="178" t="n">
        <v>31243985</v>
      </c>
      <c r="EZ6" s="176" t="n">
        <v>0.194321</v>
      </c>
      <c r="FA6" s="176" t="n"/>
      <c r="FB6" s="179" t="n"/>
      <c r="FC6" s="176" t="n"/>
      <c r="FD6" s="179" t="n"/>
      <c r="FE6" s="174" t="inlineStr">
        <is>
          <t>Standard</t>
        </is>
      </c>
      <c r="FF6" s="181" t="inlineStr">
        <is>
          <t>China International Capital Corporation / Sponsor-OC</t>
        </is>
      </c>
      <c r="FG6" s="185" t="inlineStr">
        <is>
          <t>2025-06-07</t>
        </is>
      </c>
      <c r="FH6" s="183" t="n">
        <v>0</v>
      </c>
      <c r="FI6" s="178" t="n">
        <v>0</v>
      </c>
      <c r="FJ6" s="176" t="n">
        <v>0.15</v>
      </c>
      <c r="FK6" s="185" t="inlineStr">
        <is>
          <t>2025-06-07</t>
        </is>
      </c>
      <c r="FL6" s="178" t="n">
        <v>0</v>
      </c>
      <c r="FM6" s="176" t="n">
        <v>0</v>
      </c>
      <c r="FN6" s="176" t="n">
        <v>-0.240137</v>
      </c>
      <c r="FO6" s="176" t="n">
        <v>-0.021368</v>
      </c>
      <c r="FP6" s="176" t="n">
        <v>1.911124</v>
      </c>
      <c r="FQ6" s="176" t="n">
        <v>-0.090226</v>
      </c>
      <c r="FR6" s="179" t="n">
        <v>0.8764999999999999</v>
      </c>
      <c r="FS6" s="176" t="n">
        <v>-0.050752</v>
      </c>
      <c r="FT6" s="179" t="n">
        <v>0.914</v>
      </c>
      <c r="FU6" s="176" t="n">
        <v>-0.184211</v>
      </c>
      <c r="FV6" s="179" t="n">
        <v>0.7461</v>
      </c>
      <c r="FW6" s="179" t="n">
        <v>0.7726</v>
      </c>
      <c r="FX6" s="178" t="n">
        <v>63633782.54</v>
      </c>
      <c r="FY6" s="186" t="n">
        <v>0.00107</v>
      </c>
      <c r="FZ6" s="183" t="n">
        <v>0</v>
      </c>
      <c r="GA6" s="176" t="n">
        <v>0.03477416025358074</v>
      </c>
      <c r="GB6" s="176" t="n">
        <v>0.421141</v>
      </c>
      <c r="GC6" s="185" t="inlineStr">
        <is>
          <t>2025-11-08</t>
        </is>
      </c>
      <c r="GD6" s="185" t="inlineStr">
        <is>
          <t>2026-05-08</t>
        </is>
      </c>
      <c r="GE6" s="176" t="n">
        <v>-0.057589</v>
      </c>
      <c r="GF6" s="176" t="n">
        <v>-0.158671</v>
      </c>
      <c r="GG6" s="179" t="n">
        <v>0.7965</v>
      </c>
      <c r="GH6" s="181" t="inlineStr">
        <is>
          <t>China International Capital Corporation / Sponsor-OC</t>
        </is>
      </c>
      <c r="GI6" s="183" t="n">
        <v>0</v>
      </c>
      <c r="GJ6" s="183" t="n">
        <v>0</v>
      </c>
      <c r="GK6" s="176" t="n">
        <v>0.025</v>
      </c>
      <c r="GL6" s="176" t="n">
        <v>0.01</v>
      </c>
      <c r="GM6" s="176" t="n">
        <v>0.035</v>
      </c>
      <c r="GN6" s="183" t="n">
        <v>4</v>
      </c>
      <c r="GO6" s="183" t="n">
        <v>0</v>
      </c>
      <c r="GP6" s="183" t="n">
        <v>0</v>
      </c>
      <c r="GQ6" s="183" t="n">
        <v>6</v>
      </c>
      <c r="GR6" s="183" t="n">
        <v>0</v>
      </c>
      <c r="GS6" s="181" t="inlineStr">
        <is>
          <t>POST_FINI</t>
        </is>
      </c>
      <c r="GT6" s="181" t="inlineStr">
        <is>
          <t>PRE_2025_REFORM</t>
        </is>
      </c>
    </row>
    <row r="7" ht="68" customFormat="1" customHeight="1" s="12">
      <c r="A7" s="43" t="n">
        <v>23</v>
      </c>
      <c r="B7" s="47" t="inlineStr">
        <is>
          <t>6831.HK</t>
        </is>
      </c>
      <c r="C7" s="44" t="inlineStr">
        <is>
          <t>Green Tea Group Limited</t>
        </is>
      </c>
      <c r="D7" s="130" t="n">
        <v>45785</v>
      </c>
      <c r="E7" s="48" t="n">
        <v>45793</v>
      </c>
      <c r="F7" s="43" t="inlineStr">
        <is>
          <t>Citigroup Global Markets Asia Limited/
CMB International Capital Limited</t>
        </is>
      </c>
      <c r="G7" s="43" t="inlineStr">
        <is>
          <t>KPMG</t>
        </is>
      </c>
      <c r="H7" s="43" t="n"/>
      <c r="I7" s="131" t="n">
        <v>605268580</v>
      </c>
      <c r="J7" s="132" t="n">
        <v>605268580</v>
      </c>
      <c r="K7" s="133" t="n">
        <v>7.19</v>
      </c>
      <c r="L7" s="81" t="n">
        <v>673454800</v>
      </c>
      <c r="M7" s="82" t="n">
        <v>168364000</v>
      </c>
      <c r="N7" s="81" t="n">
        <v>555600000</v>
      </c>
      <c r="O7" s="81" t="n">
        <v>505090800</v>
      </c>
      <c r="P7" s="81" t="n">
        <v>50509200</v>
      </c>
      <c r="Q7" s="81" t="n">
        <v>117854800</v>
      </c>
      <c r="R7" s="82" t="n">
        <v>151527600</v>
      </c>
      <c r="S7" s="82" t="n">
        <v>16836400</v>
      </c>
      <c r="T7" s="147" t="n">
        <v>7.19</v>
      </c>
      <c r="U7" s="147" t="n">
        <v>7.19</v>
      </c>
      <c r="V7" s="169" t="n">
        <v>0</v>
      </c>
      <c r="W7" s="169" t="n">
        <v>0</v>
      </c>
      <c r="X7" s="170" t="inlineStr">
        <is>
          <t>Fixed price</t>
        </is>
      </c>
      <c r="Y7" s="26" t="inlineStr">
        <is>
          <t>CNY</t>
        </is>
      </c>
      <c r="Z7" s="137" t="n">
        <v>1813681000</v>
      </c>
      <c r="AA7" s="137" t="n">
        <v>2421004000</v>
      </c>
      <c r="AB7" s="137" t="n">
        <v>2464345000</v>
      </c>
      <c r="AC7" s="137" t="n">
        <v>468041000</v>
      </c>
      <c r="AD7" s="137" t="n">
        <v>414511000</v>
      </c>
      <c r="AE7" s="137" t="n">
        <v>771133000</v>
      </c>
      <c r="AF7" s="137" t="n">
        <v>1345640000</v>
      </c>
      <c r="AG7" s="137" t="n">
        <v>2006493000</v>
      </c>
      <c r="AH7" s="137" t="n">
        <v>1693212000</v>
      </c>
      <c r="AI7" s="137" t="n">
        <v>2375453000</v>
      </c>
      <c r="AJ7" s="137" t="n">
        <v>3589178000</v>
      </c>
      <c r="AK7" s="137" t="n">
        <v>3838202000</v>
      </c>
      <c r="AL7" s="137" t="n">
        <v>43177000</v>
      </c>
      <c r="AM7" s="137" t="n">
        <v>387973000</v>
      </c>
      <c r="AN7" s="137" t="n">
        <v>418655000</v>
      </c>
      <c r="AO7" s="137" t="n">
        <v>16579000</v>
      </c>
      <c r="AP7" s="137" t="n">
        <v>295543000</v>
      </c>
      <c r="AQ7" s="137" t="n">
        <v>350167000</v>
      </c>
      <c r="AR7" s="135" t="n">
        <v>0.03</v>
      </c>
      <c r="AS7" s="135" t="n">
        <v>0.03</v>
      </c>
      <c r="AT7" s="84" t="n">
        <v>0.15</v>
      </c>
      <c r="AU7" s="51" t="inlineStr">
        <is>
          <t>Casual Chinese restaurant operator (restaurant operations in Mainland China)</t>
        </is>
      </c>
      <c r="AV7" s="51" t="inlineStr">
        <is>
          <t>Main Board; Rule 8.05(1) profit test</t>
        </is>
      </c>
      <c r="AW7" s="136" t="n">
        <v>45657</v>
      </c>
      <c r="AX7" s="137" t="n">
        <v>733964000</v>
      </c>
      <c r="AY7" s="117" t="n">
        <v>247152000</v>
      </c>
      <c r="AZ7" s="117" t="inlineStr">
        <is>
          <t>NaN</t>
        </is>
      </c>
      <c r="BA7" s="117" t="n">
        <v>0</v>
      </c>
      <c r="BB7" s="138" t="inlineStr">
        <is>
          <t>NaN</t>
        </is>
      </c>
      <c r="BC7" s="139" t="n">
        <v>1</v>
      </c>
      <c r="BD7" s="80" t="n">
        <v>1</v>
      </c>
      <c r="BE7" s="161" t="n">
        <v>0</v>
      </c>
      <c r="BF7" s="161" t="n">
        <v>1</v>
      </c>
      <c r="BG7" s="161" t="n">
        <v>0</v>
      </c>
      <c r="BH7" s="161" t="n">
        <v>0</v>
      </c>
      <c r="BI7" s="161" t="n">
        <v>1</v>
      </c>
      <c r="BJ7" s="162" t="inlineStr">
        <is>
          <t>Partners Gourmet (Partners Group Gourmet House Limited), investment vehicles of Partners Group</t>
        </is>
      </c>
      <c r="BK7" s="163" t="n">
        <v>0.282</v>
      </c>
      <c r="BL7" s="161" t="n">
        <v>1</v>
      </c>
      <c r="BM7" s="164" t="inlineStr">
        <is>
          <t>Strategic Investment (Series-A Preferred Shares), completed May 25, 2017</t>
        </is>
      </c>
      <c r="BN7" s="165" t="n">
        <v>8</v>
      </c>
      <c r="BO7" s="51" t="inlineStr">
        <is>
          <t>Individual founders (Mr. Wang Qinsong and Ms. Lu Changmei) through the Green Tea Family Trust</t>
        </is>
      </c>
      <c r="BP7" s="135" t="n">
        <v>0.5429</v>
      </c>
      <c r="BQ7" s="135" t="n">
        <v>0.5429</v>
      </c>
      <c r="BR7" s="137" t="n">
        <v>1102940000</v>
      </c>
      <c r="BS7" s="73" t="inlineStr">
        <is>
          <t>NA</t>
        </is>
      </c>
      <c r="BT7" s="142" t="n">
        <v>0</v>
      </c>
      <c r="BU7" s="60" t="inlineStr">
        <is>
          <t>Main Board</t>
        </is>
      </c>
      <c r="BV7" s="89" t="inlineStr">
        <is>
          <t>Ordinary shares of US$0.00002 each (Cayman Islands issuer, no H share class)</t>
        </is>
      </c>
      <c r="BW7" s="61" t="n">
        <v>0</v>
      </c>
      <c r="BX7" s="77" t="n">
        <v>0</v>
      </c>
      <c r="BY7" s="77" t="n">
        <v>0</v>
      </c>
      <c r="BZ7" s="78" t="n">
        <v>0</v>
      </c>
      <c r="CA7" s="60" t="inlineStr">
        <is>
          <t>234060</t>
        </is>
      </c>
      <c r="CB7" s="76" t="inlineStr">
        <is>
          <t>HSICS (Hang Seng Industry Classification System) 2026</t>
        </is>
      </c>
      <c r="CC7" s="140" t="n">
        <v>42159</v>
      </c>
      <c r="CD7" s="171" t="n">
        <v>9.949999999999999</v>
      </c>
      <c r="CE7" s="76" t="inlineStr">
        <is>
          <t>Cayman Islands</t>
        </is>
      </c>
      <c r="CF7" s="89" t="inlineStr">
        <is>
          <t>Room 1918, 19/F, Lee Garden One, 33 Hysan Avenue, Causeway Bay, Hong Kong SAR</t>
        </is>
      </c>
      <c r="CG7" s="91" t="n">
        <v>1000</v>
      </c>
      <c r="CH7" s="60" t="inlineStr">
        <is>
          <t>IFRS</t>
        </is>
      </c>
      <c r="CI7" s="141" t="n">
        <v>44562</v>
      </c>
      <c r="CJ7" s="141" t="n">
        <v>44926</v>
      </c>
      <c r="CK7" s="141" t="n">
        <v>44927</v>
      </c>
      <c r="CL7" s="141" t="n">
        <v>45291</v>
      </c>
      <c r="CM7" s="141" t="n">
        <v>45292</v>
      </c>
      <c r="CN7" s="64" t="n">
        <v>3838202000</v>
      </c>
      <c r="CO7" s="64" t="n">
        <v>418655000</v>
      </c>
      <c r="CP7" s="64" t="n">
        <v>350167000</v>
      </c>
      <c r="CQ7" s="141" t="n">
        <v>45785</v>
      </c>
      <c r="CR7" s="141" t="n">
        <v>45790</v>
      </c>
      <c r="CS7" s="63" t="n">
        <v>673454800</v>
      </c>
      <c r="CT7" s="64" t="inlineStr">
        <is>
          <t>NaN</t>
        </is>
      </c>
      <c r="CU7" s="64" t="n">
        <v>336359000</v>
      </c>
      <c r="CV7" s="59" t="inlineStr">
        <is>
          <t>Unqualified opinion (true and fair view)</t>
        </is>
      </c>
      <c r="CW7" s="64" t="n">
        <v>101600000</v>
      </c>
      <c r="CX7" s="51" t="inlineStr">
        <is>
          <t>Wuxi Zixian Food Co., Ltd. (無錫紫鮮食品有限公司); Anji Liangshan Rural Revitalization Equity Investment Partnership (Limited Partnership) (安吉兩山鄉村振興股權投資合夥企業(有限合夥)); Action Chain International Limited; Chia Tai Food Investment Company Limited (正大食品投資有限公司); Sino Top Trading Limited (華置貿易有限公司)</t>
        </is>
      </c>
      <c r="CY7" s="142" t="n">
        <v>0.5</v>
      </c>
      <c r="CZ7" s="136" t="n">
        <v>45977</v>
      </c>
      <c r="DA7" s="143" t="n">
        <v>317.54</v>
      </c>
      <c r="DB7" s="63" t="n">
        <v>98482</v>
      </c>
      <c r="DC7" s="63" t="n">
        <v>5346255200</v>
      </c>
      <c r="DD7" s="59" t="inlineStr">
        <is>
          <t>Subscription level 317.54 times</t>
        </is>
      </c>
      <c r="DE7" s="141" t="inlineStr">
        <is>
          <t>NA</t>
        </is>
      </c>
      <c r="DF7" s="141" t="n">
        <v>45792</v>
      </c>
      <c r="DG7" s="63" t="n">
        <v>168364000</v>
      </c>
      <c r="DH7" s="63" t="n">
        <v>84182000</v>
      </c>
      <c r="DI7" s="63" t="n">
        <v>84182000</v>
      </c>
      <c r="DJ7" s="63" t="n">
        <v>0</v>
      </c>
      <c r="DK7" s="169" t="n">
        <v>0</v>
      </c>
      <c r="DL7" s="59" t="inlineStr">
        <is>
          <t>67,345,600 Shares reallocated from the International Offering to the Hong Kong Public Offering (claw-back); final Hong Kong Public Offering 84,182,000 Shares, 50% of the Global Offering</t>
        </is>
      </c>
      <c r="DM7" s="144" t="n">
        <v>745780000</v>
      </c>
      <c r="DN7" s="142" t="n">
        <v>0.25</v>
      </c>
      <c r="DO7" s="51" t="n">
        <v>673454800</v>
      </c>
      <c r="DP7" s="142" t="n">
        <v>0.125</v>
      </c>
      <c r="DQ7" s="59" t="inlineStr">
        <is>
          <t>Number of issued shares upon Listing (before exercise of the Over-allotment Option) = 673,454,800 Shares, i.e. total issued share capital immediately following completion of the Global Offering excluding any Over-allotment Option Shares</t>
        </is>
      </c>
      <c r="DR7" s="63" t="n">
        <v>673454800</v>
      </c>
      <c r="DS7" s="142" t="n">
        <v>-0.02200829</v>
      </c>
      <c r="DT7" s="80" t="n">
        <v>10</v>
      </c>
      <c r="DU7" s="142" t="n">
        <v>0.0308</v>
      </c>
      <c r="DV7" s="144" t="n">
        <v>161313000000</v>
      </c>
      <c r="DW7" s="145" t="n">
        <v>5.44</v>
      </c>
      <c r="DX7" s="169" t="n">
        <v>-0.243394</v>
      </c>
      <c r="DY7" s="172" t="n">
        <v>-294637000</v>
      </c>
      <c r="DZ7" s="146" t="n">
        <v>6.34</v>
      </c>
      <c r="EA7" s="146" t="n">
        <v>6.35</v>
      </c>
      <c r="EB7" s="146" t="n">
        <v>5.44</v>
      </c>
      <c r="EC7" s="63" t="n">
        <v>88802599</v>
      </c>
      <c r="ED7" s="169" t="n">
        <v>0.527444</v>
      </c>
      <c r="EE7" s="64" t="n">
        <v>607987730</v>
      </c>
      <c r="EF7" s="60" t="inlineStr">
        <is>
          <t>PN18 statutory clawback</t>
        </is>
      </c>
      <c r="EG7" s="59" t="inlineStr">
        <is>
          <t>FINI (from 22/11/2023)</t>
        </is>
      </c>
      <c r="EH7" t="inlineStr">
        <is>
          <t>绿茶集团有限公司</t>
        </is>
      </c>
      <c r="EI7" s="174" t="inlineStr">
        <is>
          <t>Active</t>
        </is>
      </c>
      <c r="EJ7" s="175" t="n">
        <v>5.39</v>
      </c>
      <c r="EK7" s="176" t="n">
        <v>-0.009191</v>
      </c>
      <c r="EL7" s="176" t="n">
        <v>-0.250348</v>
      </c>
      <c r="EM7" s="176" t="n">
        <v>0.029571</v>
      </c>
      <c r="EN7" s="176" t="n">
        <v>0.009464999999999999</v>
      </c>
      <c r="EO7" s="179" t="n">
        <v>0.9624</v>
      </c>
      <c r="EP7" s="179" t="n">
        <v>0.9815</v>
      </c>
      <c r="EQ7" s="178" t="n">
        <v>52825702</v>
      </c>
      <c r="ER7" s="175" t="n">
        <v>4.98</v>
      </c>
      <c r="ES7" s="176" t="n">
        <v>-0.084559</v>
      </c>
      <c r="ET7" s="176" t="n">
        <v>-0.307371</v>
      </c>
      <c r="EU7" s="176" t="n">
        <v>0.130187</v>
      </c>
      <c r="EV7" s="176" t="n">
        <v>0.090042</v>
      </c>
      <c r="EW7" s="179" t="n">
        <v>0.8100000000000001</v>
      </c>
      <c r="EX7" s="179" t="n">
        <v>0.8398</v>
      </c>
      <c r="EY7" s="178" t="n">
        <v>3772113.5</v>
      </c>
      <c r="EZ7" s="176" t="n">
        <v>0.006204</v>
      </c>
      <c r="FA7" s="176" t="n"/>
      <c r="FB7" s="179" t="n"/>
      <c r="FC7" s="176" t="n"/>
      <c r="FD7" s="179" t="n"/>
      <c r="FE7" s="174" t="inlineStr">
        <is>
          <t>Standard</t>
        </is>
      </c>
      <c r="FF7" s="181" t="inlineStr">
        <is>
          <t>China International Capital Corporation / Sponsor-OC</t>
        </is>
      </c>
      <c r="FG7" s="185" t="inlineStr">
        <is>
          <t>2025-06-15</t>
        </is>
      </c>
      <c r="FH7" s="183" t="n">
        <v>0</v>
      </c>
      <c r="FI7" s="178" t="n">
        <v>0</v>
      </c>
      <c r="FJ7" s="176" t="n">
        <v>0.15</v>
      </c>
      <c r="FK7" s="185" t="inlineStr">
        <is>
          <t>2025-06-15</t>
        </is>
      </c>
      <c r="FL7" s="178" t="n">
        <v>0</v>
      </c>
      <c r="FM7" s="176" t="n">
        <v>0</v>
      </c>
      <c r="FN7" s="176" t="n">
        <v>0.181443</v>
      </c>
      <c r="FO7" s="176" t="n">
        <v>0.470163</v>
      </c>
      <c r="FP7" s="176" t="n">
        <v>0.647377</v>
      </c>
      <c r="FQ7" s="176" t="n">
        <v>-0.038603</v>
      </c>
      <c r="FR7" s="179" t="n">
        <v>0.9533</v>
      </c>
      <c r="FS7" s="176" t="n">
        <v>-0.009191</v>
      </c>
      <c r="FT7" s="179" t="n">
        <v>0.9624</v>
      </c>
      <c r="FU7" s="176" t="n">
        <v>0.264706</v>
      </c>
      <c r="FV7" s="179" t="n">
        <v>1.1527</v>
      </c>
      <c r="FW7" s="179" t="n">
        <v>1.1862</v>
      </c>
      <c r="FX7" s="178" t="n">
        <v>32079889.84</v>
      </c>
      <c r="FY7" s="186" t="n">
        <v>0.002714190476190476</v>
      </c>
      <c r="FZ7" s="183" t="n">
        <v>0</v>
      </c>
      <c r="GA7" s="176" t="n">
        <v>0.04197401635305362</v>
      </c>
      <c r="GB7" s="176" t="n">
        <v>0.410714</v>
      </c>
      <c r="GC7" s="185" t="inlineStr">
        <is>
          <t>2025-11-16</t>
        </is>
      </c>
      <c r="GD7" s="185" t="inlineStr">
        <is>
          <t>2026-05-16</t>
        </is>
      </c>
      <c r="GE7" s="176" t="n">
        <v>-0.004138</v>
      </c>
      <c r="GF7" s="176" t="n">
        <v>-0.023586</v>
      </c>
      <c r="GG7" s="179" t="n">
        <v>1.7181</v>
      </c>
      <c r="GH7" s="181" t="inlineStr">
        <is>
          <t>China International Capital Corporation / Sponsor-OC</t>
        </is>
      </c>
      <c r="GI7" s="183" t="n">
        <v>0</v>
      </c>
      <c r="GJ7" s="183" t="n">
        <v>0</v>
      </c>
      <c r="GK7" s="176" t="n">
        <v>0.025</v>
      </c>
      <c r="GL7" s="176" t="n">
        <v>0.01</v>
      </c>
      <c r="GM7" s="176" t="n">
        <v>0.035</v>
      </c>
      <c r="GN7" s="183" t="n">
        <v>4</v>
      </c>
      <c r="GO7" s="183" t="n">
        <v>0</v>
      </c>
      <c r="GP7" s="183" t="n">
        <v>0</v>
      </c>
      <c r="GQ7" s="183" t="n">
        <v>6</v>
      </c>
      <c r="GR7" s="183" t="n">
        <v>0</v>
      </c>
      <c r="GS7" s="181" t="inlineStr">
        <is>
          <t>POST_FINI</t>
        </is>
      </c>
      <c r="GT7" s="181" t="inlineStr">
        <is>
          <t>PRE_2025_REFORM</t>
        </is>
      </c>
    </row>
    <row r="8" ht="34" customFormat="1" customHeight="1" s="12">
      <c r="A8" s="43" t="n">
        <v>24</v>
      </c>
      <c r="B8" s="47" t="inlineStr">
        <is>
          <t>3750.HK</t>
        </is>
      </c>
      <c r="C8" s="44" t="inlineStr">
        <is>
          <t>Contemporary Amperex Technology Co., Limited
- H shares</t>
        </is>
      </c>
      <c r="D8" s="130" t="n">
        <v>45789</v>
      </c>
      <c r="E8" s="48" t="n">
        <v>45797</v>
      </c>
      <c r="F8" s="43" t="inlineStr">
        <is>
          <t>China International Capital Corporation
Hong Kong Securities Limited/
China Securities (International)
Corporate Finance Company Limited/
J.P. Morgan Securities (Far East) Limited/
Merrill Lynch (Asia Pacific) Limited</t>
        </is>
      </c>
      <c r="G8" s="43" t="inlineStr">
        <is>
          <t>Grant Thornton 
Hong Kong Limited</t>
        </is>
      </c>
      <c r="H8" s="43" t="n"/>
      <c r="I8" s="131" t="n">
        <v>2674289200</v>
      </c>
      <c r="J8" s="148" t="n">
        <v>38331434700</v>
      </c>
      <c r="K8" s="133" t="n">
        <v>263</v>
      </c>
      <c r="L8" t="n">
        <v>4521289411</v>
      </c>
      <c r="M8" s="67" t="n">
        <v>117894500</v>
      </c>
      <c r="N8" t="n">
        <v>4403394911</v>
      </c>
      <c r="O8" t="n">
        <v>4403394911</v>
      </c>
      <c r="P8" t="n">
        <v>0</v>
      </c>
      <c r="Q8" t="n">
        <v>117894500</v>
      </c>
      <c r="R8" s="67" t="n">
        <v>109052400</v>
      </c>
      <c r="S8" s="67" t="n">
        <v>8842100</v>
      </c>
      <c r="T8" s="147" t="n">
        <v>263</v>
      </c>
      <c r="U8" s="147" t="inlineStr">
        <is>
          <t>NaN</t>
        </is>
      </c>
      <c r="V8" s="169" t="n">
        <v>0</v>
      </c>
      <c r="W8" s="169" t="n">
        <v>0</v>
      </c>
      <c r="X8" s="170" t="inlineStr">
        <is>
          <t>Fixed price</t>
        </is>
      </c>
      <c r="Y8" s="26" t="inlineStr">
        <is>
          <t>RMB</t>
        </is>
      </c>
      <c r="Z8" s="137" t="n">
        <v>600952353000</v>
      </c>
      <c r="AA8" s="137" t="n">
        <v>717168041000</v>
      </c>
      <c r="AB8" s="137" t="n">
        <v>786658123000</v>
      </c>
      <c r="AC8" s="137" t="n">
        <v>176909161000</v>
      </c>
      <c r="AD8" s="137" t="n">
        <v>219883150000</v>
      </c>
      <c r="AE8" s="137" t="n">
        <v>273456173000</v>
      </c>
      <c r="AF8" s="137" t="n">
        <v>424043192000</v>
      </c>
      <c r="AG8" s="137" t="n">
        <v>497284891000</v>
      </c>
      <c r="AH8" s="137" t="n">
        <v>513201950000</v>
      </c>
      <c r="AI8" s="137" t="n">
        <v>328593988000</v>
      </c>
      <c r="AJ8" s="137" t="n">
        <v>400917045000</v>
      </c>
      <c r="AK8" s="137" t="n">
        <v>362012554000</v>
      </c>
      <c r="AL8" s="137" t="n">
        <v>36672857000</v>
      </c>
      <c r="AM8" s="137" t="n">
        <v>54495054000</v>
      </c>
      <c r="AN8" s="137" t="n">
        <v>64470204000</v>
      </c>
      <c r="AO8" s="137" t="n">
        <v>33457144000</v>
      </c>
      <c r="AP8" s="137" t="n">
        <v>47342035000</v>
      </c>
      <c r="AQ8" s="137" t="n">
        <v>55294959000</v>
      </c>
      <c r="AR8" s="142" t="n">
        <v>0.002</v>
      </c>
      <c r="AS8" s="142" t="n">
        <v>0.002</v>
      </c>
      <c r="AT8" s="84" t="n">
        <v>0.15</v>
      </c>
      <c r="AU8" s="51" t="inlineStr">
        <is>
          <t>Research, development, production and sales of EV batteries and ESS batteries (new energy technology)</t>
        </is>
      </c>
      <c r="AV8" s="51" t="inlineStr">
        <is>
          <t>A+H dual listing: H Shares on the Main Board of the HKEX (A Shares already listed on ChiNext of SZSE)</t>
        </is>
      </c>
      <c r="AW8" s="136" t="n">
        <v>45657</v>
      </c>
      <c r="AX8" s="137" t="n">
        <v>96990344000</v>
      </c>
      <c r="AY8" s="117" t="n">
        <v>270159734000</v>
      </c>
      <c r="AZ8" s="117" t="n">
        <v>18606756000</v>
      </c>
      <c r="BA8" s="117" t="n">
        <v>0</v>
      </c>
      <c r="BB8" s="138" t="n">
        <v>0.37</v>
      </c>
      <c r="BC8" s="139" t="n">
        <v>1</v>
      </c>
      <c r="BD8" s="80" t="inlineStr">
        <is>
          <t>NaN</t>
        </is>
      </c>
      <c r="BE8" s="161" t="inlineStr">
        <is>
          <t>NaN</t>
        </is>
      </c>
      <c r="BF8" s="161" t="inlineStr">
        <is>
          <t>NaN</t>
        </is>
      </c>
      <c r="BG8" s="161" t="inlineStr">
        <is>
          <t>NaN</t>
        </is>
      </c>
      <c r="BH8" s="161" t="inlineStr">
        <is>
          <t>NaN</t>
        </is>
      </c>
      <c r="BI8" s="161" t="inlineStr">
        <is>
          <t>NaN</t>
        </is>
      </c>
      <c r="BJ8" s="162" t="inlineStr">
        <is>
          <t>NA</t>
        </is>
      </c>
      <c r="BK8" s="163" t="inlineStr">
        <is>
          <t>NaN</t>
        </is>
      </c>
      <c r="BL8" s="161" t="inlineStr">
        <is>
          <t>NaN</t>
        </is>
      </c>
      <c r="BM8" s="164" t="inlineStr">
        <is>
          <t>NA</t>
        </is>
      </c>
      <c r="BN8" s="165" t="inlineStr">
        <is>
          <t>NaN</t>
        </is>
      </c>
      <c r="BO8" s="51" t="inlineStr">
        <is>
          <t>Individual / natural person (Mr. Zeng Yuqun, via Xiamen Ruiting Investment Co., Ltd.)</t>
        </is>
      </c>
      <c r="BP8" s="135" t="n">
        <v>0.2266</v>
      </c>
      <c r="BQ8" s="135" t="n">
        <v>0.2266</v>
      </c>
      <c r="BR8" s="137" t="n">
        <v>137830010000</v>
      </c>
      <c r="BS8" s="51" t="inlineStr">
        <is>
          <t>Mass production / large-scale commercialization stage</t>
        </is>
      </c>
      <c r="BT8" s="142" t="n">
        <v>0</v>
      </c>
      <c r="BU8" s="60" t="inlineStr">
        <is>
          <t>Main Board</t>
        </is>
      </c>
      <c r="BV8" s="89" t="inlineStr">
        <is>
          <t>Ordinary Shares (one class, comprising A Shares and H Shares)</t>
        </is>
      </c>
      <c r="BW8" s="61" t="n">
        <v>1</v>
      </c>
      <c r="BX8" s="77" t="n">
        <v>0</v>
      </c>
      <c r="BY8" s="77" t="n">
        <v>0</v>
      </c>
      <c r="BZ8" s="78" t="n">
        <v>0</v>
      </c>
      <c r="CA8" s="60" t="inlineStr">
        <is>
          <t>101070</t>
        </is>
      </c>
      <c r="CB8" s="76" t="inlineStr">
        <is>
          <t>HSICS (Hang Seng Industry Classification System) 2026</t>
        </is>
      </c>
      <c r="CC8" s="140" t="n">
        <v>40893</v>
      </c>
      <c r="CD8" s="171" t="n">
        <v>13.43</v>
      </c>
      <c r="CE8" s="76" t="inlineStr">
        <is>
          <t>PRC</t>
        </is>
      </c>
      <c r="CF8" s="89" t="inlineStr">
        <is>
          <t>No. 2 Xingang Road, Zhangwan Town, Jiaocheng District, Ningde City, Fujian Province, PRC</t>
        </is>
      </c>
      <c r="CG8" s="91" t="n">
        <v>1000</v>
      </c>
      <c r="CH8" s="60" t="inlineStr">
        <is>
          <t>IFRS</t>
        </is>
      </c>
      <c r="CI8" s="141" t="n">
        <v>44562</v>
      </c>
      <c r="CJ8" s="141" t="n">
        <v>44926</v>
      </c>
      <c r="CK8" s="141" t="n">
        <v>44927</v>
      </c>
      <c r="CL8" s="141" t="n">
        <v>45291</v>
      </c>
      <c r="CM8" s="141" t="n">
        <v>45292</v>
      </c>
      <c r="CN8" s="64" t="n">
        <v>362012554000</v>
      </c>
      <c r="CO8" s="64" t="n">
        <v>64470204000</v>
      </c>
      <c r="CP8" s="64" t="n">
        <v>55294959000</v>
      </c>
      <c r="CQ8" s="141" t="n">
        <v>45789</v>
      </c>
      <c r="CR8" s="141" t="n">
        <v>45792</v>
      </c>
      <c r="CS8" s="63" t="n">
        <v>117894500</v>
      </c>
      <c r="CT8" s="64" t="n">
        <v>88493595000</v>
      </c>
      <c r="CU8" s="64" t="n">
        <v>31179943000</v>
      </c>
      <c r="CV8" s="59" t="inlineStr">
        <is>
          <t>Unqualified opinion: true and fair view of the consolidated financial position and performance</t>
        </is>
      </c>
      <c r="CW8" s="64" t="n">
        <v>288300000</v>
      </c>
      <c r="CX8" s="51" t="inlineStr">
        <is>
          <t>Sinopec (Hong Kong) Limited; Kuwait Investment Authority; HHLR CF, L.P.; Shanghai Gaoyi and CICC Financial Trading Limited (in connection with Gaoyi OTC Swaps); Perseverance Asset Management; Zenith Hop; Abstract Enigma Limited; Shanghai Greenwoods and CICC Financial Trading Limited (in connection with Greenwoods OTC Swaps); HK Greenwoods; Pinpoint; UBS AM Singapore; WT; CPE Investment; Oaktree; MX Bright; Mirae Investors; RBC Global Asset Management (Asia) Limited; CPIC Investors; LMR Master Fund; LUOYANG Sci-Tech Inv.; PSBC Wealth; Taikang Life; Lingotto</t>
        </is>
      </c>
      <c r="CY8" s="142" t="n">
        <v>0.5713</v>
      </c>
      <c r="CZ8" s="136" t="n">
        <v>45981</v>
      </c>
      <c r="DA8" s="143" t="n">
        <v>151.15</v>
      </c>
      <c r="DB8" s="63" t="n">
        <v>310827</v>
      </c>
      <c r="DC8" s="63" t="n">
        <v>1336520600</v>
      </c>
      <c r="DD8" s="59" t="inlineStr">
        <is>
          <t>Subscription level (before taking into account the Offer Size Adjustment Option) 151.15</t>
        </is>
      </c>
      <c r="DE8" s="141" t="inlineStr">
        <is>
          <t>NA</t>
        </is>
      </c>
      <c r="DF8" s="141" t="n">
        <v>45796</v>
      </c>
      <c r="DG8" s="63" t="n">
        <v>135578600</v>
      </c>
      <c r="DH8" s="63" t="n">
        <v>10168400</v>
      </c>
      <c r="DI8" s="63" t="n">
        <v>125410200</v>
      </c>
      <c r="DJ8" s="63" t="n">
        <v>20336700</v>
      </c>
      <c r="DK8" s="169" t="n">
        <v>1</v>
      </c>
      <c r="DL8" s="59" t="inlineStr">
        <is>
          <t>No claw-back triggered (Claw-back triggered: N/A); the additional Offer Shares from the full exercise of the Offer Size Adjustment Option were allocated so as to maintain the initial proportionality of 7.5%:92.5% between the Hong Kong Public Offering and the International Offering, with no reallocation between the two tranches</t>
        </is>
      </c>
      <c r="DM8" s="144" t="n">
        <v>35331200000</v>
      </c>
      <c r="DN8" s="142" t="n">
        <v>0.0299</v>
      </c>
      <c r="DO8" s="51" t="n">
        <v>4538973511</v>
      </c>
      <c r="DP8" s="142" t="n">
        <v>0.012805</v>
      </c>
      <c r="DQ8" s="59" t="inlineStr">
        <is>
          <t>Total issued share capital of the Company upon Listing (4,538,973,511 Shares), after taking into account the full exercise of the Offer Size Adjustment Option and before any exercise of the Over-allotment Option</t>
        </is>
      </c>
      <c r="DR8" s="63" t="n">
        <v>4538973511</v>
      </c>
      <c r="DS8" s="142" t="n">
        <v>0.15328792</v>
      </c>
      <c r="DT8" s="80" t="n">
        <v>12</v>
      </c>
      <c r="DU8" s="142" t="n">
        <v>0.0193655</v>
      </c>
      <c r="DV8" s="144" t="n">
        <v>174100000000</v>
      </c>
      <c r="DW8" s="145" t="n">
        <v>295.584</v>
      </c>
      <c r="DX8" s="169" t="n">
        <v>0.123894</v>
      </c>
      <c r="DY8" s="172" t="n">
        <v>4417693102.4</v>
      </c>
      <c r="DZ8" s="146" t="n">
        <v>285.384</v>
      </c>
      <c r="EA8" s="146" t="n">
        <v>300.784</v>
      </c>
      <c r="EB8" s="146" t="n">
        <v>280.384</v>
      </c>
      <c r="EC8" s="63" t="n">
        <v>27692287</v>
      </c>
      <c r="ED8" s="169" t="n">
        <v>0.204253</v>
      </c>
      <c r="EE8" s="64" t="n">
        <v>8284435400</v>
      </c>
      <c r="EF8" s="60" t="inlineStr">
        <is>
          <t>PN18 statutory clawback</t>
        </is>
      </c>
      <c r="EG8" s="59" t="inlineStr">
        <is>
          <t>FINI (from 22/11/2023)</t>
        </is>
      </c>
      <c r="EH8" t="inlineStr">
        <is>
          <t>宁德时代新能源科技股份有限公司</t>
        </is>
      </c>
      <c r="EI8" s="174" t="inlineStr">
        <is>
          <t>Active</t>
        </is>
      </c>
      <c r="EJ8" s="175" t="n">
        <v>297.784</v>
      </c>
      <c r="EK8" s="176" t="n">
        <v>0.007443</v>
      </c>
      <c r="EL8" s="176" t="n">
        <v>0.132259</v>
      </c>
      <c r="EM8" s="176" t="n">
        <v>0.016026</v>
      </c>
      <c r="EN8" s="176" t="n">
        <v>-0.002944</v>
      </c>
      <c r="EO8" s="179" t="n">
        <v>0.9916</v>
      </c>
      <c r="EP8" s="179" t="n">
        <v>1.0104</v>
      </c>
      <c r="EQ8" s="178" t="n">
        <v>2078148718.5</v>
      </c>
      <c r="ER8" s="175" t="n">
        <v>473.488</v>
      </c>
      <c r="ES8" s="176" t="n">
        <v>0.601873</v>
      </c>
      <c r="ET8" s="176" t="n">
        <v>0.800335</v>
      </c>
      <c r="EU8" s="176" t="n">
        <v>0.090961</v>
      </c>
      <c r="EV8" s="176" t="n">
        <v>0.048731</v>
      </c>
      <c r="EW8" s="179" t="n">
        <v>1.4683</v>
      </c>
      <c r="EX8" s="179" t="n">
        <v>1.5274</v>
      </c>
      <c r="EY8" s="178" t="n">
        <v>1269077714.5</v>
      </c>
      <c r="EZ8" s="176" t="n">
        <v>0.153188</v>
      </c>
      <c r="FA8" s="176" t="n"/>
      <c r="FB8" s="179" t="n"/>
      <c r="FC8" s="176" t="n"/>
      <c r="FD8" s="179" t="n"/>
      <c r="FE8" s="174" t="inlineStr">
        <is>
          <t>Standard</t>
        </is>
      </c>
      <c r="FF8" s="181" t="inlineStr">
        <is>
          <t>China International Capital Corporation / Sponsor-OC</t>
        </is>
      </c>
      <c r="FG8" s="185" t="inlineStr">
        <is>
          <t>2025-06-19</t>
        </is>
      </c>
      <c r="FH8" s="183" t="n">
        <v>0</v>
      </c>
      <c r="FI8" s="178" t="n">
        <v>0</v>
      </c>
      <c r="FJ8" s="176" t="n">
        <v>0.15</v>
      </c>
      <c r="FK8" s="185" t="inlineStr">
        <is>
          <t>2025-06-19</t>
        </is>
      </c>
      <c r="FL8" s="178" t="n">
        <v>0</v>
      </c>
      <c r="FM8" s="176" t="n">
        <v>0</v>
      </c>
      <c r="FN8" s="176" t="n">
        <v>0.051577</v>
      </c>
      <c r="FO8" s="176" t="n">
        <v>0.335668</v>
      </c>
      <c r="FP8" s="176" t="n">
        <v>0.559546</v>
      </c>
      <c r="FQ8" s="176" t="n">
        <v>0.026388</v>
      </c>
      <c r="FR8" s="179" t="n">
        <v>1.044</v>
      </c>
      <c r="FS8" s="176" t="n">
        <v>0.007443</v>
      </c>
      <c r="FT8" s="179" t="n">
        <v>0.9916</v>
      </c>
      <c r="FU8" s="176" t="n">
        <v>0.374526</v>
      </c>
      <c r="FV8" s="179" t="n">
        <v>1.2881</v>
      </c>
      <c r="FW8" s="179" t="n">
        <v>1.3181</v>
      </c>
      <c r="FX8" s="178" t="n">
        <v>1372611588.89</v>
      </c>
      <c r="FY8" s="186" t="n">
        <v>1.71984126984127e-05</v>
      </c>
      <c r="FZ8" s="183" t="n">
        <v>0</v>
      </c>
      <c r="GA8" s="176" t="n">
        <v>0.02958451282727888</v>
      </c>
      <c r="GB8" s="176" t="n">
        <v>0.153022</v>
      </c>
      <c r="GC8" s="185" t="inlineStr">
        <is>
          <t>2025-11-20</t>
        </is>
      </c>
      <c r="GD8" s="185" t="inlineStr">
        <is>
          <t>2026-05-20</t>
        </is>
      </c>
      <c r="GE8" s="176" t="n">
        <v>-0.145268</v>
      </c>
      <c r="GF8" s="176" t="n">
        <v>-0.082569</v>
      </c>
      <c r="GG8" s="179" t="n">
        <v>1.7084</v>
      </c>
      <c r="GH8" s="181" t="inlineStr">
        <is>
          <t>China International Capital Corporation / Sponsor-OC</t>
        </is>
      </c>
      <c r="GI8" s="183" t="n">
        <v>0</v>
      </c>
      <c r="GJ8" s="183" t="n">
        <v>0</v>
      </c>
      <c r="GK8" s="176" t="n">
        <v>0.025</v>
      </c>
      <c r="GL8" s="176" t="n">
        <v>0.01</v>
      </c>
      <c r="GM8" s="176" t="n">
        <v>0.035</v>
      </c>
      <c r="GN8" s="183" t="n">
        <v>4</v>
      </c>
      <c r="GO8" s="183" t="n">
        <v>0</v>
      </c>
      <c r="GP8" s="183" t="n">
        <v>0</v>
      </c>
      <c r="GQ8" s="183" t="n">
        <v>6</v>
      </c>
      <c r="GR8" s="183" t="n">
        <v>0</v>
      </c>
      <c r="GS8" s="181" t="inlineStr">
        <is>
          <t>POST_FINI</t>
        </is>
      </c>
      <c r="GT8" s="181" t="inlineStr">
        <is>
          <t>PRE_2025_REFORM</t>
        </is>
      </c>
    </row>
    <row r="9" ht="119" customFormat="1" customHeight="1" s="12">
      <c r="A9" s="43" t="n">
        <v>26</v>
      </c>
      <c r="B9" s="47" t="inlineStr">
        <is>
          <t>1276.HK</t>
        </is>
      </c>
      <c r="C9" s="44" t="inlineStr">
        <is>
          <t>Jiangsu Hengrui Pharmaceuticals Co., Ltd. 
- H shares</t>
        </is>
      </c>
      <c r="D9" s="130" t="n">
        <v>45792</v>
      </c>
      <c r="E9" s="48" t="n">
        <v>45800</v>
      </c>
      <c r="F9" s="43" t="inlineStr">
        <is>
          <t>Morgan Stanley Asia Limited/
Citigroup Global Markets Asia Limited/
Huatai Financial Holdings (Hong Kong)</t>
        </is>
      </c>
      <c r="G9" s="43" t="inlineStr">
        <is>
          <t>Ernst &amp; Young</t>
        </is>
      </c>
      <c r="H9" s="43" t="n"/>
      <c r="I9" s="131" t="n">
        <v>2126372790</v>
      </c>
      <c r="J9" s="148" t="n">
        <v>9247231490</v>
      </c>
      <c r="K9" s="133" t="n">
        <v>44.05</v>
      </c>
      <c r="L9" t="n">
        <v>6603522074</v>
      </c>
      <c r="M9" s="67" t="n">
        <v>224519800</v>
      </c>
      <c r="N9" t="n">
        <v>6379002274</v>
      </c>
      <c r="O9" t="n">
        <v>6379002274</v>
      </c>
      <c r="P9" t="n">
        <v>0</v>
      </c>
      <c r="Q9" t="n">
        <v>224519800</v>
      </c>
      <c r="R9" s="67" t="n">
        <v>212171200</v>
      </c>
      <c r="S9" s="67" t="n">
        <v>12348600</v>
      </c>
      <c r="T9" s="147" t="n">
        <v>44.05</v>
      </c>
      <c r="U9" s="147" t="n">
        <v>41.45</v>
      </c>
      <c r="V9" s="169" t="n">
        <v>0.030409</v>
      </c>
      <c r="W9" s="169" t="n">
        <v>0.060819</v>
      </c>
      <c r="X9" s="170" t="inlineStr">
        <is>
          <t>At high</t>
        </is>
      </c>
      <c r="Y9" s="26" t="inlineStr">
        <is>
          <t>RMB</t>
        </is>
      </c>
      <c r="Z9" s="137" t="n">
        <v>42370875000</v>
      </c>
      <c r="AA9" s="137" t="n">
        <v>43784507000</v>
      </c>
      <c r="AB9" s="137" t="n">
        <v>50135644000</v>
      </c>
      <c r="AC9" s="137" t="n">
        <v>38412908000</v>
      </c>
      <c r="AD9" s="137" t="n">
        <v>41033086000</v>
      </c>
      <c r="AE9" s="137" t="n">
        <v>46090251000</v>
      </c>
      <c r="AF9" s="137" t="n">
        <v>3957967000</v>
      </c>
      <c r="AG9" s="137" t="n">
        <v>2751421000</v>
      </c>
      <c r="AH9" s="137" t="n">
        <v>4045393000</v>
      </c>
      <c r="AI9" s="137" t="n">
        <v>21275271000</v>
      </c>
      <c r="AJ9" s="137" t="n">
        <v>22819785000</v>
      </c>
      <c r="AK9" s="137" t="n">
        <v>27984605000</v>
      </c>
      <c r="AL9" s="137" t="n">
        <v>3968492000</v>
      </c>
      <c r="AM9" s="137" t="n">
        <v>4667110000</v>
      </c>
      <c r="AN9" s="137" t="n">
        <v>7169690000</v>
      </c>
      <c r="AO9" s="137" t="n">
        <v>3815141000</v>
      </c>
      <c r="AP9" s="137" t="n">
        <v>4277821000</v>
      </c>
      <c r="AQ9" s="137" t="n">
        <v>6336995000</v>
      </c>
      <c r="AR9" s="142" t="n">
        <v>0.006</v>
      </c>
      <c r="AS9" s="142" t="n">
        <v>0.006</v>
      </c>
      <c r="AT9" s="84" t="n">
        <v>0.15</v>
      </c>
      <c r="AU9" s="51" t="inlineStr">
        <is>
          <t>Pharmaceuticals</t>
        </is>
      </c>
      <c r="AV9" s="51" t="inlineStr">
        <is>
          <t>Main Board</t>
        </is>
      </c>
      <c r="AW9" s="136" t="n">
        <v>45657</v>
      </c>
      <c r="AX9" s="137" t="n">
        <v>7422753000</v>
      </c>
      <c r="AY9" s="117" t="n">
        <v>25830396000</v>
      </c>
      <c r="AZ9" s="117" t="n">
        <v>6582916000</v>
      </c>
      <c r="BA9" s="117" t="n">
        <v>1732707000</v>
      </c>
      <c r="BB9" s="138" t="n">
        <v>0.587</v>
      </c>
      <c r="BC9" s="139" t="n">
        <v>1</v>
      </c>
      <c r="BD9" s="80" t="inlineStr">
        <is>
          <t>NaN</t>
        </is>
      </c>
      <c r="BE9" s="161" t="inlineStr">
        <is>
          <t>NaN</t>
        </is>
      </c>
      <c r="BF9" s="161" t="inlineStr">
        <is>
          <t>NaN</t>
        </is>
      </c>
      <c r="BG9" s="161" t="inlineStr">
        <is>
          <t>NaN</t>
        </is>
      </c>
      <c r="BH9" s="161" t="inlineStr">
        <is>
          <t>NaN</t>
        </is>
      </c>
      <c r="BI9" s="161" t="inlineStr">
        <is>
          <t>NaN</t>
        </is>
      </c>
      <c r="BJ9" s="162" t="inlineStr">
        <is>
          <t>NA</t>
        </is>
      </c>
      <c r="BK9" s="163" t="inlineStr">
        <is>
          <t>NaN</t>
        </is>
      </c>
      <c r="BL9" s="161" t="inlineStr">
        <is>
          <t>NaN</t>
        </is>
      </c>
      <c r="BM9" s="164" t="inlineStr">
        <is>
          <t>NA</t>
        </is>
      </c>
      <c r="BN9" s="165" t="inlineStr">
        <is>
          <t>NaN</t>
        </is>
      </c>
      <c r="BO9" s="51" t="inlineStr">
        <is>
          <t>Individual (Mr. Sun Piaoyang)</t>
        </is>
      </c>
      <c r="BP9" s="135" t="n">
        <v>0.2329</v>
      </c>
      <c r="BQ9" s="135" t="n">
        <v>0.2329</v>
      </c>
      <c r="BR9" s="137" t="n">
        <v>270154000</v>
      </c>
      <c r="BS9" s="51" t="inlineStr">
        <is>
          <t>Commercial</t>
        </is>
      </c>
      <c r="BT9" s="142" t="n">
        <v>0</v>
      </c>
      <c r="BU9" s="60" t="inlineStr">
        <is>
          <t>Main Board</t>
        </is>
      </c>
      <c r="BV9" s="89" t="inlineStr">
        <is>
          <t>Ordinary Shares (A Shares and H Shares, one class)</t>
        </is>
      </c>
      <c r="BW9" s="61" t="n">
        <v>1</v>
      </c>
      <c r="BX9" s="77" t="n">
        <v>0</v>
      </c>
      <c r="BY9" s="77" t="n">
        <v>0</v>
      </c>
      <c r="BZ9" s="78" t="n">
        <v>0</v>
      </c>
      <c r="CA9" s="60" t="inlineStr">
        <is>
          <t>281010</t>
        </is>
      </c>
      <c r="CB9" s="76" t="inlineStr">
        <is>
          <t>HSICS (Hang Seng Industry Classification System) 2026</t>
        </is>
      </c>
      <c r="CC9" s="140" t="n">
        <v>35548</v>
      </c>
      <c r="CD9" s="171" t="n">
        <v>28.07</v>
      </c>
      <c r="CE9" s="76" t="inlineStr">
        <is>
          <t>PRC</t>
        </is>
      </c>
      <c r="CF9" s="89" t="inlineStr">
        <is>
          <t>Lianyungang City, Jiangsu Province, PRC</t>
        </is>
      </c>
      <c r="CG9" s="91" t="n">
        <v>1000</v>
      </c>
      <c r="CH9" s="60" t="inlineStr">
        <is>
          <t>IFRS</t>
        </is>
      </c>
      <c r="CI9" s="141" t="n">
        <v>44562</v>
      </c>
      <c r="CJ9" s="141" t="n">
        <v>44926</v>
      </c>
      <c r="CK9" s="141" t="n">
        <v>44927</v>
      </c>
      <c r="CL9" s="141" t="n">
        <v>45291</v>
      </c>
      <c r="CM9" s="141" t="n">
        <v>45292</v>
      </c>
      <c r="CN9" s="64" t="n">
        <v>27984605000</v>
      </c>
      <c r="CO9" s="64" t="n">
        <v>7169690000</v>
      </c>
      <c r="CP9" s="64" t="n">
        <v>6336995000</v>
      </c>
      <c r="CQ9" s="141" t="n">
        <v>45792</v>
      </c>
      <c r="CR9" s="141" t="n">
        <v>45797</v>
      </c>
      <c r="CS9" s="63" t="n">
        <v>224519800</v>
      </c>
      <c r="CT9" s="64" t="n">
        <v>24136428000</v>
      </c>
      <c r="CU9" s="64" t="n">
        <v>196288000</v>
      </c>
      <c r="CV9" s="59" t="inlineStr">
        <is>
          <t>Unqualified</t>
        </is>
      </c>
      <c r="CW9" s="64" t="n">
        <v>140400000</v>
      </c>
      <c r="CX9" s="51" t="inlineStr">
        <is>
          <t>GIC Private Limited; Invesco Advisers, Inc.; UBS Asset Management (Singapore) Ltd.; Cordial Solar Limited; HHLR CF, L.P.; Integrated Core Strategies (Asia) Pte. Ltd.; Oaktree Capital Management, L.P.</t>
        </is>
      </c>
      <c r="CY9" s="142" t="n">
        <v>0.4177</v>
      </c>
      <c r="CZ9" s="136" t="n">
        <v>45984</v>
      </c>
      <c r="DA9" s="143" t="n">
        <v>454.85</v>
      </c>
      <c r="DB9" s="63" t="n">
        <v>203874</v>
      </c>
      <c r="DC9" s="63" t="n">
        <v>5616759200</v>
      </c>
      <c r="DD9" s="59" t="inlineStr">
        <is>
          <t>Subscription level 454.85 times</t>
        </is>
      </c>
      <c r="DE9" s="141" t="n">
        <v>45798</v>
      </c>
      <c r="DF9" s="141" t="n">
        <v>45800</v>
      </c>
      <c r="DG9" s="63" t="n">
        <v>224519800</v>
      </c>
      <c r="DH9" s="63" t="n">
        <v>48271800</v>
      </c>
      <c r="DI9" s="63" t="n">
        <v>176248000</v>
      </c>
      <c r="DJ9" s="63" t="n">
        <v>33677800</v>
      </c>
      <c r="DK9" s="169" t="n">
        <v>1</v>
      </c>
      <c r="DL9" s="59" t="inlineStr">
        <is>
          <t>35,923,200 Offer Shares reallocated from the International Offering to the Hong Kong Public Offering (claw-back triggered: Yes); final number of Offer Shares under the Hong Kong Public Offering adjusted to 48,271,800, representing approximately 21.50% of the Global Offering (assuming the Over-allotment Option is not exercised).</t>
        </is>
      </c>
      <c r="DM9" s="144" t="n">
        <v>9747300000</v>
      </c>
      <c r="DN9" s="142" t="n">
        <v>0.034</v>
      </c>
      <c r="DO9" s="51" t="n">
        <v>6603522074</v>
      </c>
      <c r="DP9" s="142" t="n">
        <v>0.0198</v>
      </c>
      <c r="DQ9" s="59" t="inlineStr">
        <is>
          <t>Denominator = total number of issued Shares upon Listing before exercise of the Over-allotment Option, i.e. 6,603,522,074 Shares (H Shares plus A Shares/unlisted shares) - the same base used for the 3.4% public float statement.</t>
        </is>
      </c>
      <c r="DR9" s="63" t="n">
        <v>6603522074</v>
      </c>
      <c r="DS9" s="142" t="n">
        <v>0.14306656</v>
      </c>
      <c r="DT9" s="80" t="n">
        <v>11</v>
      </c>
      <c r="DU9" s="142" t="n">
        <v>0.0132976</v>
      </c>
      <c r="DV9" s="144" t="n">
        <v>173630000000</v>
      </c>
      <c r="DW9" s="145" t="n">
        <v>54.922</v>
      </c>
      <c r="DX9" s="169" t="n">
        <v>0.24681</v>
      </c>
      <c r="DY9" s="172" t="n">
        <v>2440979265.6</v>
      </c>
      <c r="DZ9" s="146" t="n">
        <v>56.772</v>
      </c>
      <c r="EA9" s="146" t="n">
        <v>60.272</v>
      </c>
      <c r="EB9" s="146" t="n">
        <v>54.922</v>
      </c>
      <c r="EC9" s="63" t="n">
        <v>82663811</v>
      </c>
      <c r="ED9" s="169" t="n">
        <v>0.36818</v>
      </c>
      <c r="EE9" s="64" t="n">
        <v>4733500810</v>
      </c>
      <c r="EF9" s="60" t="inlineStr">
        <is>
          <t>PN18 statutory clawback</t>
        </is>
      </c>
      <c r="EG9" s="59" t="inlineStr">
        <is>
          <t>FINI (from 22/11/2023)</t>
        </is>
      </c>
      <c r="EH9" t="inlineStr">
        <is>
          <t>江苏恒瑞医药股份有限公司</t>
        </is>
      </c>
      <c r="EI9" s="174" t="inlineStr">
        <is>
          <t>Active</t>
        </is>
      </c>
      <c r="EJ9" s="175" t="n">
        <v>56.672</v>
      </c>
      <c r="EK9" s="176" t="n">
        <v>0.031863</v>
      </c>
      <c r="EL9" s="176" t="n">
        <v>0.286538</v>
      </c>
      <c r="EM9" s="176" t="n">
        <v>-0.015403</v>
      </c>
      <c r="EN9" s="176" t="n">
        <v>-0.030218</v>
      </c>
      <c r="EO9" s="179" t="n">
        <v>1.048</v>
      </c>
      <c r="EP9" s="179" t="n">
        <v>1.064</v>
      </c>
      <c r="EQ9" s="178" t="n">
        <v>448713009.5</v>
      </c>
      <c r="ER9" s="175" t="n">
        <v>69.422</v>
      </c>
      <c r="ES9" s="176" t="n">
        <v>0.264011</v>
      </c>
      <c r="ET9" s="176" t="n">
        <v>0.575982</v>
      </c>
      <c r="EU9" s="176" t="n">
        <v>0.089624</v>
      </c>
      <c r="EV9" s="176" t="n">
        <v>0.056927</v>
      </c>
      <c r="EW9" s="179" t="n">
        <v>1.16</v>
      </c>
      <c r="EX9" s="179" t="n">
        <v>1.1959</v>
      </c>
      <c r="EY9" s="178" t="n">
        <v>349828156.5</v>
      </c>
      <c r="EZ9" s="176" t="n">
        <v>0.073905</v>
      </c>
      <c r="FA9" s="176" t="n"/>
      <c r="FB9" s="179" t="n"/>
      <c r="FC9" s="176" t="n"/>
      <c r="FD9" s="179" t="n"/>
      <c r="FE9" s="174" t="inlineStr">
        <is>
          <t>Standard</t>
        </is>
      </c>
      <c r="FF9" s="181" t="inlineStr">
        <is>
          <t>China International Capital Corporation / Sponsor-OC</t>
        </is>
      </c>
      <c r="FG9" s="185" t="inlineStr">
        <is>
          <t>2025-06-22</t>
        </is>
      </c>
      <c r="FH9" s="183" t="n">
        <v>0</v>
      </c>
      <c r="FI9" s="178" t="n">
        <v>0</v>
      </c>
      <c r="FJ9" s="176" t="n">
        <v>0.15</v>
      </c>
      <c r="FK9" s="185" t="inlineStr">
        <is>
          <t>2025-06-22</t>
        </is>
      </c>
      <c r="FL9" s="178" t="n">
        <v>0</v>
      </c>
      <c r="FM9" s="176" t="n">
        <v>0</v>
      </c>
      <c r="FN9" s="176" t="n">
        <v>-0.096167</v>
      </c>
      <c r="FO9" s="176" t="n">
        <v>0.287656</v>
      </c>
      <c r="FP9" s="176" t="n">
        <v>0.67298</v>
      </c>
      <c r="FQ9" s="176" t="n">
        <v>0.042788</v>
      </c>
      <c r="FR9" s="179" t="n">
        <v>1.044</v>
      </c>
      <c r="FS9" s="176" t="n">
        <v>0.031863</v>
      </c>
      <c r="FT9" s="179" t="n">
        <v>1.048</v>
      </c>
      <c r="FU9" s="176" t="n">
        <v>0.426059</v>
      </c>
      <c r="FV9" s="179" t="n">
        <v>1.3374</v>
      </c>
      <c r="FW9" s="179" t="n">
        <v>1.3503</v>
      </c>
      <c r="FX9" s="178" t="n">
        <v>401588193.65</v>
      </c>
      <c r="FY9" s="186" t="n">
        <v>8.684920634920635e-05</v>
      </c>
      <c r="FZ9" s="183" t="n">
        <v>0</v>
      </c>
      <c r="GA9" s="176" t="n">
        <v>0.04487622788759577</v>
      </c>
      <c r="GB9" s="176" t="n">
        <v>0.284821</v>
      </c>
      <c r="GC9" s="185" t="inlineStr">
        <is>
          <t>2025-11-23</t>
        </is>
      </c>
      <c r="GD9" s="185" t="inlineStr">
        <is>
          <t>2026-05-23</t>
        </is>
      </c>
      <c r="GE9" s="176" t="n">
        <v>0.041139</v>
      </c>
      <c r="GF9" s="176" t="n">
        <v>-0.062623</v>
      </c>
      <c r="GG9" s="179" t="n">
        <v>0.7687</v>
      </c>
      <c r="GH9" s="181" t="inlineStr">
        <is>
          <t>China International Capital Corporation / Sponsor-OC</t>
        </is>
      </c>
      <c r="GI9" s="183" t="n">
        <v>0</v>
      </c>
      <c r="GJ9" s="183" t="n">
        <v>0</v>
      </c>
      <c r="GK9" s="176" t="n">
        <v>0.025</v>
      </c>
      <c r="GL9" s="176" t="n">
        <v>0.01</v>
      </c>
      <c r="GM9" s="176" t="n">
        <v>0.035</v>
      </c>
      <c r="GN9" s="183" t="n">
        <v>4</v>
      </c>
      <c r="GO9" s="183" t="n">
        <v>0</v>
      </c>
      <c r="GP9" s="183" t="n">
        <v>0</v>
      </c>
      <c r="GQ9" s="183" t="n">
        <v>6</v>
      </c>
      <c r="GR9" s="183" t="n">
        <v>0</v>
      </c>
      <c r="GS9" s="181" t="inlineStr">
        <is>
          <t>POST_FINI</t>
        </is>
      </c>
      <c r="GT9" s="181" t="inlineStr">
        <is>
          <t>PRE_2025_REFORM</t>
        </is>
      </c>
    </row>
    <row r="10" ht="85" customFormat="1" customHeight="1" s="12">
      <c r="A10" s="43" t="n">
        <v>25</v>
      </c>
      <c r="B10" s="47" t="inlineStr">
        <is>
          <t>2629.HK</t>
        </is>
      </c>
      <c r="C10" s="44" t="inlineStr">
        <is>
          <t>Mirxes Holding Company Limited - B</t>
        </is>
      </c>
      <c r="D10" s="130" t="n">
        <v>45792</v>
      </c>
      <c r="E10" s="48" t="n">
        <v>45800</v>
      </c>
      <c r="F10" s="43" t="inlineStr">
        <is>
          <t>China International Capital Corporation
Hong Kong Securities Limited/
CCB International Capital Limited</t>
        </is>
      </c>
      <c r="G10" s="43" t="inlineStr">
        <is>
          <t>KPMG</t>
        </is>
      </c>
      <c r="H10" s="43" t="n"/>
      <c r="I10" s="131" t="n">
        <v>136857210</v>
      </c>
      <c r="J10" s="148" t="n">
        <v>949388790</v>
      </c>
      <c r="K10" s="133" t="n">
        <v>23.3</v>
      </c>
      <c r="L10" t="n">
        <v>276342331</v>
      </c>
      <c r="M10" s="67" t="n">
        <v>46620000</v>
      </c>
      <c r="N10" t="n">
        <v>229722331</v>
      </c>
      <c r="O10" t="n">
        <v>229722331</v>
      </c>
      <c r="P10" t="n">
        <v>0</v>
      </c>
      <c r="Q10" t="n">
        <v>46620000</v>
      </c>
      <c r="R10" s="67" t="n">
        <v>41958000</v>
      </c>
      <c r="S10" s="67" t="n">
        <v>4662000</v>
      </c>
      <c r="T10" s="147" t="n">
        <v>23.3</v>
      </c>
      <c r="U10" s="147" t="n">
        <v>23.3</v>
      </c>
      <c r="V10" s="169" t="n">
        <v>0</v>
      </c>
      <c r="W10" s="169" t="n">
        <v>0</v>
      </c>
      <c r="X10" s="170" t="inlineStr">
        <is>
          <t>Fixed price</t>
        </is>
      </c>
      <c r="Y10" s="26" t="inlineStr">
        <is>
          <t>USD</t>
        </is>
      </c>
      <c r="Z10" s="137" t="n">
        <v>119827390</v>
      </c>
      <c r="AA10" s="137" t="n">
        <v>107559851</v>
      </c>
      <c r="AB10" s="137" t="n">
        <v>71354352</v>
      </c>
      <c r="AC10" s="137" t="n">
        <v>-61761963</v>
      </c>
      <c r="AD10" s="137" t="n">
        <v>-131896580</v>
      </c>
      <c r="AE10" s="137" t="n">
        <v>-198240839</v>
      </c>
      <c r="AF10" s="137" t="n">
        <v>181589353</v>
      </c>
      <c r="AG10" s="137" t="n">
        <v>239456431</v>
      </c>
      <c r="AH10" s="137" t="n">
        <v>269595191</v>
      </c>
      <c r="AI10" s="137" t="n">
        <v>17758971</v>
      </c>
      <c r="AJ10" s="137" t="n">
        <v>24185013</v>
      </c>
      <c r="AK10" s="137" t="n">
        <v>20282675</v>
      </c>
      <c r="AL10" s="137" t="n">
        <v>-55779941</v>
      </c>
      <c r="AM10" s="137" t="n">
        <v>-69480984</v>
      </c>
      <c r="AN10" s="137" t="n">
        <v>-95641398</v>
      </c>
      <c r="AO10" s="137" t="n">
        <v>-56202744</v>
      </c>
      <c r="AP10" s="137" t="n">
        <v>-69569267</v>
      </c>
      <c r="AQ10" s="137" t="n">
        <v>-92214731</v>
      </c>
      <c r="AR10" s="142" t="n">
        <v>0.06320000000000001</v>
      </c>
      <c r="AS10" s="142" t="n">
        <v>0.06320000000000001</v>
      </c>
      <c r="AT10" s="84" t="inlineStr">
        <is>
          <t>NaN</t>
        </is>
      </c>
      <c r="AU10" s="51" t="inlineStr">
        <is>
          <t>miRNA-based molecular diagnostics for early cancer/disease screening</t>
        </is>
      </c>
      <c r="AV10" s="51" t="inlineStr">
        <is>
          <t>Chapter 18A of the Main Board Listing Rules (pre-revenue biotech)</t>
        </is>
      </c>
      <c r="AW10" s="136" t="n">
        <v>45657</v>
      </c>
      <c r="AX10" s="137" t="n">
        <v>-29761402</v>
      </c>
      <c r="AY10" s="117" t="n">
        <v>5073863</v>
      </c>
      <c r="AZ10" s="117" t="n">
        <v>19104411</v>
      </c>
      <c r="BA10" s="117" t="inlineStr">
        <is>
          <t>NaN</t>
        </is>
      </c>
      <c r="BB10" s="138" t="n">
        <v>0.545</v>
      </c>
      <c r="BC10" s="139" t="n">
        <v>1</v>
      </c>
      <c r="BD10" s="80" t="n">
        <v>1</v>
      </c>
      <c r="BE10" s="161" t="n">
        <v>1</v>
      </c>
      <c r="BF10" s="161" t="n">
        <v>1</v>
      </c>
      <c r="BG10" s="161" t="n">
        <v>1</v>
      </c>
      <c r="BH10" s="161" t="n">
        <v>1</v>
      </c>
      <c r="BI10" s="161" t="n">
        <v>1</v>
      </c>
      <c r="BJ10" s="162" t="inlineStr">
        <is>
          <t>Rock Springs Capital; Gaorong Capital; CR-CP Life Science Fund; Central Road Holdings Limited; EDB Investments Pte Ltd; Beijing Fupu; Mitsui &amp; Co., LTD; China Chengtong Investment Company Limited; Keytone Ventures; NHH Venture Fund</t>
        </is>
      </c>
      <c r="BK10" s="163" t="n">
        <v>0.349</v>
      </c>
      <c r="BL10" s="161" t="n">
        <v>0</v>
      </c>
      <c r="BM10" s="164" t="inlineStr">
        <is>
          <t>Series B Financing (2018)</t>
        </is>
      </c>
      <c r="BN10" s="165" t="n">
        <v>6.5</v>
      </c>
      <c r="BO10" s="51" t="inlineStr">
        <is>
          <t>No single controlling shareholder; largest beneficial holder is an individual (Mr. SUN Tongyu via Central Road Holdings Limited); no act-in-concert agreement among founders</t>
        </is>
      </c>
      <c r="BP10" s="135" t="n">
        <v>0.1831</v>
      </c>
      <c r="BQ10" s="135" t="n">
        <v>0.1831</v>
      </c>
      <c r="BR10" s="137" t="n">
        <v>32702225</v>
      </c>
      <c r="BS10" s="51" t="inlineStr">
        <is>
          <t>Commercialization stage (core product GASTROClear commercialized)</t>
        </is>
      </c>
      <c r="BT10" s="142" t="n">
        <v>0</v>
      </c>
      <c r="BU10" s="60" t="inlineStr">
        <is>
          <t>Main Board</t>
        </is>
      </c>
      <c r="BV10" s="89" t="inlineStr">
        <is>
          <t>Ordinary shares</t>
        </is>
      </c>
      <c r="BW10" s="61" t="n">
        <v>0</v>
      </c>
      <c r="BX10" s="77" t="n">
        <v>0</v>
      </c>
      <c r="BY10" s="77" t="n">
        <v>1</v>
      </c>
      <c r="BZ10" s="78" t="n">
        <v>0</v>
      </c>
      <c r="CA10" s="60" t="inlineStr">
        <is>
          <t>281020</t>
        </is>
      </c>
      <c r="CB10" s="76" t="inlineStr">
        <is>
          <t>HSICS (Hang Seng Industry Classification System) 2026</t>
        </is>
      </c>
      <c r="CC10" s="140" t="n">
        <v>44152</v>
      </c>
      <c r="CD10" s="171" t="n">
        <v>4.51</v>
      </c>
      <c r="CE10" s="76" t="inlineStr">
        <is>
          <t>Cayman Islands</t>
        </is>
      </c>
      <c r="CF10" s="89" t="inlineStr">
        <is>
          <t>1 Biopolis Drive, #02-02/03 Amnios, Singapore 138622</t>
        </is>
      </c>
      <c r="CG10" s="91" t="n">
        <v>1</v>
      </c>
      <c r="CH10" s="60" t="inlineStr">
        <is>
          <t>IFRS Accounting Standards</t>
        </is>
      </c>
      <c r="CI10" s="141" t="n">
        <v>44562</v>
      </c>
      <c r="CJ10" s="141" t="n">
        <v>44926</v>
      </c>
      <c r="CK10" s="141" t="n">
        <v>44927</v>
      </c>
      <c r="CL10" s="141" t="n">
        <v>45291</v>
      </c>
      <c r="CM10" s="141" t="n">
        <v>45292</v>
      </c>
      <c r="CN10" s="64" t="n">
        <v>20282675</v>
      </c>
      <c r="CO10" s="64" t="n">
        <v>-95641398</v>
      </c>
      <c r="CP10" s="64" t="n">
        <v>-92214731</v>
      </c>
      <c r="CQ10" s="141" t="n">
        <v>45792</v>
      </c>
      <c r="CR10" s="141" t="n">
        <v>45797</v>
      </c>
      <c r="CS10" s="63" t="n">
        <v>276342331</v>
      </c>
      <c r="CT10" s="64" t="n">
        <v>8887010</v>
      </c>
      <c r="CU10" s="64" t="n">
        <v>1796200</v>
      </c>
      <c r="CV10" s="59" t="inlineStr">
        <is>
          <t>Unqualified opinion (true and fair view)</t>
        </is>
      </c>
      <c r="CW10" s="64" t="n">
        <v>205800000</v>
      </c>
      <c r="CX10" s="51" t="inlineStr">
        <is>
          <t>Beijing Xunrui Enterprise Management Partnership (Limited Partnership); Evergreen Gate Limited</t>
        </is>
      </c>
      <c r="CY10" s="142" t="n">
        <v>0.4137</v>
      </c>
      <c r="CZ10" s="136" t="n">
        <v>45984</v>
      </c>
      <c r="DA10" s="143" t="n">
        <v>25.51</v>
      </c>
      <c r="DB10" s="63" t="n">
        <v>21541</v>
      </c>
      <c r="DC10" s="63" t="n">
        <v>118932600</v>
      </c>
      <c r="DD10" s="59" t="inlineStr">
        <is>
          <t>Subscription level 25.51 times</t>
        </is>
      </c>
      <c r="DE10" s="141" t="inlineStr">
        <is>
          <t>NA</t>
        </is>
      </c>
      <c r="DF10" s="141" t="n">
        <v>45799</v>
      </c>
      <c r="DG10" s="63" t="n">
        <v>46620000</v>
      </c>
      <c r="DH10" s="63" t="n">
        <v>5873700</v>
      </c>
      <c r="DI10" s="63" t="n">
        <v>40746300</v>
      </c>
      <c r="DJ10" s="63" t="n">
        <v>0</v>
      </c>
      <c r="DK10" s="169" t="n">
        <v>0</v>
      </c>
      <c r="DL10" s="59" t="inlineStr">
        <is>
          <t>Claw-back triggered No；国际配售认购不足、公开发售超额认购，按招股书回拨机制重新分配，公开发售最终 5,873,700 股（占全球发售 12.6%）</t>
        </is>
      </c>
      <c r="DM10" s="144" t="n">
        <v>880500000</v>
      </c>
      <c r="DN10" s="142" t="n">
        <v>0.4694</v>
      </c>
      <c r="DO10" s="51" t="n">
        <v>276342331</v>
      </c>
      <c r="DP10" s="142" t="n">
        <v>0.0989</v>
      </c>
      <c r="DQ10" s="59" t="inlineStr">
        <is>
          <t>分母为上市时已发行股份总数 276,342,331 股（Number of issued Shares upon Listing），含受禁售限制股份。</t>
        </is>
      </c>
      <c r="DR10" s="63" t="n">
        <v>276342331</v>
      </c>
      <c r="DS10" s="142" t="n">
        <v>0.14306656</v>
      </c>
      <c r="DT10" s="80" t="n">
        <v>11</v>
      </c>
      <c r="DU10" s="142" t="n">
        <v>0.0132976</v>
      </c>
      <c r="DV10" s="144" t="n">
        <v>173630000000</v>
      </c>
      <c r="DW10" s="145" t="n">
        <v>30</v>
      </c>
      <c r="DX10" s="169" t="n">
        <v>0.287554</v>
      </c>
      <c r="DY10" s="172" t="n">
        <v>312354000</v>
      </c>
      <c r="DZ10" s="146" t="n">
        <v>29</v>
      </c>
      <c r="EA10" s="146" t="n">
        <v>31.95</v>
      </c>
      <c r="EB10" s="146" t="n">
        <v>29</v>
      </c>
      <c r="EC10" s="63" t="n">
        <v>9178741</v>
      </c>
      <c r="ED10" s="169" t="n">
        <v>0.196884</v>
      </c>
      <c r="EE10" s="64" t="n">
        <v>274942900</v>
      </c>
      <c r="EF10" s="60" t="inlineStr">
        <is>
          <t>PN18 statutory clawback</t>
        </is>
      </c>
      <c r="EG10" s="59" t="inlineStr">
        <is>
          <t>FINI (from 22/11/2023)</t>
        </is>
      </c>
      <c r="EH10" t="inlineStr">
        <is>
          <t>NA</t>
        </is>
      </c>
      <c r="EI10" s="174" t="inlineStr">
        <is>
          <t>No recent trading (verify status)</t>
        </is>
      </c>
      <c r="EJ10" s="175" t="n">
        <v>34.4</v>
      </c>
      <c r="EK10" s="176" t="n">
        <v>0.146667</v>
      </c>
      <c r="EL10" s="176" t="n">
        <v>0.476395</v>
      </c>
      <c r="EM10" s="176" t="n">
        <v>-0.015403</v>
      </c>
      <c r="EN10" s="176" t="n">
        <v>-0.030218</v>
      </c>
      <c r="EO10" s="179" t="n">
        <v>1.1646</v>
      </c>
      <c r="EP10" s="179" t="n">
        <v>1.1824</v>
      </c>
      <c r="EQ10" s="178" t="n">
        <v>66958945</v>
      </c>
      <c r="ER10" s="175" t="n">
        <v>53.85</v>
      </c>
      <c r="ES10" s="176" t="n">
        <v>0.795</v>
      </c>
      <c r="ET10" s="176" t="n">
        <v>1.311159</v>
      </c>
      <c r="EU10" s="176" t="n">
        <v>0.089624</v>
      </c>
      <c r="EV10" s="176" t="n">
        <v>0.056927</v>
      </c>
      <c r="EW10" s="179" t="n">
        <v>1.6474</v>
      </c>
      <c r="EX10" s="179" t="n">
        <v>1.6983</v>
      </c>
      <c r="EY10" s="178" t="n">
        <v>48243055</v>
      </c>
      <c r="EZ10" s="176" t="n">
        <v>0.175466</v>
      </c>
      <c r="FA10" s="176" t="n"/>
      <c r="FB10" s="179" t="n"/>
      <c r="FC10" s="176" t="n"/>
      <c r="FD10" s="179" t="n"/>
      <c r="FE10" s="174" t="inlineStr">
        <is>
          <t>18A (Biotech / B-tag)</t>
        </is>
      </c>
      <c r="FF10" s="181" t="inlineStr">
        <is>
          <t>China International Capital Corporation / Sponsor-OC</t>
        </is>
      </c>
      <c r="FG10" s="185" t="inlineStr">
        <is>
          <t>2025-06-22</t>
        </is>
      </c>
      <c r="FH10" s="183" t="n">
        <v>0</v>
      </c>
      <c r="FI10" s="178" t="n">
        <v>0</v>
      </c>
      <c r="FJ10" s="176" t="n">
        <v>0.15</v>
      </c>
      <c r="FK10" s="185" t="inlineStr">
        <is>
          <t>2025-06-22</t>
        </is>
      </c>
      <c r="FL10" s="178" t="n">
        <v>0</v>
      </c>
      <c r="FM10" s="176" t="n">
        <v>0</v>
      </c>
      <c r="FN10" s="176" t="n">
        <v>0.173469</v>
      </c>
      <c r="FO10" s="176" t="n">
        <v>-0.053492</v>
      </c>
      <c r="FP10" s="176" t="n">
        <v>0.356854</v>
      </c>
      <c r="FQ10" s="176" t="n">
        <v>-0.01</v>
      </c>
      <c r="FR10" s="179" t="n">
        <v>0.9912</v>
      </c>
      <c r="FS10" s="176" t="n">
        <v>0.146667</v>
      </c>
      <c r="FT10" s="179" t="n">
        <v>1.1646</v>
      </c>
      <c r="FU10" s="176" t="n">
        <v>0.446667</v>
      </c>
      <c r="FV10" s="179" t="n">
        <v>1.3567</v>
      </c>
      <c r="FW10" s="179" t="n">
        <v>1.3698</v>
      </c>
      <c r="FX10" s="178" t="n">
        <v>34887228.57</v>
      </c>
      <c r="FY10" s="186" t="n">
        <v>0.0009516587301587302</v>
      </c>
      <c r="FZ10" s="183" t="n">
        <v>0</v>
      </c>
      <c r="GA10" s="176" t="n">
        <v>0.06059721951985313</v>
      </c>
      <c r="GB10" s="176" t="n">
        <v>0.34282</v>
      </c>
      <c r="GC10" s="185" t="inlineStr">
        <is>
          <t>2025-11-23</t>
        </is>
      </c>
      <c r="GD10" s="185" t="inlineStr">
        <is>
          <t>2026-05-23</t>
        </is>
      </c>
      <c r="GE10" s="176" t="n">
        <v>-0.07188799999999999</v>
      </c>
      <c r="GF10" s="176" t="n">
        <v>-0.271725</v>
      </c>
      <c r="GG10" s="179" t="n">
        <v>0.8508</v>
      </c>
      <c r="GH10" s="181" t="inlineStr">
        <is>
          <t>China International Capital Corporation / Sponsor-OC</t>
        </is>
      </c>
      <c r="GI10" s="183" t="n">
        <v>0</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PRE_2025_REFORM</t>
        </is>
      </c>
    </row>
    <row r="11" ht="68" customFormat="1" customHeight="1" s="12">
      <c r="A11" s="43" t="n">
        <v>27</v>
      </c>
      <c r="B11" s="47" t="inlineStr">
        <is>
          <t>2565.HK</t>
        </is>
      </c>
      <c r="C11" s="44" t="inlineStr">
        <is>
          <t>PegBio Co., Ltd. - B - H shares</t>
        </is>
      </c>
      <c r="D11" s="130" t="n">
        <v>45796</v>
      </c>
      <c r="E11" s="48" t="n">
        <v>45804</v>
      </c>
      <c r="F11" s="43" t="inlineStr">
        <is>
          <t>China International Capital Corporation
Hong Kong Securities Limited</t>
        </is>
      </c>
      <c r="G11" s="43" t="inlineStr">
        <is>
          <t>KPMG</t>
        </is>
      </c>
      <c r="H11" s="43" t="n"/>
      <c r="I11" s="131" t="n">
        <v>150415200</v>
      </c>
      <c r="J11" s="148" t="n">
        <v>150407400</v>
      </c>
      <c r="K11" s="133" t="n">
        <v>15.6</v>
      </c>
      <c r="L11" t="n">
        <v>385955532</v>
      </c>
      <c r="M11" s="67" t="n">
        <v>19283500</v>
      </c>
      <c r="N11" t="n">
        <v>366672032</v>
      </c>
      <c r="O11" t="n">
        <v>366672032</v>
      </c>
      <c r="P11" t="n">
        <v>0</v>
      </c>
      <c r="Q11" t="n">
        <v>19283500</v>
      </c>
      <c r="R11" s="67" t="n">
        <v>17355000</v>
      </c>
      <c r="S11" s="67" t="n">
        <v>1928500</v>
      </c>
      <c r="T11" s="147" t="n">
        <v>15.6</v>
      </c>
      <c r="U11" s="147" t="n">
        <v>15.6</v>
      </c>
      <c r="V11" s="169" t="n">
        <v>0</v>
      </c>
      <c r="W11" s="169" t="n">
        <v>0</v>
      </c>
      <c r="X11" s="170" t="inlineStr">
        <is>
          <t>Fixed price</t>
        </is>
      </c>
      <c r="Y11" s="26" t="inlineStr">
        <is>
          <t>RMB</t>
        </is>
      </c>
      <c r="Z11" s="137" t="inlineStr">
        <is>
          <t>NaN</t>
        </is>
      </c>
      <c r="AA11" s="137" t="n">
        <v>368053000</v>
      </c>
      <c r="AB11" s="137" t="n">
        <v>218357000</v>
      </c>
      <c r="AC11" s="137" t="n">
        <v>305621000</v>
      </c>
      <c r="AD11" s="137" t="n">
        <v>195353000</v>
      </c>
      <c r="AE11" s="137" t="n">
        <v>57470000</v>
      </c>
      <c r="AF11" s="137" t="inlineStr">
        <is>
          <t>NaN</t>
        </is>
      </c>
      <c r="AG11" s="137" t="n">
        <v>172700000</v>
      </c>
      <c r="AH11" s="137" t="n">
        <v>160887000</v>
      </c>
      <c r="AI11" s="137" t="n">
        <v>0</v>
      </c>
      <c r="AJ11" s="137" t="n">
        <v>0</v>
      </c>
      <c r="AK11" s="137" t="n">
        <v>0</v>
      </c>
      <c r="AL11" s="137" t="inlineStr">
        <is>
          <t>NaN</t>
        </is>
      </c>
      <c r="AM11" s="137" t="n">
        <v>-279181000</v>
      </c>
      <c r="AN11" s="137" t="n">
        <v>-283351000</v>
      </c>
      <c r="AO11" s="137" t="inlineStr">
        <is>
          <t>NaN</t>
        </is>
      </c>
      <c r="AP11" s="137" t="n">
        <v>-279181000</v>
      </c>
      <c r="AQ11" s="137" t="n">
        <v>-283351000</v>
      </c>
      <c r="AR11" s="142" t="n">
        <v>0.05</v>
      </c>
      <c r="AS11" s="142" t="n">
        <v>0.05</v>
      </c>
      <c r="AT11" s="84" t="n">
        <v>0</v>
      </c>
      <c r="AU11" s="51" t="inlineStr">
        <is>
          <t>Biotechnology company focused on in-house discovery and development of innovative therapies (peptide and small molecule drugs) for chronic and metabolic diseases</t>
        </is>
      </c>
      <c r="AV11" s="51" t="inlineStr">
        <is>
          <t>Chapter 18A of the Listing Rules (pre-revenue biotech company)</t>
        </is>
      </c>
      <c r="AW11" s="136" t="n">
        <v>45657</v>
      </c>
      <c r="AX11" s="137" t="n">
        <v>-183442000</v>
      </c>
      <c r="AY11" s="117" t="n">
        <v>28392000</v>
      </c>
      <c r="AZ11" s="117" t="n">
        <v>95427000</v>
      </c>
      <c r="BA11" s="117" t="n">
        <v>0</v>
      </c>
      <c r="BB11" s="138" t="inlineStr">
        <is>
          <t>NaN</t>
        </is>
      </c>
      <c r="BC11" s="139" t="n">
        <v>1</v>
      </c>
      <c r="BD11" s="80" t="n">
        <v>1</v>
      </c>
      <c r="BE11" s="161" t="n">
        <v>1</v>
      </c>
      <c r="BF11" s="161" t="n">
        <v>1</v>
      </c>
      <c r="BG11" s="161" t="n">
        <v>1</v>
      </c>
      <c r="BH11" s="161" t="n">
        <v>1</v>
      </c>
      <c r="BI11" s="161" t="n">
        <v>1</v>
      </c>
      <c r="BJ11" s="162" t="inlineStr">
        <is>
          <t>Mingly; YuanBio Venture Capital; Tigermed; Yingke PE; Qianhai; True Wing; Nice Credit; Kaifeng VC; TSL HK; Shanghai Yaocui; Zhongxin Huiyuan; Share Link; SIP Investment Fund; Beijing Agile</t>
        </is>
      </c>
      <c r="BK11" s="163" t="n">
        <v>0.6899999999999999</v>
      </c>
      <c r="BL11" s="161" t="n">
        <v>1</v>
      </c>
      <c r="BM11" s="164" t="inlineStr">
        <is>
          <t>Series A1</t>
        </is>
      </c>
      <c r="BN11" s="165" t="n">
        <v>17.2</v>
      </c>
      <c r="BO11" s="51" t="inlineStr">
        <is>
          <t>Individuals acting in concert (Single Largest Group of Shareholders): Dr. Michael Min XU, Shanghai Sujie, Dr. Yuhong XU, Dr. Xiangjun ZHOU</t>
        </is>
      </c>
      <c r="BP11" s="135" t="n">
        <v>0.26</v>
      </c>
      <c r="BQ11" s="135" t="n">
        <v>0.26</v>
      </c>
      <c r="BR11" s="137" t="n">
        <v>101493000</v>
      </c>
      <c r="BS11" s="51" t="inlineStr">
        <is>
          <t>Near-commercialized / NDA stage: NDA for Core Product PB-119 accepted by NMPA in September 2023, pre-commercialization</t>
        </is>
      </c>
      <c r="BT11" s="142" t="n">
        <v>0</v>
      </c>
      <c r="BU11" s="60" t="inlineStr">
        <is>
          <t>Main Board</t>
        </is>
      </c>
      <c r="BV11" s="89" t="inlineStr">
        <is>
          <t>H Shares and Unlisted Shares (ordinary shares); H Shares listed</t>
        </is>
      </c>
      <c r="BW11" s="61" t="n">
        <v>0</v>
      </c>
      <c r="BX11" s="77" t="n">
        <v>0</v>
      </c>
      <c r="BY11" s="77" t="n">
        <v>1</v>
      </c>
      <c r="BZ11" s="78" t="n">
        <v>0</v>
      </c>
      <c r="CA11" s="60" t="inlineStr">
        <is>
          <t>281020</t>
        </is>
      </c>
      <c r="CB11" s="76" t="inlineStr">
        <is>
          <t>HSICS (Hang Seng Industry Classification System) 2026</t>
        </is>
      </c>
      <c r="CC11" s="140" t="n">
        <v>39581</v>
      </c>
      <c r="CD11" s="171" t="n">
        <v>17.04</v>
      </c>
      <c r="CE11" s="76" t="inlineStr">
        <is>
          <t>PRC</t>
        </is>
      </c>
      <c r="CF11" s="89" t="inlineStr">
        <is>
          <t>Room 606, Building 1, Haozhang Tower, Gongshu District, Hangzhou, Zhejiang Province, the PRC</t>
        </is>
      </c>
      <c r="CG11" s="91" t="n">
        <v>1000000</v>
      </c>
      <c r="CH11" s="60" t="inlineStr">
        <is>
          <t>HKFRS</t>
        </is>
      </c>
      <c r="CI11" s="141" t="n">
        <v>44562</v>
      </c>
      <c r="CJ11" s="141" t="n">
        <v>44926</v>
      </c>
      <c r="CK11" s="141" t="n">
        <v>44927</v>
      </c>
      <c r="CL11" s="141" t="n">
        <v>45291</v>
      </c>
      <c r="CM11" s="141" t="n">
        <v>45292</v>
      </c>
      <c r="CN11" s="64" t="n">
        <v>0</v>
      </c>
      <c r="CO11" s="64" t="n">
        <v>-283351000</v>
      </c>
      <c r="CP11" s="64" t="n">
        <v>-283351000</v>
      </c>
      <c r="CQ11" s="141" t="n">
        <v>45796</v>
      </c>
      <c r="CR11" s="141" t="n">
        <v>45799</v>
      </c>
      <c r="CS11" s="63" t="n">
        <v>279164339</v>
      </c>
      <c r="CT11" s="64" t="inlineStr">
        <is>
          <t>NaN</t>
        </is>
      </c>
      <c r="CU11" s="64" t="n">
        <v>876000</v>
      </c>
      <c r="CV11" s="59" t="inlineStr">
        <is>
          <t>Unqualified opinion (true and fair view)</t>
        </is>
      </c>
      <c r="CW11" s="64" t="n">
        <v>69100000</v>
      </c>
      <c r="CX11" s="51" t="inlineStr">
        <is>
          <t>益泽康瑞医药(香港)有限公司 (Hangzhou Gongshu Yizekangrui Medical (HK) Limited)</t>
        </is>
      </c>
      <c r="CY11" s="142" t="n">
        <v>0.497</v>
      </c>
      <c r="CZ11" s="136" t="n">
        <v>45988</v>
      </c>
      <c r="DA11" s="143" t="n">
        <v>743.78</v>
      </c>
      <c r="DB11" s="63" t="n">
        <v>49627</v>
      </c>
      <c r="DC11" s="63" t="n">
        <v>1434376000</v>
      </c>
      <c r="DD11" s="59" t="inlineStr">
        <is>
          <t>Subscription level 743.78 times</t>
        </is>
      </c>
      <c r="DE11" s="141" t="inlineStr">
        <is>
          <t>NA</t>
        </is>
      </c>
      <c r="DF11" s="141" t="n">
        <v>45803</v>
      </c>
      <c r="DG11" s="63" t="n">
        <v>19283500</v>
      </c>
      <c r="DH11" s="63" t="n">
        <v>9642000</v>
      </c>
      <c r="DI11" s="63" t="n">
        <v>9641500</v>
      </c>
      <c r="DJ11" s="63" t="n">
        <v>0</v>
      </c>
      <c r="DK11" s="169" t="n">
        <v>0</v>
      </c>
      <c r="DL11" s="59" t="inlineStr">
        <is>
          <t>由国际发售回拨7,713,500股至香港公开发售；公开发售由1,928,500股增至9,642,000股，约占全球发售50%</t>
        </is>
      </c>
      <c r="DM11" s="144" t="n">
        <v>231800000</v>
      </c>
      <c r="DN11" s="142" t="n">
        <v>0.5659</v>
      </c>
      <c r="DO11" s="51" t="n">
        <v>385955532</v>
      </c>
      <c r="DP11" s="142" t="n">
        <v>0.0251</v>
      </c>
      <c r="DQ11" s="59" t="inlineStr">
        <is>
          <t>分母为上市时已发行股份总数385,955,532股；公众持股为218,395,213股H股，占56.59%</t>
        </is>
      </c>
      <c r="DR11" s="63" t="n">
        <v>385955532</v>
      </c>
      <c r="DS11" s="142" t="n">
        <v>0.09000397</v>
      </c>
      <c r="DT11" s="80" t="n">
        <v>12</v>
      </c>
      <c r="DU11" s="142" t="n">
        <v>0.0129798</v>
      </c>
      <c r="DV11" s="144" t="n">
        <v>173630000000</v>
      </c>
      <c r="DW11" s="145" t="n">
        <v>11.56</v>
      </c>
      <c r="DX11" s="169" t="n">
        <v>-0.258974</v>
      </c>
      <c r="DY11" s="172" t="n">
        <v>-77905340</v>
      </c>
      <c r="DZ11" s="146" t="n">
        <v>13</v>
      </c>
      <c r="EA11" s="146" t="n">
        <v>13.5</v>
      </c>
      <c r="EB11" s="146" t="n">
        <v>11.22</v>
      </c>
      <c r="EC11" s="63" t="n">
        <v>11264800</v>
      </c>
      <c r="ED11" s="169" t="n">
        <v>0.584168</v>
      </c>
      <c r="EE11" s="64" t="n">
        <v>150891100</v>
      </c>
      <c r="EF11" s="60" t="inlineStr">
        <is>
          <t>PN18 statutory clawback</t>
        </is>
      </c>
      <c r="EG11" s="59" t="inlineStr">
        <is>
          <t>FINI (from 22/11/2023)</t>
        </is>
      </c>
      <c r="EH11" t="inlineStr">
        <is>
          <t>派格生物医药(杭州)股份有限公司</t>
        </is>
      </c>
      <c r="EI11" s="174" t="inlineStr">
        <is>
          <t>Active</t>
        </is>
      </c>
      <c r="EJ11" s="175" t="n">
        <v>9</v>
      </c>
      <c r="EK11" s="176" t="n">
        <v>-0.221453</v>
      </c>
      <c r="EL11" s="176" t="n">
        <v>-0.423077</v>
      </c>
      <c r="EM11" s="176" t="n">
        <v>0.013136</v>
      </c>
      <c r="EN11" s="176" t="n">
        <v>0.000851</v>
      </c>
      <c r="EO11" s="179" t="n">
        <v>0.7685</v>
      </c>
      <c r="EP11" s="179" t="n">
        <v>0.7779</v>
      </c>
      <c r="EQ11" s="178" t="n">
        <v>13217445</v>
      </c>
      <c r="ER11" s="175" t="n">
        <v>70</v>
      </c>
      <c r="ES11" s="176" t="n">
        <v>5.055363</v>
      </c>
      <c r="ET11" s="176" t="n">
        <v>3.487179</v>
      </c>
      <c r="EU11" s="176" t="n">
        <v>0.109654</v>
      </c>
      <c r="EV11" s="176" t="n">
        <v>0.080162</v>
      </c>
      <c r="EW11" s="179" t="n">
        <v>5.457</v>
      </c>
      <c r="EX11" s="179" t="n">
        <v>5.606</v>
      </c>
      <c r="EY11" s="178" t="n">
        <v>27920060</v>
      </c>
      <c r="EZ11" s="176" t="n">
        <v>0.185035</v>
      </c>
      <c r="FA11" s="176" t="n"/>
      <c r="FB11" s="179" t="n"/>
      <c r="FC11" s="176" t="n"/>
      <c r="FD11" s="179" t="n"/>
      <c r="FE11" s="174" t="inlineStr">
        <is>
          <t>18A (Biotech / B-tag)</t>
        </is>
      </c>
      <c r="FF11" s="181" t="inlineStr">
        <is>
          <t>China International Capital Corporation / Sponsor-OC</t>
        </is>
      </c>
      <c r="FG11" s="185" t="inlineStr">
        <is>
          <t>2025-06-26</t>
        </is>
      </c>
      <c r="FH11" s="183" t="n">
        <v>0</v>
      </c>
      <c r="FI11" s="178" t="n">
        <v>0</v>
      </c>
      <c r="FJ11" s="176" t="n">
        <v>0.15</v>
      </c>
      <c r="FK11" s="185" t="inlineStr">
        <is>
          <t>2025-06-26</t>
        </is>
      </c>
      <c r="FL11" s="178" t="n">
        <v>0</v>
      </c>
      <c r="FM11" s="176" t="n">
        <v>0</v>
      </c>
      <c r="FN11" s="176" t="n">
        <v>0.24115</v>
      </c>
      <c r="FO11" s="176" t="n">
        <v>0.713326</v>
      </c>
      <c r="FP11" s="176" t="n">
        <v>0.727294</v>
      </c>
      <c r="FQ11" s="176" t="n">
        <v>-0.16263</v>
      </c>
      <c r="FR11" s="179" t="n">
        <v>0.8455</v>
      </c>
      <c r="FS11" s="176" t="n">
        <v>-0.221453</v>
      </c>
      <c r="FT11" s="179" t="n">
        <v>0.7685</v>
      </c>
      <c r="FU11" s="176" t="n">
        <v>1.891003</v>
      </c>
      <c r="FV11" s="179" t="n">
        <v>2.6677</v>
      </c>
      <c r="FW11" s="179" t="n">
        <v>2.6529</v>
      </c>
      <c r="FX11" s="178" t="n">
        <v>12006550.79</v>
      </c>
      <c r="FY11" s="186" t="n">
        <v>0.003478428571428572</v>
      </c>
      <c r="FZ11" s="183" t="n">
        <v>0</v>
      </c>
      <c r="GA11" s="176" t="n">
        <v>0.06059093129596001</v>
      </c>
      <c r="GB11" s="176" t="n">
        <v>0.338519</v>
      </c>
      <c r="GC11" s="185" t="inlineStr">
        <is>
          <t>2025-11-27</t>
        </is>
      </c>
      <c r="GD11" s="185" t="inlineStr">
        <is>
          <t>2026-05-27</t>
        </is>
      </c>
      <c r="GE11" s="176" t="n">
        <v>0.03675</v>
      </c>
      <c r="GF11" s="176" t="n">
        <v>0.306919</v>
      </c>
      <c r="GG11" s="179" t="n">
        <v>0.8778</v>
      </c>
      <c r="GH11" s="181" t="inlineStr">
        <is>
          <t>China International Capital Corporation / Sponsor-OC</t>
        </is>
      </c>
      <c r="GI11" s="183" t="n">
        <v>0</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PRE_2025_REFORM</t>
        </is>
      </c>
    </row>
    <row r="12" ht="68" customFormat="1" customHeight="1" s="12">
      <c r="A12" s="43" t="n">
        <v>28</v>
      </c>
      <c r="B12" s="47" t="inlineStr">
        <is>
          <t>2603.HK</t>
        </is>
      </c>
      <c r="C12" s="44" t="inlineStr">
        <is>
          <t>Xiamen Jihong Co., Ltd - H shares</t>
        </is>
      </c>
      <c r="D12" s="130" t="n">
        <v>45796</v>
      </c>
      <c r="E12" s="48" t="n">
        <v>45804</v>
      </c>
      <c r="F12" s="43" t="inlineStr">
        <is>
          <t>China International Capital Corporation
Hong Kong Securities Limited/
CMB International Capital Limited</t>
        </is>
      </c>
      <c r="G12" s="43" t="inlineStr">
        <is>
          <t>Ernst &amp; Young</t>
        </is>
      </c>
      <c r="H12" s="43" t="n"/>
      <c r="I12" s="131" t="n">
        <v>156464640</v>
      </c>
      <c r="J12" s="148" t="n">
        <v>365084160</v>
      </c>
      <c r="K12" s="133" t="n">
        <v>7.68</v>
      </c>
      <c r="L12" t="n">
        <v>452679288</v>
      </c>
      <c r="M12" s="67" t="n">
        <v>67910000</v>
      </c>
      <c r="N12" t="n">
        <v>384769288</v>
      </c>
      <c r="O12" t="n">
        <v>384769288</v>
      </c>
      <c r="P12" t="n">
        <v>0</v>
      </c>
      <c r="Q12" t="n">
        <v>67910000</v>
      </c>
      <c r="R12" s="67" t="n">
        <v>61119000</v>
      </c>
      <c r="S12" s="67" t="n">
        <v>6791000</v>
      </c>
      <c r="T12" s="147" t="n">
        <v>10.68</v>
      </c>
      <c r="U12" s="147" t="n">
        <v>7.48</v>
      </c>
      <c r="V12" s="169" t="n">
        <v>-0.154185</v>
      </c>
      <c r="W12" s="169" t="n">
        <v>0.352423</v>
      </c>
      <c r="X12" s="170" t="inlineStr">
        <is>
          <t>Within range</t>
        </is>
      </c>
      <c r="Y12" s="26" t="inlineStr">
        <is>
          <t>RMB</t>
        </is>
      </c>
      <c r="Z12" s="137" t="n">
        <v>3242386000</v>
      </c>
      <c r="AA12" s="137" t="n">
        <v>3586576000</v>
      </c>
      <c r="AB12" s="137" t="n">
        <v>3503094000</v>
      </c>
      <c r="AC12" s="137" t="n">
        <v>2137165000</v>
      </c>
      <c r="AD12" s="137" t="n">
        <v>2312854000</v>
      </c>
      <c r="AE12" s="137" t="n">
        <v>2208515000</v>
      </c>
      <c r="AF12" s="137" t="n">
        <v>1105221000</v>
      </c>
      <c r="AG12" s="137" t="n">
        <v>1273722000</v>
      </c>
      <c r="AH12" s="137" t="n">
        <v>1294579000</v>
      </c>
      <c r="AI12" s="137" t="n">
        <v>5375884000</v>
      </c>
      <c r="AJ12" s="137" t="n">
        <v>6694681000</v>
      </c>
      <c r="AK12" s="137" t="n">
        <v>5529259000</v>
      </c>
      <c r="AL12" s="137" t="n">
        <v>213890000</v>
      </c>
      <c r="AM12" s="137" t="n">
        <v>386466000</v>
      </c>
      <c r="AN12" s="137" t="n">
        <v>218140000</v>
      </c>
      <c r="AO12" s="137" t="n">
        <v>171579000</v>
      </c>
      <c r="AP12" s="137" t="n">
        <v>332122000</v>
      </c>
      <c r="AQ12" s="137" t="n">
        <v>184450000</v>
      </c>
      <c r="AR12" s="142" t="n">
        <v>0.028</v>
      </c>
      <c r="AS12" s="142" t="n">
        <v>0.028</v>
      </c>
      <c r="AT12" s="84" t="inlineStr">
        <is>
          <t>NaN</t>
        </is>
      </c>
      <c r="AU12" s="51" t="inlineStr">
        <is>
          <t>Cross-border social e-commerce and FMCG paper packaging</t>
        </is>
      </c>
      <c r="AV12" s="51" t="inlineStr">
        <is>
          <t>A+H share listing on the Main Board of the Stock Exchange (PRC joint stock company already listed on the SZSE main board)</t>
        </is>
      </c>
      <c r="AW12" s="136" t="n">
        <v>45657</v>
      </c>
      <c r="AX12" s="137" t="n">
        <v>386678000</v>
      </c>
      <c r="AY12" s="117" t="n">
        <v>711062000</v>
      </c>
      <c r="AZ12" s="117" t="n">
        <v>124429000</v>
      </c>
      <c r="BA12" s="117" t="n">
        <v>0</v>
      </c>
      <c r="BB12" s="138" t="n">
        <v>0.272</v>
      </c>
      <c r="BC12" s="139" t="n">
        <v>1</v>
      </c>
      <c r="BD12" s="80" t="inlineStr">
        <is>
          <t>NaN</t>
        </is>
      </c>
      <c r="BE12" s="161" t="inlineStr">
        <is>
          <t>NaN</t>
        </is>
      </c>
      <c r="BF12" s="161" t="inlineStr">
        <is>
          <t>NaN</t>
        </is>
      </c>
      <c r="BG12" s="161" t="inlineStr">
        <is>
          <t>NaN</t>
        </is>
      </c>
      <c r="BH12" s="161" t="inlineStr">
        <is>
          <t>NaN</t>
        </is>
      </c>
      <c r="BI12" s="161" t="inlineStr">
        <is>
          <t>NaN</t>
        </is>
      </c>
      <c r="BJ12" s="162" t="inlineStr">
        <is>
          <t>NA</t>
        </is>
      </c>
      <c r="BK12" s="163" t="inlineStr">
        <is>
          <t>NaN</t>
        </is>
      </c>
      <c r="BL12" s="161" t="inlineStr">
        <is>
          <t>NaN</t>
        </is>
      </c>
      <c r="BM12" s="164" t="inlineStr">
        <is>
          <t>NA</t>
        </is>
      </c>
      <c r="BN12" s="165" t="inlineStr">
        <is>
          <t>NaN</t>
        </is>
      </c>
      <c r="BO12" s="51" t="inlineStr">
        <is>
          <t>Individual (natural persons acting in concert)</t>
        </is>
      </c>
      <c r="BP12" s="135" t="n">
        <v>0.273</v>
      </c>
      <c r="BQ12" s="135" t="n">
        <v>0.273</v>
      </c>
      <c r="BR12" s="137" t="n">
        <v>332336000</v>
      </c>
      <c r="BS12" s="51" t="inlineStr">
        <is>
          <t>NA</t>
        </is>
      </c>
      <c r="BT12" s="142" t="n">
        <v>0</v>
      </c>
      <c r="BU12" s="60" t="inlineStr">
        <is>
          <t>Main Board</t>
        </is>
      </c>
      <c r="BV12" s="89" t="inlineStr">
        <is>
          <t>A Shares and H Shares</t>
        </is>
      </c>
      <c r="BW12" s="61" t="n">
        <v>1</v>
      </c>
      <c r="BX12" s="77" t="n">
        <v>0</v>
      </c>
      <c r="BY12" s="77" t="n">
        <v>0</v>
      </c>
      <c r="BZ12" s="78" t="n">
        <v>0</v>
      </c>
      <c r="CA12" s="60" t="inlineStr">
        <is>
          <t>237060</t>
        </is>
      </c>
      <c r="CB12" s="76" t="inlineStr">
        <is>
          <t>HSICS (Hang Seng Industry Classification System) 2026</t>
        </is>
      </c>
      <c r="CC12" s="140" t="n">
        <v>37979</v>
      </c>
      <c r="CD12" s="171" t="n">
        <v>21.42</v>
      </c>
      <c r="CE12" s="76" t="inlineStr">
        <is>
          <t>PRC</t>
        </is>
      </c>
      <c r="CF12" s="89" t="inlineStr">
        <is>
          <t>No. 9 Putou Road, Dongfu Industry Park II, Haicang District, Xiamen, Fujian Province, PRC</t>
        </is>
      </c>
      <c r="CG12" s="91" t="n">
        <v>1000</v>
      </c>
      <c r="CH12" s="60" t="inlineStr">
        <is>
          <t>IFRS</t>
        </is>
      </c>
      <c r="CI12" s="141" t="n">
        <v>44562</v>
      </c>
      <c r="CJ12" s="141" t="n">
        <v>44926</v>
      </c>
      <c r="CK12" s="141" t="n">
        <v>44927</v>
      </c>
      <c r="CL12" s="141" t="n">
        <v>45291</v>
      </c>
      <c r="CM12" s="141" t="n">
        <v>45292</v>
      </c>
      <c r="CN12" s="64" t="n">
        <v>5529259000</v>
      </c>
      <c r="CO12" s="64" t="n">
        <v>218140000</v>
      </c>
      <c r="CP12" s="64" t="n">
        <v>184450000</v>
      </c>
      <c r="CQ12" s="141" t="n">
        <v>45796</v>
      </c>
      <c r="CR12" s="141" t="n">
        <v>45799</v>
      </c>
      <c r="CS12" s="63" t="n">
        <v>67910000</v>
      </c>
      <c r="CT12" s="64" t="n">
        <v>2419315000</v>
      </c>
      <c r="CU12" s="64" t="n">
        <v>124600000</v>
      </c>
      <c r="CV12" s="59" t="inlineStr">
        <is>
          <t>Unqualified</t>
        </is>
      </c>
      <c r="CW12" s="64" t="n">
        <v>112800000</v>
      </c>
      <c r="CX12" s="51" t="inlineStr">
        <is>
          <t>Timber Kangaroo; Yulong International; Ms. Shen Zhenyu (沈臻宇)</t>
        </is>
      </c>
      <c r="CY12" s="142" t="n">
        <v>0.298</v>
      </c>
      <c r="CZ12" s="136" t="n">
        <v>45988</v>
      </c>
      <c r="DA12" s="143" t="n">
        <v>49.39</v>
      </c>
      <c r="DB12" s="63" t="n">
        <v>18521</v>
      </c>
      <c r="DC12" s="63" t="n">
        <v>335391500</v>
      </c>
      <c r="DD12" s="59" t="inlineStr">
        <is>
          <t>Subscription level 49.39 times</t>
        </is>
      </c>
      <c r="DE12" s="141" t="n">
        <v>45800</v>
      </c>
      <c r="DF12" s="141" t="n">
        <v>45803</v>
      </c>
      <c r="DG12" s="63" t="n">
        <v>67910000</v>
      </c>
      <c r="DH12" s="63" t="n">
        <v>20373000</v>
      </c>
      <c r="DI12" s="63" t="n">
        <v>47537000</v>
      </c>
      <c r="DJ12" s="63" t="n">
        <v>0</v>
      </c>
      <c r="DK12" s="169" t="n">
        <v>0</v>
      </c>
      <c r="DL12" s="59" t="inlineStr">
        <is>
          <t>公开发售超额认购超过15倍但少于50倍，触发回拨；由国际配售回拨 13,582,000 股（claw-back）至公开发售，公开发售由初始 6,791,000 股增至最终 20,373,000 股（占全球发售 30%），国际配售由 61,119,000 股降至 47,537,000 股（占 70%）。</t>
        </is>
      </c>
      <c r="DM12" s="144" t="n">
        <v>415200000</v>
      </c>
      <c r="DN12" s="142" t="n">
        <v>0.15</v>
      </c>
      <c r="DO12" s="51" t="n">
        <v>452679288</v>
      </c>
      <c r="DP12" s="142" t="n">
        <v>0.1053</v>
      </c>
      <c r="DQ12" s="59" t="inlineStr">
        <is>
          <t>分母为上市时已发行股份总数 452,679,288 股（Number of issued Shares upon Listing，含 A 股与 H 股全部类别）；公告以 H 股占已发行股本约 15% 表述公众持股，未剔除基石等受禁售股份，自由流通比例亦以该股数为分母。</t>
        </is>
      </c>
      <c r="DR12" s="63" t="n">
        <v>452679288</v>
      </c>
      <c r="DS12" s="142" t="n">
        <v>0.09000397</v>
      </c>
      <c r="DT12" s="80" t="n">
        <v>12</v>
      </c>
      <c r="DU12" s="142" t="n">
        <v>0.0129798</v>
      </c>
      <c r="DV12" s="144" t="n">
        <v>173630000000</v>
      </c>
      <c r="DW12" s="145" t="n">
        <v>10.277</v>
      </c>
      <c r="DX12" s="169" t="n">
        <v>0.338151</v>
      </c>
      <c r="DY12" s="172" t="n">
        <v>176362270</v>
      </c>
      <c r="DZ12" s="146" t="n">
        <v>10.597</v>
      </c>
      <c r="EA12" s="146" t="n">
        <v>12.057</v>
      </c>
      <c r="EB12" s="146" t="n">
        <v>9.797000000000001</v>
      </c>
      <c r="EC12" s="63" t="n">
        <v>56699500</v>
      </c>
      <c r="ED12" s="169" t="n">
        <v>0.834921</v>
      </c>
      <c r="EE12" s="64" t="n">
        <v>622543200</v>
      </c>
      <c r="EF12" s="60" t="inlineStr">
        <is>
          <t>PN18 statutory clawback</t>
        </is>
      </c>
      <c r="EG12" s="59" t="inlineStr">
        <is>
          <t>FINI (from 22/11/2023)</t>
        </is>
      </c>
      <c r="EH12" t="inlineStr">
        <is>
          <t>厦门吉宏科技股份有限公司</t>
        </is>
      </c>
      <c r="EI12" s="174" t="inlineStr">
        <is>
          <t>Active</t>
        </is>
      </c>
      <c r="EJ12" s="175" t="n">
        <v>9.957000000000001</v>
      </c>
      <c r="EK12" s="176" t="n">
        <v>-0.031137</v>
      </c>
      <c r="EL12" s="176" t="n">
        <v>0.296484</v>
      </c>
      <c r="EM12" s="176" t="n">
        <v>0.013136</v>
      </c>
      <c r="EN12" s="176" t="n">
        <v>0.000851</v>
      </c>
      <c r="EO12" s="179" t="n">
        <v>0.9563</v>
      </c>
      <c r="EP12" s="179" t="n">
        <v>0.968</v>
      </c>
      <c r="EQ12" s="178" t="n">
        <v>53859384</v>
      </c>
      <c r="ER12" s="175" t="n">
        <v>11.994</v>
      </c>
      <c r="ES12" s="176" t="n">
        <v>0.167072</v>
      </c>
      <c r="ET12" s="176" t="n">
        <v>0.561719</v>
      </c>
      <c r="EU12" s="176" t="n">
        <v>0.109654</v>
      </c>
      <c r="EV12" s="176" t="n">
        <v>0.080162</v>
      </c>
      <c r="EW12" s="179" t="n">
        <v>1.0517</v>
      </c>
      <c r="EX12" s="179" t="n">
        <v>1.0805</v>
      </c>
      <c r="EY12" s="178" t="n">
        <v>16728198</v>
      </c>
      <c r="EZ12" s="176" t="n">
        <v>0.026871</v>
      </c>
      <c r="FA12" s="176" t="n"/>
      <c r="FB12" s="179" t="n"/>
      <c r="FC12" s="176" t="n"/>
      <c r="FD12" s="179" t="n"/>
      <c r="FE12" s="174" t="inlineStr">
        <is>
          <t>Standard</t>
        </is>
      </c>
      <c r="FF12" s="181" t="inlineStr">
        <is>
          <t>China International Capital Corporation / Sponsor-OC</t>
        </is>
      </c>
      <c r="FG12" s="185" t="inlineStr">
        <is>
          <t>2025-06-26</t>
        </is>
      </c>
      <c r="FH12" s="183" t="n">
        <v>0</v>
      </c>
      <c r="FI12" s="178" t="n">
        <v>0</v>
      </c>
      <c r="FJ12" s="176" t="n">
        <v>0.15</v>
      </c>
      <c r="FK12" s="185" t="inlineStr">
        <is>
          <t>2025-06-26</t>
        </is>
      </c>
      <c r="FL12" s="178" t="n">
        <v>0</v>
      </c>
      <c r="FM12" s="176" t="n">
        <v>0</v>
      </c>
      <c r="FN12" s="176" t="n">
        <v>0.323692</v>
      </c>
      <c r="FO12" s="176" t="n">
        <v>0.458015</v>
      </c>
      <c r="FP12" s="176" t="n">
        <v>1.504674</v>
      </c>
      <c r="FQ12" s="176" t="n">
        <v>-0.038922</v>
      </c>
      <c r="FR12" s="179" t="n">
        <v>0.9704</v>
      </c>
      <c r="FS12" s="176" t="n">
        <v>-0.031137</v>
      </c>
      <c r="FT12" s="179" t="n">
        <v>0.9563</v>
      </c>
      <c r="FU12" s="176" t="n">
        <v>0.643184</v>
      </c>
      <c r="FV12" s="179" t="n">
        <v>1.5163</v>
      </c>
      <c r="FW12" s="179" t="n">
        <v>1.5079</v>
      </c>
      <c r="FX12" s="178" t="n">
        <v>61423821.27</v>
      </c>
      <c r="FY12" s="186" t="n">
        <v>0.001107174603174603</v>
      </c>
      <c r="FZ12" s="183" t="n">
        <v>0</v>
      </c>
      <c r="GA12" s="176" t="n">
        <v>0.04816425585165829</v>
      </c>
      <c r="GB12" s="176" t="n">
        <v>0.39771</v>
      </c>
      <c r="GC12" s="185" t="inlineStr">
        <is>
          <t>2025-11-27</t>
        </is>
      </c>
      <c r="GD12" s="185" t="inlineStr">
        <is>
          <t>2026-05-27</t>
        </is>
      </c>
      <c r="GE12" s="176" t="n">
        <v>-0.020988</v>
      </c>
      <c r="GF12" s="176" t="n">
        <v>-0.10493</v>
      </c>
      <c r="GG12" s="179" t="n">
        <v>2.5243</v>
      </c>
      <c r="GH12" s="181" t="inlineStr">
        <is>
          <t>China International Capital Corporation / Sponsor-OC</t>
        </is>
      </c>
      <c r="GI12" s="183" t="n">
        <v>0</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PRE_2025_REFORM</t>
        </is>
      </c>
    </row>
    <row r="13" ht="51" customFormat="1" customHeight="1" s="12">
      <c r="A13" s="43" t="n">
        <v>29</v>
      </c>
      <c r="B13" s="47" t="inlineStr">
        <is>
          <t>2621.HK</t>
        </is>
      </c>
      <c r="C13" s="44" t="inlineStr">
        <is>
          <t>Shouhui Group Ltd.</t>
        </is>
      </c>
      <c r="D13" s="130" t="n">
        <v>45799</v>
      </c>
      <c r="E13" s="48" t="n">
        <v>45807</v>
      </c>
      <c r="F13" s="43" t="inlineStr">
        <is>
          <t>China International Capital Corporation
Hong Kong Securities Limited/
Huatai Financial Holdings (Hong Kong)
Limited</t>
        </is>
      </c>
      <c r="G13" s="43" t="inlineStr">
        <is>
          <t>KPMG</t>
        </is>
      </c>
      <c r="H13" s="43" t="n"/>
      <c r="I13" s="131" t="n">
        <v>98407936</v>
      </c>
      <c r="J13" s="148" t="n">
        <v>98407936</v>
      </c>
      <c r="K13" s="133" t="n">
        <v>8.08</v>
      </c>
      <c r="L13" t="n">
        <v>226378600</v>
      </c>
      <c r="M13" s="67" t="n">
        <v>24358400</v>
      </c>
      <c r="N13" t="n">
        <v>202020200</v>
      </c>
      <c r="O13" t="n">
        <v>202020200</v>
      </c>
      <c r="P13" t="n">
        <v>0</v>
      </c>
      <c r="Q13" t="n">
        <v>24358400</v>
      </c>
      <c r="R13" s="67" t="n">
        <v>21922400</v>
      </c>
      <c r="S13" s="67" t="n">
        <v>2436000</v>
      </c>
      <c r="T13" s="147" t="n">
        <v>8.08</v>
      </c>
      <c r="U13" s="147" t="n">
        <v>6.48</v>
      </c>
      <c r="V13" s="169" t="n">
        <v>0.10989</v>
      </c>
      <c r="W13" s="169" t="n">
        <v>0.21978</v>
      </c>
      <c r="X13" s="170" t="inlineStr">
        <is>
          <t>At high</t>
        </is>
      </c>
      <c r="Y13" s="26" t="inlineStr">
        <is>
          <t>RMB</t>
        </is>
      </c>
      <c r="Z13" s="137" t="n">
        <v>1107046000</v>
      </c>
      <c r="AA13" s="137" t="n">
        <v>1557852000</v>
      </c>
      <c r="AB13" s="137" t="n">
        <v>1836194000</v>
      </c>
      <c r="AC13" s="137" t="n">
        <v>-374105000</v>
      </c>
      <c r="AD13" s="137" t="n">
        <v>-626165000</v>
      </c>
      <c r="AE13" s="137" t="n">
        <v>-739803000</v>
      </c>
      <c r="AF13" s="137" t="n">
        <v>1481151000</v>
      </c>
      <c r="AG13" s="137" t="n">
        <v>2184017000</v>
      </c>
      <c r="AH13" s="137" t="n">
        <v>2575997000</v>
      </c>
      <c r="AI13" s="137" t="n">
        <v>806258000</v>
      </c>
      <c r="AJ13" s="137" t="n">
        <v>1634395000</v>
      </c>
      <c r="AK13" s="137" t="n">
        <v>1387086000</v>
      </c>
      <c r="AL13" s="137" t="n">
        <v>148854000</v>
      </c>
      <c r="AM13" s="137" t="n">
        <v>-306298000</v>
      </c>
      <c r="AN13" s="137" t="n">
        <v>-90190000</v>
      </c>
      <c r="AO13" s="137" t="n">
        <v>130987000</v>
      </c>
      <c r="AP13" s="137" t="n">
        <v>-356209000</v>
      </c>
      <c r="AQ13" s="137" t="n">
        <v>-135609000</v>
      </c>
      <c r="AR13" s="142" t="n">
        <v>0.03</v>
      </c>
      <c r="AS13" s="142" t="n">
        <v>0.03</v>
      </c>
      <c r="AT13" s="84" t="n">
        <v>0.15</v>
      </c>
      <c r="AU13" s="51" t="inlineStr">
        <is>
          <t>人寿与健康保险互联网中介服务</t>
        </is>
      </c>
      <c r="AV13" s="51" t="inlineStr">
        <is>
          <t>Main Board</t>
        </is>
      </c>
      <c r="AW13" s="136" t="n">
        <v>45657</v>
      </c>
      <c r="AX13" s="137" t="n">
        <v>110100000</v>
      </c>
      <c r="AY13" s="117" t="n">
        <v>113368000</v>
      </c>
      <c r="AZ13" s="117" t="n">
        <v>50955000</v>
      </c>
      <c r="BA13" s="117" t="n">
        <v>0</v>
      </c>
      <c r="BB13" s="138" t="n">
        <v>0.707</v>
      </c>
      <c r="BC13" s="139" t="n">
        <v>1</v>
      </c>
      <c r="BD13" s="80" t="n">
        <v>1</v>
      </c>
      <c r="BE13" s="161" t="n">
        <v>1</v>
      </c>
      <c r="BF13" s="161" t="n">
        <v>1</v>
      </c>
      <c r="BG13" s="161" t="n">
        <v>1</v>
      </c>
      <c r="BH13" s="161" t="n">
        <v>0</v>
      </c>
      <c r="BI13" s="161" t="n">
        <v>1</v>
      </c>
      <c r="BJ13" s="162" t="inlineStr">
        <is>
          <t>Jidixintian; HongShan Yucheng; Matrix SPV; Gopher SPV; Tibet Juzhi; Tianjin Juxin; StarReach Tech Limited</t>
        </is>
      </c>
      <c r="BK13" s="163" t="n">
        <v>0.479</v>
      </c>
      <c r="BL13" s="161" t="n">
        <v>1</v>
      </c>
      <c r="BM13" s="164" t="inlineStr">
        <is>
          <t>Angel Investment</t>
        </is>
      </c>
      <c r="BN13" s="165" t="n">
        <v>10.3</v>
      </c>
      <c r="BO13" s="51" t="inlineStr">
        <is>
          <t>个人</t>
        </is>
      </c>
      <c r="BP13" s="135" t="n">
        <v>0.2648</v>
      </c>
      <c r="BQ13" s="135" t="n">
        <v>0.4764</v>
      </c>
      <c r="BR13" s="137" t="n">
        <v>5717000</v>
      </c>
      <c r="BS13" s="51" t="inlineStr">
        <is>
          <t>NA</t>
        </is>
      </c>
      <c r="BT13" s="142" t="n">
        <v>0</v>
      </c>
      <c r="BU13" s="60" t="inlineStr">
        <is>
          <t>Main Board</t>
        </is>
      </c>
      <c r="BV13" s="89" t="inlineStr">
        <is>
          <t>Ordinary Shares</t>
        </is>
      </c>
      <c r="BW13" s="61" t="n">
        <v>0</v>
      </c>
      <c r="BX13" s="77" t="n">
        <v>0</v>
      </c>
      <c r="BY13" s="77" t="n">
        <v>0</v>
      </c>
      <c r="BZ13" s="78" t="n">
        <v>0</v>
      </c>
      <c r="CA13" s="60" t="inlineStr">
        <is>
          <t>502010</t>
        </is>
      </c>
      <c r="CB13" s="76" t="inlineStr">
        <is>
          <t>HSICS (Hang Seng Industry Classification System) 2026</t>
        </is>
      </c>
      <c r="CC13" s="140" t="n">
        <v>45141</v>
      </c>
      <c r="CD13" s="171" t="n">
        <v>1.82</v>
      </c>
      <c r="CE13" s="76" t="inlineStr">
        <is>
          <t>Cayman Islands</t>
        </is>
      </c>
      <c r="CF13" s="89" t="inlineStr">
        <is>
          <t>Binhai High-Tech Zone, Tianjin, PRC</t>
        </is>
      </c>
      <c r="CG13" s="91" t="n">
        <v>1000</v>
      </c>
      <c r="CH13" s="60" t="inlineStr">
        <is>
          <t>HKFRS</t>
        </is>
      </c>
      <c r="CI13" s="141" t="n">
        <v>44562</v>
      </c>
      <c r="CJ13" s="141" t="n">
        <v>44926</v>
      </c>
      <c r="CK13" s="141" t="n">
        <v>44927</v>
      </c>
      <c r="CL13" s="141" t="n">
        <v>45291</v>
      </c>
      <c r="CM13" s="141" t="n">
        <v>45292</v>
      </c>
      <c r="CN13" s="64" t="n">
        <v>1387086000</v>
      </c>
      <c r="CO13" s="64" t="n">
        <v>-90190000</v>
      </c>
      <c r="CP13" s="64" t="n">
        <v>-135609000</v>
      </c>
      <c r="CQ13" s="141" t="n">
        <v>45799</v>
      </c>
      <c r="CR13" s="141" t="n">
        <v>45804</v>
      </c>
      <c r="CS13" s="63" t="n">
        <v>226378600</v>
      </c>
      <c r="CT13" s="64" t="n">
        <v>528880000</v>
      </c>
      <c r="CU13" s="64" t="n">
        <v>3602000</v>
      </c>
      <c r="CV13" s="59" t="inlineStr">
        <is>
          <t>Unqualified</t>
        </is>
      </c>
      <c r="CW13" s="64" t="n">
        <v>60900000</v>
      </c>
      <c r="CX13" s="51" t="inlineStr">
        <is>
          <t>HiTai (Hong Kong) Limited; Taller industrial Co., Limited</t>
        </is>
      </c>
      <c r="CY13" s="142" t="n">
        <v>0.2492</v>
      </c>
      <c r="CZ13" s="136" t="n">
        <v>45991</v>
      </c>
      <c r="DA13" s="143" t="n">
        <v>990</v>
      </c>
      <c r="DB13" s="63" t="n">
        <v>53647</v>
      </c>
      <c r="DC13" s="63" t="n">
        <v>2411635600</v>
      </c>
      <c r="DD13" s="59" t="inlineStr">
        <is>
          <t>Subscription level 990.00 times</t>
        </is>
      </c>
      <c r="DE13" s="141" t="n">
        <v>45805</v>
      </c>
      <c r="DF13" s="141" t="n">
        <v>45806</v>
      </c>
      <c r="DG13" s="63" t="n">
        <v>24358400</v>
      </c>
      <c r="DH13" s="63" t="n">
        <v>12179200</v>
      </c>
      <c r="DI13" s="63" t="n">
        <v>12179200</v>
      </c>
      <c r="DJ13" s="63" t="n">
        <v>0</v>
      </c>
      <c r="DK13" s="169" t="n">
        <v>0</v>
      </c>
      <c r="DL13" s="59" t="inlineStr">
        <is>
          <t>No. of Offer Shares reallocated from the International Offering (claw-back) 9,743,200</t>
        </is>
      </c>
      <c r="DM13" s="144" t="n">
        <v>134220000</v>
      </c>
      <c r="DN13" s="142" t="n">
        <v>0.2913</v>
      </c>
      <c r="DO13" s="51" t="n">
        <v>226378600</v>
      </c>
      <c r="DP13" s="142" t="n">
        <v>0.0808</v>
      </c>
      <c r="DQ13" s="59" t="inlineStr">
        <is>
          <t>分母为上市时已发行股份总数 226,378,600 股（Number of issued shares upon Listing, before exercise of the Over-allotment Option），含受禁售限制股份。</t>
        </is>
      </c>
      <c r="DR13" s="63" t="n">
        <v>226378600</v>
      </c>
      <c r="DS13" s="142" t="n">
        <v>0.11370049</v>
      </c>
      <c r="DT13" s="80" t="n">
        <v>13</v>
      </c>
      <c r="DU13" s="142" t="n">
        <v>0.007578</v>
      </c>
      <c r="DV13" s="144" t="n">
        <v>173565000000</v>
      </c>
      <c r="DW13" s="145" t="n">
        <v>6.4</v>
      </c>
      <c r="DX13" s="169" t="n">
        <v>-0.207921</v>
      </c>
      <c r="DY13" s="172" t="n">
        <v>-40922112</v>
      </c>
      <c r="DZ13" s="146" t="n">
        <v>7.29</v>
      </c>
      <c r="EA13" s="146" t="n">
        <v>7.29</v>
      </c>
      <c r="EB13" s="146" t="n">
        <v>6.4</v>
      </c>
      <c r="EC13" s="63" t="n">
        <v>21324400</v>
      </c>
      <c r="ED13" s="169" t="n">
        <v>0.875443</v>
      </c>
      <c r="EE13" s="64" t="n">
        <v>154172790</v>
      </c>
      <c r="EF13" s="60" t="inlineStr">
        <is>
          <t>PN18 statutory clawback</t>
        </is>
      </c>
      <c r="EG13" s="59" t="inlineStr">
        <is>
          <t>FINI (from 22/11/2023)</t>
        </is>
      </c>
      <c r="EH13" t="inlineStr">
        <is>
          <t>手回集团有限公司</t>
        </is>
      </c>
      <c r="EI13" s="174" t="inlineStr">
        <is>
          <t>Active</t>
        </is>
      </c>
      <c r="EJ13" s="175" t="n">
        <v>4.66</v>
      </c>
      <c r="EK13" s="176" t="n">
        <v>-0.271875</v>
      </c>
      <c r="EL13" s="176" t="n">
        <v>-0.423267</v>
      </c>
      <c r="EM13" s="176" t="n">
        <v>0.044467</v>
      </c>
      <c r="EN13" s="176" t="n">
        <v>0.033794</v>
      </c>
      <c r="EO13" s="179" t="n">
        <v>0.6971000000000001</v>
      </c>
      <c r="EP13" s="179" t="n">
        <v>0.7043</v>
      </c>
      <c r="EQ13" s="178" t="n">
        <v>11200751.5</v>
      </c>
      <c r="ER13" s="175" t="n">
        <v>3.56</v>
      </c>
      <c r="ES13" s="176" t="n">
        <v>-0.44375</v>
      </c>
      <c r="ET13" s="176" t="n">
        <v>-0.559406</v>
      </c>
      <c r="EU13" s="176" t="n">
        <v>0.117798</v>
      </c>
      <c r="EV13" s="176" t="n">
        <v>0.091739</v>
      </c>
      <c r="EW13" s="179" t="n">
        <v>0.4976</v>
      </c>
      <c r="EX13" s="179" t="n">
        <v>0.5095</v>
      </c>
      <c r="EY13" s="178" t="n">
        <v>282500</v>
      </c>
      <c r="EZ13" s="176" t="n">
        <v>0.001832</v>
      </c>
      <c r="FA13" s="176" t="n"/>
      <c r="FB13" s="179" t="n"/>
      <c r="FC13" s="176" t="n"/>
      <c r="FD13" s="179" t="n"/>
      <c r="FE13" s="174" t="inlineStr">
        <is>
          <t>Standard</t>
        </is>
      </c>
      <c r="FF13" s="181" t="inlineStr">
        <is>
          <t>China International Capital Corporation / Sponsor-OC</t>
        </is>
      </c>
      <c r="FG13" s="185" t="inlineStr">
        <is>
          <t>2025-06-29</t>
        </is>
      </c>
      <c r="FH13" s="183" t="n">
        <v>0</v>
      </c>
      <c r="FI13" s="178" t="n">
        <v>0</v>
      </c>
      <c r="FJ13" s="176" t="n">
        <v>0.15</v>
      </c>
      <c r="FK13" s="185" t="inlineStr">
        <is>
          <t>2025-06-29</t>
        </is>
      </c>
      <c r="FL13" s="178" t="n">
        <v>0</v>
      </c>
      <c r="FM13" s="176" t="n">
        <v>0</v>
      </c>
      <c r="FN13" s="176" t="n">
        <v>-0.017094</v>
      </c>
      <c r="FO13" s="176" t="n">
        <v>-0.008547000000000001</v>
      </c>
      <c r="FP13" s="176" t="n">
        <v>0.128281</v>
      </c>
      <c r="FQ13" s="176" t="n">
        <v>-0.129687</v>
      </c>
      <c r="FR13" s="179" t="n">
        <v>0.8478</v>
      </c>
      <c r="FS13" s="176" t="n">
        <v>-0.271875</v>
      </c>
      <c r="FT13" s="179" t="n">
        <v>0.6971000000000001</v>
      </c>
      <c r="FU13" s="176" t="n">
        <v>-0.2875</v>
      </c>
      <c r="FV13" s="179" t="n">
        <v>0.6584</v>
      </c>
      <c r="FW13" s="179" t="n">
        <v>0.6466</v>
      </c>
      <c r="FX13" s="178" t="n">
        <v>4253657.46</v>
      </c>
      <c r="FY13" s="186" t="n">
        <v>0.03248825396825396</v>
      </c>
      <c r="FZ13" s="183" t="n">
        <v>0</v>
      </c>
      <c r="GA13" s="176" t="n">
        <v>0.02796017094739508</v>
      </c>
      <c r="GB13" s="176" t="n">
        <v>0.51166</v>
      </c>
      <c r="GC13" s="185" t="inlineStr">
        <is>
          <t>2025-11-30</t>
        </is>
      </c>
      <c r="GD13" s="185" t="inlineStr">
        <is>
          <t>2026-05-30</t>
        </is>
      </c>
      <c r="GE13" s="176" t="n">
        <v>0.002948</v>
      </c>
      <c r="GF13" s="176" t="n">
        <v>-0.113925</v>
      </c>
      <c r="GG13" s="179" t="n">
        <v>1.1384</v>
      </c>
      <c r="GH13" s="181" t="inlineStr">
        <is>
          <t>China International Capital Corporation / Sponsor-OC</t>
        </is>
      </c>
      <c r="GI13" s="183" t="n">
        <v>0</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PRE_2025_REFORM</t>
        </is>
      </c>
    </row>
    <row r="14" ht="68" customFormat="1" customHeight="1" s="12">
      <c r="A14" s="43" t="n">
        <v>31</v>
      </c>
      <c r="B14" s="47" t="inlineStr">
        <is>
          <t>2573.HK</t>
        </is>
      </c>
      <c r="C14" s="44" t="inlineStr">
        <is>
          <t>Newtrend Group Holding Co., Ltd. - H shares</t>
        </is>
      </c>
      <c r="D14" s="130" t="n">
        <v>45807</v>
      </c>
      <c r="E14" s="48" t="n">
        <v>45818</v>
      </c>
      <c r="F14" s="43" t="inlineStr">
        <is>
          <t>CMBC International Capital Limited</t>
        </is>
      </c>
      <c r="G14" s="43" t="inlineStr">
        <is>
          <t>Confucius International 
CPA Limited</t>
        </is>
      </c>
      <c r="H14" s="43" t="n"/>
      <c r="I14" s="131" t="n">
        <v>31419360</v>
      </c>
      <c r="J14" s="148" t="n">
        <v>168644700</v>
      </c>
      <c r="K14" s="133" t="n">
        <v>18.9</v>
      </c>
      <c r="L14" t="n">
        <v>96231234</v>
      </c>
      <c r="M14" s="67" t="n">
        <v>10585400</v>
      </c>
      <c r="N14" t="n">
        <v>85645834</v>
      </c>
      <c r="O14" t="n">
        <v>85645834</v>
      </c>
      <c r="P14" t="n">
        <v>0</v>
      </c>
      <c r="Q14" t="n">
        <v>10585400</v>
      </c>
      <c r="R14" s="67" t="n">
        <v>9526800</v>
      </c>
      <c r="S14" s="67" t="n">
        <v>1058600</v>
      </c>
      <c r="T14" s="147" t="n">
        <v>20.9</v>
      </c>
      <c r="U14" s="147" t="n">
        <v>18.9</v>
      </c>
      <c r="V14" s="169" t="n">
        <v>-0.050251</v>
      </c>
      <c r="W14" s="169" t="n">
        <v>0.100503</v>
      </c>
      <c r="X14" s="170" t="inlineStr">
        <is>
          <t>At low</t>
        </is>
      </c>
      <c r="Y14" s="26" t="inlineStr">
        <is>
          <t>RMB</t>
        </is>
      </c>
      <c r="Z14" s="137" t="n">
        <v>726661000</v>
      </c>
      <c r="AA14" s="137" t="n">
        <v>713209000</v>
      </c>
      <c r="AB14" s="137" t="n">
        <v>812908000</v>
      </c>
      <c r="AC14" s="137" t="n">
        <v>399691000</v>
      </c>
      <c r="AD14" s="137" t="n">
        <v>434930000</v>
      </c>
      <c r="AE14" s="137" t="n">
        <v>479119000</v>
      </c>
      <c r="AF14" s="137" t="n">
        <v>326970000</v>
      </c>
      <c r="AG14" s="137" t="n">
        <v>278279000</v>
      </c>
      <c r="AH14" s="137" t="n">
        <v>333789000</v>
      </c>
      <c r="AI14" s="137" t="n">
        <v>761499000</v>
      </c>
      <c r="AJ14" s="137" t="n">
        <v>446938000</v>
      </c>
      <c r="AK14" s="137" t="n">
        <v>568867000</v>
      </c>
      <c r="AL14" s="137" t="n">
        <v>149316000</v>
      </c>
      <c r="AM14" s="137" t="n">
        <v>48382000</v>
      </c>
      <c r="AN14" s="137" t="n">
        <v>48734000</v>
      </c>
      <c r="AO14" s="137" t="n">
        <v>122021000</v>
      </c>
      <c r="AP14" s="137" t="n">
        <v>44662000</v>
      </c>
      <c r="AQ14" s="137" t="n">
        <v>43406000</v>
      </c>
      <c r="AR14" s="142" t="n">
        <v>0.03</v>
      </c>
      <c r="AS14" s="142" t="n">
        <v>0.03</v>
      </c>
      <c r="AT14" s="84" t="n">
        <v>0.15</v>
      </c>
      <c r="AU14" s="51" t="inlineStr">
        <is>
          <t>Food additives manufacturing – manufacture and sale of food-grade glycine, industrial-grade glycine and sucralose</t>
        </is>
      </c>
      <c r="AV14" s="51" t="inlineStr">
        <is>
          <t>Main Board standard (general) listing route</t>
        </is>
      </c>
      <c r="AW14" s="136" t="n">
        <v>45657</v>
      </c>
      <c r="AX14" s="137" t="n">
        <v>4300000</v>
      </c>
      <c r="AY14" s="117" t="n">
        <v>46129000</v>
      </c>
      <c r="AZ14" s="117" t="n">
        <v>16601000</v>
      </c>
      <c r="BA14" s="117" t="n">
        <v>0</v>
      </c>
      <c r="BB14" s="138" t="n">
        <v>0.556</v>
      </c>
      <c r="BC14" s="139" t="n">
        <v>1</v>
      </c>
      <c r="BD14" s="80" t="n">
        <v>1</v>
      </c>
      <c r="BE14" s="161" t="n">
        <v>1</v>
      </c>
      <c r="BF14" s="161" t="n">
        <v>1</v>
      </c>
      <c r="BG14" s="161" t="inlineStr">
        <is>
          <t>NaN</t>
        </is>
      </c>
      <c r="BH14" s="161" t="inlineStr">
        <is>
          <t>NaN</t>
        </is>
      </c>
      <c r="BI14" s="161" t="inlineStr">
        <is>
          <t>NaN</t>
        </is>
      </c>
      <c r="BJ14" s="162" t="inlineStr">
        <is>
          <t>Chen Yiyuan; Huang Wenzeng; Yang Haijun; Guoxin Hongsheng; Xingzheng Strategic Venture; Xingzheng Saifu Investment; Xingzheng Saifu No. 1 Investment; Xiuneng Investment; Zhang Chaoyi; Huang Yanlu; Fuxing Investment</t>
        </is>
      </c>
      <c r="BK14" s="163" t="n">
        <v>0.358</v>
      </c>
      <c r="BL14" s="161" t="n">
        <v>1</v>
      </c>
      <c r="BM14" s="164" t="inlineStr">
        <is>
          <t>Equity transfer from existing shareholders (10 March 2010)</t>
        </is>
      </c>
      <c r="BN14" s="165" t="inlineStr">
        <is>
          <t>NaN</t>
        </is>
      </c>
      <c r="BO14" s="51" t="inlineStr">
        <is>
          <t>Individual (natural persons) – Mr. Wang and Ms. Ding acting in concert through Newtrend Industrial and Juhexing Investment</t>
        </is>
      </c>
      <c r="BP14" s="135" t="n">
        <v>0.487</v>
      </c>
      <c r="BQ14" s="135" t="n">
        <v>0.487</v>
      </c>
      <c r="BR14" s="137" t="n">
        <v>75024000</v>
      </c>
      <c r="BS14" s="51" t="inlineStr">
        <is>
          <t>Commercialised – products in mass production and sale</t>
        </is>
      </c>
      <c r="BT14" s="142" t="n">
        <v>0</v>
      </c>
      <c r="BU14" s="60" t="inlineStr">
        <is>
          <t>Main Board</t>
        </is>
      </c>
      <c r="BV14" s="89" t="inlineStr">
        <is>
          <t>H Shares and Domestic Shares (all ordinary Shares)</t>
        </is>
      </c>
      <c r="BW14" s="61" t="n">
        <v>0</v>
      </c>
      <c r="BX14" s="77" t="n">
        <v>0</v>
      </c>
      <c r="BY14" s="77" t="n">
        <v>0</v>
      </c>
      <c r="BZ14" s="78" t="n">
        <v>0</v>
      </c>
      <c r="CA14" s="60" t="inlineStr">
        <is>
          <t>251050</t>
        </is>
      </c>
      <c r="CB14" s="76" t="inlineStr">
        <is>
          <t>HSICS (Hang Seng Industry Classification System) 2026</t>
        </is>
      </c>
      <c r="CC14" s="140" t="n">
        <v>38968</v>
      </c>
      <c r="CD14" s="171" t="n">
        <v>18.75</v>
      </c>
      <c r="CE14" s="76" t="inlineStr">
        <is>
          <t>PRC</t>
        </is>
      </c>
      <c r="CF14" s="89" t="inlineStr">
        <is>
          <t>Jinggangshan Economic and Technological Development Zone, Ji’an, Jiangxi, PRC</t>
        </is>
      </c>
      <c r="CG14" s="91" t="n">
        <v>1000</v>
      </c>
      <c r="CH14" s="60" t="inlineStr">
        <is>
          <t>HKFRS</t>
        </is>
      </c>
      <c r="CI14" s="141" t="n">
        <v>44562</v>
      </c>
      <c r="CJ14" s="141" t="n">
        <v>44926</v>
      </c>
      <c r="CK14" s="141" t="n">
        <v>44927</v>
      </c>
      <c r="CL14" s="141" t="n">
        <v>45291</v>
      </c>
      <c r="CM14" s="141" t="n">
        <v>45292</v>
      </c>
      <c r="CN14" s="64" t="n">
        <v>568867000</v>
      </c>
      <c r="CO14" s="64" t="n">
        <v>48734000</v>
      </c>
      <c r="CP14" s="64" t="n">
        <v>43406000</v>
      </c>
      <c r="CQ14" s="141" t="n">
        <v>45807</v>
      </c>
      <c r="CR14" s="141" t="n">
        <v>45813</v>
      </c>
      <c r="CS14" s="63" t="n">
        <v>55148894</v>
      </c>
      <c r="CT14" s="64" t="n">
        <v>101900000</v>
      </c>
      <c r="CU14" s="64" t="n">
        <v>80193000</v>
      </c>
      <c r="CV14" s="59" t="inlineStr">
        <is>
          <t>true and fair view (unqualified)</t>
        </is>
      </c>
      <c r="CW14" s="64" t="n">
        <v>36300000</v>
      </c>
      <c r="CX14" s="51" t="inlineStr">
        <is>
          <t>The Reynold Lemkins Group (Asia) Limited; He Win Hong Kong Holdings Co., Limited (合贏香江控股有限公司)</t>
        </is>
      </c>
      <c r="CY14" s="142" t="n">
        <v>0.2969</v>
      </c>
      <c r="CZ14" s="136" t="n">
        <v>46001</v>
      </c>
      <c r="DA14" s="143" t="n">
        <v>149.37</v>
      </c>
      <c r="DB14" s="63" t="n">
        <v>21482</v>
      </c>
      <c r="DC14" s="63" t="n">
        <v>158124200</v>
      </c>
      <c r="DD14" s="59" t="inlineStr">
        <is>
          <t>Subscription level 149.37 times</t>
        </is>
      </c>
      <c r="DE14" s="141" t="n">
        <v>45814</v>
      </c>
      <c r="DF14" s="141" t="n">
        <v>45817</v>
      </c>
      <c r="DG14" s="63" t="n">
        <v>10585400</v>
      </c>
      <c r="DH14" s="63" t="n">
        <v>1662400</v>
      </c>
      <c r="DI14" s="63" t="n">
        <v>8923000</v>
      </c>
      <c r="DJ14" s="63" t="n">
        <v>0</v>
      </c>
      <c r="DK14" s="169" t="n">
        <v>0</v>
      </c>
      <c r="DL14" s="59" t="inlineStr">
        <is>
          <t>由国际发售回拨603,800股至香港公开发售；公开发售由1,058,600股增至1,662,400股，占全球发售15.70%</t>
        </is>
      </c>
      <c r="DM14" s="144" t="n">
        <v>164150000</v>
      </c>
      <c r="DN14" s="142" t="n">
        <v>0.347</v>
      </c>
      <c r="DO14" s="51" t="n">
        <v>96231234</v>
      </c>
      <c r="DP14" s="142" t="n">
        <v>0.07729999999999999</v>
      </c>
      <c r="DQ14" s="59" t="inlineStr">
        <is>
          <t>分母为上市时已发行股份总数96,231,234股；公众持股为33,380,925股H股，约占34.7%</t>
        </is>
      </c>
      <c r="DR14" s="63" t="n">
        <v>96231234</v>
      </c>
      <c r="DS14" s="142" t="n">
        <v>0.07112251</v>
      </c>
      <c r="DT14" s="80" t="n">
        <v>17</v>
      </c>
      <c r="DU14" s="142" t="n">
        <v>0.0058857</v>
      </c>
      <c r="DV14" s="144" t="n">
        <v>173434000000</v>
      </c>
      <c r="DW14" s="145" t="n">
        <v>22.95</v>
      </c>
      <c r="DX14" s="169" t="n">
        <v>0.214286</v>
      </c>
      <c r="DY14" s="172" t="n">
        <v>42870870</v>
      </c>
      <c r="DZ14" s="146" t="n">
        <v>30.25</v>
      </c>
      <c r="EA14" s="146" t="n">
        <v>30.25</v>
      </c>
      <c r="EB14" s="146" t="n">
        <v>22.1</v>
      </c>
      <c r="EC14" s="63" t="n">
        <v>5221299</v>
      </c>
      <c r="ED14" s="169" t="n">
        <v>0.493255</v>
      </c>
      <c r="EE14" s="64" t="n">
        <v>140431600</v>
      </c>
      <c r="EF14" s="60" t="inlineStr">
        <is>
          <t>PN18 statutory clawback</t>
        </is>
      </c>
      <c r="EG14" s="59" t="inlineStr">
        <is>
          <t>FINI (from 22/11/2023)</t>
        </is>
      </c>
      <c r="EH14" t="inlineStr">
        <is>
          <t>新琪安集团股份有限公司</t>
        </is>
      </c>
      <c r="EI14" s="174" t="inlineStr">
        <is>
          <t>Active</t>
        </is>
      </c>
      <c r="EJ14" s="175" t="n">
        <v>13.58</v>
      </c>
      <c r="EK14" s="176" t="n">
        <v>-0.408279</v>
      </c>
      <c r="EL14" s="176" t="n">
        <v>-0.281481</v>
      </c>
      <c r="EM14" s="176" t="n">
        <v>-0.000612</v>
      </c>
      <c r="EN14" s="176" t="n">
        <v>-0.012284</v>
      </c>
      <c r="EO14" s="179" t="n">
        <v>0.5921</v>
      </c>
      <c r="EP14" s="179" t="n">
        <v>0.5991</v>
      </c>
      <c r="EQ14" s="178" t="n">
        <v>13203730</v>
      </c>
      <c r="ER14" s="175" t="n">
        <v>8.56</v>
      </c>
      <c r="ES14" s="176" t="n">
        <v>-0.627015</v>
      </c>
      <c r="ET14" s="176" t="n">
        <v>-0.54709</v>
      </c>
      <c r="EU14" s="176" t="n">
        <v>0.057026</v>
      </c>
      <c r="EV14" s="176" t="n">
        <v>0.035034</v>
      </c>
      <c r="EW14" s="179" t="n">
        <v>0.3529</v>
      </c>
      <c r="EX14" s="179" t="n">
        <v>0.3604</v>
      </c>
      <c r="EY14" s="178" t="n">
        <v>146460</v>
      </c>
      <c r="EZ14" s="176" t="n">
        <v>0.001043</v>
      </c>
      <c r="FA14" s="176" t="n"/>
      <c r="FB14" s="179" t="n"/>
      <c r="FC14" s="176" t="n"/>
      <c r="FD14" s="179" t="n"/>
      <c r="FE14" s="174" t="inlineStr">
        <is>
          <t>Standard</t>
        </is>
      </c>
      <c r="FF14" s="181" t="inlineStr">
        <is>
          <t>China International Capital Corporation / Sponsor-OC</t>
        </is>
      </c>
      <c r="FG14" s="185" t="inlineStr">
        <is>
          <t>2025-07-10</t>
        </is>
      </c>
      <c r="FH14" s="183" t="n">
        <v>0</v>
      </c>
      <c r="FI14" s="178" t="n">
        <v>0</v>
      </c>
      <c r="FJ14" s="176" t="n">
        <v>0.15</v>
      </c>
      <c r="FK14" s="185" t="inlineStr">
        <is>
          <t>2025-07-10</t>
        </is>
      </c>
      <c r="FL14" s="178" t="n">
        <v>0</v>
      </c>
      <c r="FM14" s="176" t="n">
        <v>0</v>
      </c>
      <c r="FN14" s="176" t="n">
        <v>-0.097222</v>
      </c>
      <c r="FO14" s="176" t="n">
        <v>-0.015372</v>
      </c>
      <c r="FP14" s="176" t="n">
        <v>0.116711</v>
      </c>
      <c r="FQ14" s="176" t="n">
        <v>-0.301089</v>
      </c>
      <c r="FR14" s="179" t="n">
        <v>0.7019</v>
      </c>
      <c r="FS14" s="176" t="n">
        <v>-0.408279</v>
      </c>
      <c r="FT14" s="179" t="n">
        <v>0.5921</v>
      </c>
      <c r="FU14" s="176" t="n">
        <v>-0.464052</v>
      </c>
      <c r="FV14" s="179" t="n">
        <v>0.5095</v>
      </c>
      <c r="FW14" s="179" t="n">
        <v>0.5081</v>
      </c>
      <c r="FX14" s="178" t="n">
        <v>5163885.71</v>
      </c>
      <c r="FY14" s="186" t="n">
        <v>0.070005176</v>
      </c>
      <c r="FZ14" s="183" t="n">
        <v>1</v>
      </c>
      <c r="GA14" s="176" t="n">
        <v>0.03815115589654661</v>
      </c>
      <c r="GB14" s="176" t="n">
        <v>0.718678</v>
      </c>
      <c r="GC14" s="185" t="inlineStr">
        <is>
          <t>2025-12-10</t>
        </is>
      </c>
      <c r="GD14" s="185" t="inlineStr">
        <is>
          <t>2026-06-10</t>
        </is>
      </c>
      <c r="GE14" s="176" t="n">
        <v>0.009390000000000001</v>
      </c>
      <c r="GF14" s="176" t="n">
        <v>-0.06350699999999999</v>
      </c>
      <c r="GG14" s="179" t="n">
        <v>0.6147</v>
      </c>
      <c r="GH14" s="181" t="inlineStr">
        <is>
          <t>China International Capital Corporation / Sponsor-OC</t>
        </is>
      </c>
      <c r="GI14" s="183" t="n">
        <v>0</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PRE_2025_REFORM</t>
        </is>
      </c>
    </row>
    <row r="15" ht="34" customFormat="1" customHeight="1" s="12">
      <c r="A15" s="43" t="n">
        <v>30</v>
      </c>
      <c r="B15" s="47" t="inlineStr">
        <is>
          <t>2605.HK</t>
        </is>
      </c>
      <c r="C15" s="44" t="inlineStr">
        <is>
          <t>MetaLight Inc.</t>
        </is>
      </c>
      <c r="D15" s="130" t="n">
        <v>45810</v>
      </c>
      <c r="E15" s="48" t="n">
        <v>45818</v>
      </c>
      <c r="F15" s="43" t="inlineStr">
        <is>
          <t>China International Capital Corporation
Hong Kong Securities Limited</t>
        </is>
      </c>
      <c r="G15" s="43" t="inlineStr">
        <is>
          <t>Ernst &amp; Young</t>
        </is>
      </c>
      <c r="H15" s="43" t="n"/>
      <c r="I15" s="131" t="n">
        <v>121173000</v>
      </c>
      <c r="J15" s="148" t="n">
        <v>121173000</v>
      </c>
      <c r="K15" s="133" t="n">
        <v>9.75</v>
      </c>
      <c r="L15" t="n">
        <v>154276537</v>
      </c>
      <c r="M15" s="67" t="n">
        <v>24856000</v>
      </c>
      <c r="N15" t="n">
        <v>129420537</v>
      </c>
      <c r="O15" t="n">
        <v>129420537</v>
      </c>
      <c r="P15" t="n">
        <v>0</v>
      </c>
      <c r="Q15" t="n">
        <v>24856000</v>
      </c>
      <c r="R15" s="67" t="n">
        <v>22370400</v>
      </c>
      <c r="S15" s="67" t="n">
        <v>2485600</v>
      </c>
      <c r="T15" s="147" t="n">
        <v>9.75</v>
      </c>
      <c r="U15" s="147" t="n">
        <v>9.75</v>
      </c>
      <c r="V15" s="169" t="n">
        <v>0</v>
      </c>
      <c r="W15" s="169" t="n">
        <v>0</v>
      </c>
      <c r="X15" s="170" t="inlineStr">
        <is>
          <t>Fixed price</t>
        </is>
      </c>
      <c r="Y15" s="26" t="inlineStr">
        <is>
          <t>RMB</t>
        </is>
      </c>
      <c r="Z15" s="137" t="n">
        <v>185183000</v>
      </c>
      <c r="AA15" s="137" t="n">
        <v>223690000</v>
      </c>
      <c r="AB15" s="137" t="n">
        <v>224166000</v>
      </c>
      <c r="AC15" s="137" t="n">
        <v>-261674000</v>
      </c>
      <c r="AD15" s="137" t="n">
        <v>-266182000</v>
      </c>
      <c r="AE15" s="137" t="n">
        <v>-312092000</v>
      </c>
      <c r="AF15" s="137" t="n">
        <v>446857000</v>
      </c>
      <c r="AG15" s="137" t="n">
        <v>489872000</v>
      </c>
      <c r="AH15" s="137" t="n">
        <v>536258000</v>
      </c>
      <c r="AI15" s="137" t="n">
        <v>135379000</v>
      </c>
      <c r="AJ15" s="137" t="n">
        <v>174536000</v>
      </c>
      <c r="AK15" s="137" t="n">
        <v>206137000</v>
      </c>
      <c r="AL15" s="137" t="n">
        <v>-21360000</v>
      </c>
      <c r="AM15" s="137" t="n">
        <v>-16972000</v>
      </c>
      <c r="AN15" s="137" t="n">
        <v>-21744000</v>
      </c>
      <c r="AO15" s="137" t="n">
        <v>-20037000</v>
      </c>
      <c r="AP15" s="137" t="n">
        <v>-20328000</v>
      </c>
      <c r="AQ15" s="137" t="n">
        <v>-26138000</v>
      </c>
      <c r="AR15" s="142" t="inlineStr">
        <is>
          <t>NaN</t>
        </is>
      </c>
      <c r="AS15" s="142" t="inlineStr">
        <is>
          <t>NaN</t>
        </is>
      </c>
      <c r="AT15" s="84" t="n">
        <v>0</v>
      </c>
      <c r="AU15" s="51" t="inlineStr">
        <is>
          <t>Real-time bus information platform (Chelaile) - mobile advertising and data analytics services</t>
        </is>
      </c>
      <c r="AV15" s="51" t="inlineStr">
        <is>
          <t>Main Board standard listing (not Chapter 18C / 18A)</t>
        </is>
      </c>
      <c r="AW15" s="136" t="n">
        <v>45657</v>
      </c>
      <c r="AX15" s="137" t="n">
        <v>56424000</v>
      </c>
      <c r="AY15" s="117" t="n">
        <v>56306000</v>
      </c>
      <c r="AZ15" s="117" t="n">
        <v>42512000</v>
      </c>
      <c r="BA15" s="117" t="n">
        <v>0</v>
      </c>
      <c r="BB15" s="138" t="n">
        <v>0.6820000000000001</v>
      </c>
      <c r="BC15" s="139" t="n">
        <v>1</v>
      </c>
      <c r="BD15" s="80" t="n">
        <v>1</v>
      </c>
      <c r="BE15" s="161" t="n">
        <v>1</v>
      </c>
      <c r="BF15" s="161" t="n">
        <v>1</v>
      </c>
      <c r="BG15" s="161" t="n">
        <v>1</v>
      </c>
      <c r="BH15" s="161" t="n">
        <v>0</v>
      </c>
      <c r="BI15" s="161" t="n">
        <v>1</v>
      </c>
      <c r="BJ15" s="162" t="inlineStr">
        <is>
          <t>HongHe Venture Fund I, L.P.; Cheering Venture Global Limited; Alibaba Investment Limited; China Broadband Capital Partners III, L.P.; Ondine Tech Fund 1 L.P.; Silver Snake; GARAITZ CAPITAL PTE. LTD.; Summer Sea Investment Limited</t>
        </is>
      </c>
      <c r="BK15" s="163" t="n">
        <v>0.4748</v>
      </c>
      <c r="BL15" s="161" t="n">
        <v>0</v>
      </c>
      <c r="BM15" s="164" t="inlineStr">
        <is>
          <t>Series Seed (Series Seed A / Series Seed B Preferred Shares, issued 20 October 2015)</t>
        </is>
      </c>
      <c r="BN15" s="165" t="n">
        <v>9.6</v>
      </c>
      <c r="BO15" s="51" t="inlineStr">
        <is>
          <t>Single largest shareholders group of individual founders acting in concert (Dr. Sun Xi, Mr. Chen, Mr. Xiao with Bus Dream)</t>
        </is>
      </c>
      <c r="BP15" s="135" t="n">
        <v>0.2115</v>
      </c>
      <c r="BQ15" s="135" t="n">
        <v>0.2115</v>
      </c>
      <c r="BR15" s="137" t="n">
        <v>31286000</v>
      </c>
      <c r="BS15" s="51" t="inlineStr">
        <is>
          <t>NA</t>
        </is>
      </c>
      <c r="BT15" s="142" t="n">
        <v>0</v>
      </c>
      <c r="BU15" s="60" t="inlineStr">
        <is>
          <t>Main Board</t>
        </is>
      </c>
      <c r="BV15" s="89" t="inlineStr">
        <is>
          <t>Ordinary Shares</t>
        </is>
      </c>
      <c r="BW15" s="61" t="n">
        <v>0</v>
      </c>
      <c r="BX15" s="77" t="n">
        <v>0</v>
      </c>
      <c r="BY15" s="77" t="n">
        <v>0</v>
      </c>
      <c r="BZ15" s="78" t="n">
        <v>0</v>
      </c>
      <c r="CA15" s="60" t="inlineStr">
        <is>
          <t>235010</t>
        </is>
      </c>
      <c r="CB15" s="76" t="inlineStr">
        <is>
          <t>HSICS (Hang Seng Industry Classification System) 2026</t>
        </is>
      </c>
      <c r="CC15" s="140" t="n">
        <v>42145</v>
      </c>
      <c r="CD15" s="171" t="n">
        <v>10.06</v>
      </c>
      <c r="CE15" s="76" t="inlineStr">
        <is>
          <t>Cayman Islands</t>
        </is>
      </c>
      <c r="CF15" s="89" t="inlineStr">
        <is>
          <t>1/F, Liangdian Creative Park, No. 94, Dongsishitiao Street, Dongcheng District, Beijing, PRC</t>
        </is>
      </c>
      <c r="CG15" s="91" t="n">
        <v>1000</v>
      </c>
      <c r="CH15" s="60" t="inlineStr">
        <is>
          <t>IFRS</t>
        </is>
      </c>
      <c r="CI15" s="141" t="n">
        <v>44562</v>
      </c>
      <c r="CJ15" s="141" t="n">
        <v>44926</v>
      </c>
      <c r="CK15" s="141" t="n">
        <v>44927</v>
      </c>
      <c r="CL15" s="141" t="n">
        <v>45291</v>
      </c>
      <c r="CM15" s="141" t="n">
        <v>45292</v>
      </c>
      <c r="CN15" s="64" t="n">
        <v>206137000</v>
      </c>
      <c r="CO15" s="64" t="n">
        <v>-21744000</v>
      </c>
      <c r="CP15" s="64" t="n">
        <v>-26138000</v>
      </c>
      <c r="CQ15" s="141" t="n">
        <v>45810</v>
      </c>
      <c r="CR15" s="141" t="n">
        <v>45813</v>
      </c>
      <c r="CS15" s="63" t="n">
        <v>154276537</v>
      </c>
      <c r="CT15" s="64" t="n">
        <v>157447000</v>
      </c>
      <c r="CU15" s="64" t="n">
        <v>300000</v>
      </c>
      <c r="CV15" s="59" t="inlineStr">
        <is>
          <t>Unqualified (true and fair view, no modification)</t>
        </is>
      </c>
      <c r="CW15" s="64" t="n">
        <v>82600000</v>
      </c>
      <c r="CX15" s="51" t="inlineStr">
        <is>
          <t>NA</t>
        </is>
      </c>
      <c r="CY15" s="142" t="n">
        <v>0</v>
      </c>
      <c r="CZ15" s="136" t="inlineStr">
        <is>
          <t>NA</t>
        </is>
      </c>
      <c r="DA15" s="143" t="n">
        <v>274.44</v>
      </c>
      <c r="DB15" s="63" t="n">
        <v>32176</v>
      </c>
      <c r="DC15" s="63" t="n">
        <v>682148400</v>
      </c>
      <c r="DD15" s="59" t="inlineStr">
        <is>
          <t>Subscription level 274.44 times</t>
        </is>
      </c>
      <c r="DE15" s="141" t="inlineStr">
        <is>
          <t>NA</t>
        </is>
      </c>
      <c r="DF15" s="141" t="n">
        <v>45817</v>
      </c>
      <c r="DG15" s="63" t="n">
        <v>24856000</v>
      </c>
      <c r="DH15" s="63" t="n">
        <v>12428000</v>
      </c>
      <c r="DI15" s="63" t="n">
        <v>12428000</v>
      </c>
      <c r="DJ15" s="63" t="n">
        <v>0</v>
      </c>
      <c r="DK15" s="169" t="n">
        <v>0</v>
      </c>
      <c r="DL15" s="59" t="inlineStr">
        <is>
          <t>公开发售超额认购超过100倍，触发回拨（clawback）；由国际配售回拨 9,942,400 股至公开发售，公开发售由初始 2,485,600 股（约10.0%）增至最终 12,428,000 股（占全球发售 50.0%），国际配售由 22,370,400 股降至 12,428,000 股（占 50.0%）。</t>
        </is>
      </c>
      <c r="DM15" s="144" t="n">
        <v>159730000</v>
      </c>
      <c r="DN15" s="142" t="n">
        <v>0.5207000000000001</v>
      </c>
      <c r="DO15" s="51" t="n">
        <v>154276537</v>
      </c>
      <c r="DP15" s="142" t="n">
        <v>0.1611</v>
      </c>
      <c r="DQ15" s="59" t="inlineStr">
        <is>
          <t>分母为上市时已发行股份总数 154,276,537 股（假设股权激励计划不再发行新股），即 Number of issued shares upon Listing；公众持股 52.07% 与自由流通比例均以此为分母，未剔除基石（本次无基石）及其他受禁售限制的上市前股东股份。</t>
        </is>
      </c>
      <c r="DR15" s="63" t="n">
        <v>154276537</v>
      </c>
      <c r="DS15" s="142" t="n">
        <v>0.052911</v>
      </c>
      <c r="DT15" s="80" t="n">
        <v>17</v>
      </c>
      <c r="DU15" s="142" t="n">
        <v>0.0058762</v>
      </c>
      <c r="DV15" s="144" t="n">
        <v>173434000000</v>
      </c>
      <c r="DW15" s="145" t="n">
        <v>6.8</v>
      </c>
      <c r="DX15" s="169" t="n">
        <v>-0.302564</v>
      </c>
      <c r="DY15" s="172" t="n">
        <v>-73325200</v>
      </c>
      <c r="DZ15" s="146" t="n">
        <v>7.6</v>
      </c>
      <c r="EA15" s="146" t="n">
        <v>8.31</v>
      </c>
      <c r="EB15" s="146" t="n">
        <v>6.8</v>
      </c>
      <c r="EC15" s="63" t="n">
        <v>24046400</v>
      </c>
      <c r="ED15" s="169" t="n">
        <v>0.967428</v>
      </c>
      <c r="EE15" s="64" t="n">
        <v>194724000</v>
      </c>
      <c r="EF15" s="60" t="inlineStr">
        <is>
          <t>Chapter 18C.09 clawback</t>
        </is>
      </c>
      <c r="EG15" s="59" t="inlineStr">
        <is>
          <t>FINI (from 22/11/2023)</t>
        </is>
      </c>
      <c r="EH15" t="inlineStr">
        <is>
          <t>NA</t>
        </is>
      </c>
      <c r="EI15" s="174" t="inlineStr">
        <is>
          <t>Active</t>
        </is>
      </c>
      <c r="EJ15" s="175" t="n">
        <v>6.23</v>
      </c>
      <c r="EK15" s="176" t="n">
        <v>-0.083824</v>
      </c>
      <c r="EL15" s="176" t="n">
        <v>-0.361026</v>
      </c>
      <c r="EM15" s="176" t="n">
        <v>-0.000612</v>
      </c>
      <c r="EN15" s="176" t="n">
        <v>-0.012284</v>
      </c>
      <c r="EO15" s="179" t="n">
        <v>0.9167</v>
      </c>
      <c r="EP15" s="179" t="n">
        <v>0.9276</v>
      </c>
      <c r="EQ15" s="178" t="n">
        <v>21588980</v>
      </c>
      <c r="ER15" s="175" t="n">
        <v>3.03</v>
      </c>
      <c r="ES15" s="176" t="n">
        <v>-0.554412</v>
      </c>
      <c r="ET15" s="176" t="n">
        <v>-0.689231</v>
      </c>
      <c r="EU15" s="176" t="n">
        <v>0.057026</v>
      </c>
      <c r="EV15" s="176" t="n">
        <v>0.035034</v>
      </c>
      <c r="EW15" s="179" t="n">
        <v>0.4215</v>
      </c>
      <c r="EX15" s="179" t="n">
        <v>0.4305</v>
      </c>
      <c r="EY15" s="178" t="n">
        <v>251210</v>
      </c>
      <c r="EZ15" s="176" t="n">
        <v>0.00129</v>
      </c>
      <c r="FA15" s="176" t="n"/>
      <c r="FB15" s="179" t="n"/>
      <c r="FC15" s="176" t="n"/>
      <c r="FD15" s="179" t="n"/>
      <c r="FE15" s="174" t="inlineStr">
        <is>
          <t>Standard</t>
        </is>
      </c>
      <c r="FF15" s="181" t="inlineStr">
        <is>
          <t>China International Capital Corporation / Sponsor-OC</t>
        </is>
      </c>
      <c r="FG15" s="185" t="inlineStr">
        <is>
          <t>2025-07-10</t>
        </is>
      </c>
      <c r="FH15" s="183" t="n">
        <v>0</v>
      </c>
      <c r="FI15" s="178" t="n">
        <v>0</v>
      </c>
      <c r="FJ15" s="176" t="n">
        <v>0.15</v>
      </c>
      <c r="FK15" s="185" t="inlineStr">
        <is>
          <t>2025-07-10</t>
        </is>
      </c>
      <c r="FL15" s="178" t="n">
        <v>0</v>
      </c>
      <c r="FM15" s="176" t="n">
        <v>0</v>
      </c>
      <c r="FN15" s="176" t="n">
        <v>0.013445</v>
      </c>
      <c r="FO15" s="176" t="n">
        <v>-0.036304</v>
      </c>
      <c r="FP15" s="176" t="n">
        <v>0.061635</v>
      </c>
      <c r="FQ15" s="176" t="n">
        <v>0.032353</v>
      </c>
      <c r="FR15" s="179" t="n">
        <v>1.0367</v>
      </c>
      <c r="FS15" s="176" t="n">
        <v>-0.083824</v>
      </c>
      <c r="FT15" s="179" t="n">
        <v>0.9167</v>
      </c>
      <c r="FU15" s="176" t="n">
        <v>-0.275</v>
      </c>
      <c r="FV15" s="179" t="n">
        <v>0.6892</v>
      </c>
      <c r="FW15" s="179" t="n">
        <v>0.6874</v>
      </c>
      <c r="FX15" s="178" t="n">
        <v>7916771.43</v>
      </c>
      <c r="FY15" s="186" t="n">
        <v>0.03704248412698413</v>
      </c>
      <c r="FZ15" s="183" t="n">
        <v>0</v>
      </c>
      <c r="GA15" s="176" t="n">
        <v>0.0375332202643793</v>
      </c>
      <c r="GB15" s="176" t="n">
        <v>0.641396</v>
      </c>
      <c r="GC15" s="185" t="inlineStr">
        <is>
          <t>2025-12-10</t>
        </is>
      </c>
      <c r="GD15" s="185" t="inlineStr">
        <is>
          <t>2026-06-10</t>
        </is>
      </c>
      <c r="GE15" s="176" t="n"/>
      <c r="GF15" s="176" t="n"/>
      <c r="GG15" s="179" t="n"/>
      <c r="GH15" s="181" t="inlineStr">
        <is>
          <t>China International Capital Corporation / Sponsor-OC</t>
        </is>
      </c>
      <c r="GI15" s="183" t="n">
        <v>0</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PRE_2025_REFORM</t>
        </is>
      </c>
    </row>
    <row r="16" ht="51" customFormat="1" customHeight="1" s="12">
      <c r="A16" s="43" t="n">
        <v>32</v>
      </c>
      <c r="B16" s="47" t="inlineStr">
        <is>
          <t>9881.HK</t>
        </is>
      </c>
      <c r="C16" s="44" t="inlineStr">
        <is>
          <t>Rongta Technology (Xiamen) Group Co., Ltd.
- H shares</t>
        </is>
      </c>
      <c r="D16" s="130" t="n">
        <v>45807</v>
      </c>
      <c r="E16" s="48" t="n">
        <v>45818</v>
      </c>
      <c r="F16" s="43" t="inlineStr">
        <is>
          <t>Yue Xiu Capital Limited</t>
        </is>
      </c>
      <c r="G16" s="43" t="inlineStr">
        <is>
          <t>PricewaterhouseCoopers</t>
        </is>
      </c>
      <c r="H16" s="43" t="inlineStr">
        <is>
          <t>Peak Vision Appraisals Limited</t>
        </is>
      </c>
      <c r="I16" s="131" t="n">
        <v>24290000</v>
      </c>
      <c r="J16" s="148" t="n">
        <v>159710000</v>
      </c>
      <c r="K16" s="133" t="n">
        <v>10</v>
      </c>
      <c r="L16" t="n">
        <v>94733000</v>
      </c>
      <c r="M16" s="67" t="n">
        <v>18400000</v>
      </c>
      <c r="N16" t="n">
        <v>76333000</v>
      </c>
      <c r="O16" t="n">
        <v>76333000</v>
      </c>
      <c r="P16" t="n">
        <v>0</v>
      </c>
      <c r="Q16" t="n">
        <v>18400000</v>
      </c>
      <c r="R16" s="67" t="n">
        <v>16560000</v>
      </c>
      <c r="S16" s="67" t="n">
        <v>1840000</v>
      </c>
      <c r="T16" s="147" t="n">
        <v>12</v>
      </c>
      <c r="U16" s="147" t="n">
        <v>10</v>
      </c>
      <c r="V16" s="169" t="n">
        <v>-0.090909</v>
      </c>
      <c r="W16" s="169" t="n">
        <v>0.181818</v>
      </c>
      <c r="X16" s="170" t="inlineStr">
        <is>
          <t>At low</t>
        </is>
      </c>
      <c r="Y16" s="26" t="inlineStr">
        <is>
          <t>RMB</t>
        </is>
      </c>
      <c r="Z16" s="137" t="n">
        <v>405039000</v>
      </c>
      <c r="AA16" s="137" t="n">
        <v>383384000</v>
      </c>
      <c r="AB16" s="137" t="n">
        <v>337128000</v>
      </c>
      <c r="AC16" s="137" t="n">
        <v>175103000</v>
      </c>
      <c r="AD16" s="137" t="n">
        <v>182706000</v>
      </c>
      <c r="AE16" s="137" t="n">
        <v>160063000</v>
      </c>
      <c r="AF16" s="137" t="n">
        <v>229936000</v>
      </c>
      <c r="AG16" s="137" t="n">
        <v>200678000</v>
      </c>
      <c r="AH16" s="137" t="n">
        <v>177065000</v>
      </c>
      <c r="AI16" s="137" t="n">
        <v>393273000</v>
      </c>
      <c r="AJ16" s="137" t="n">
        <v>348749000</v>
      </c>
      <c r="AK16" s="137" t="n">
        <v>350062000</v>
      </c>
      <c r="AL16" s="137" t="n">
        <v>42378000</v>
      </c>
      <c r="AM16" s="137" t="n">
        <v>29554000</v>
      </c>
      <c r="AN16" s="137" t="n">
        <v>44885000</v>
      </c>
      <c r="AO16" s="137" t="n">
        <v>37447000</v>
      </c>
      <c r="AP16" s="137" t="n">
        <v>27603000</v>
      </c>
      <c r="AQ16" s="137" t="n">
        <v>41347000</v>
      </c>
      <c r="AR16" s="142" t="inlineStr">
        <is>
          <t>NaN</t>
        </is>
      </c>
      <c r="AS16" s="142" t="inlineStr">
        <is>
          <t>NaN</t>
        </is>
      </c>
      <c r="AT16" s="84" t="n">
        <v>0.15</v>
      </c>
      <c r="AU16" s="51" t="inlineStr">
        <is>
          <t>Manufacturing and selling AIDC devices, including specialty printers, scales, POS terminals and PDAs, and providing related solutions</t>
        </is>
      </c>
      <c r="AV16" s="51" t="inlineStr">
        <is>
          <t>Main Board</t>
        </is>
      </c>
      <c r="AW16" s="136" t="n">
        <v>45657</v>
      </c>
      <c r="AX16" s="137" t="n">
        <v>54630000</v>
      </c>
      <c r="AY16" s="117" t="n">
        <v>7609000</v>
      </c>
      <c r="AZ16" s="117" t="n">
        <v>15353000</v>
      </c>
      <c r="BA16" s="117" t="n">
        <v>8456000</v>
      </c>
      <c r="BB16" s="138" t="n">
        <v>0.272</v>
      </c>
      <c r="BC16" s="139" t="n">
        <v>1</v>
      </c>
      <c r="BD16" s="80" t="n">
        <v>1</v>
      </c>
      <c r="BE16" s="161" t="inlineStr">
        <is>
          <t>NaN</t>
        </is>
      </c>
      <c r="BF16" s="161" t="n">
        <v>1</v>
      </c>
      <c r="BG16" s="161" t="n">
        <v>1</v>
      </c>
      <c r="BH16" s="161" t="inlineStr">
        <is>
          <t>NaN</t>
        </is>
      </c>
      <c r="BI16" s="161" t="inlineStr">
        <is>
          <t>NaN</t>
        </is>
      </c>
      <c r="BJ16" s="162" t="inlineStr">
        <is>
          <t>Raycloud Technology; Xiamen Yijiayi; Xiamen Shangzhi Lianyao; Jiangsu Zhanbo; Xiamen Chengfeng Junhua; Xiamen Jiayi Junde</t>
        </is>
      </c>
      <c r="BK16" s="163" t="inlineStr">
        <is>
          <t>NaN</t>
        </is>
      </c>
      <c r="BL16" s="161" t="n">
        <v>0</v>
      </c>
      <c r="BM16" s="164" t="inlineStr">
        <is>
          <t>April 2021 Investment</t>
        </is>
      </c>
      <c r="BN16" s="165" t="inlineStr">
        <is>
          <t>NaN</t>
        </is>
      </c>
      <c r="BO16" s="51" t="inlineStr">
        <is>
          <t>Individual</t>
        </is>
      </c>
      <c r="BP16" s="135" t="n">
        <v>0.7498</v>
      </c>
      <c r="BQ16" s="135" t="n">
        <v>0.7498</v>
      </c>
      <c r="BR16" s="137" t="n">
        <v>89512000</v>
      </c>
      <c r="BS16" s="51" t="inlineStr">
        <is>
          <t>NA</t>
        </is>
      </c>
      <c r="BT16" s="142" t="inlineStr">
        <is>
          <t>NaN</t>
        </is>
      </c>
      <c r="BU16" s="60" t="inlineStr">
        <is>
          <t>Main Board</t>
        </is>
      </c>
      <c r="BV16" s="89" t="inlineStr">
        <is>
          <t>H Shares</t>
        </is>
      </c>
      <c r="BW16" s="61" t="n">
        <v>0</v>
      </c>
      <c r="BX16" s="77" t="n">
        <v>0</v>
      </c>
      <c r="BY16" s="77" t="n">
        <v>0</v>
      </c>
      <c r="BZ16" s="78" t="n">
        <v>0</v>
      </c>
      <c r="CA16" s="60" t="inlineStr">
        <is>
          <t>701020</t>
        </is>
      </c>
      <c r="CB16" s="76" t="inlineStr">
        <is>
          <t>HSICS (Hang Seng Industry Classification System) 2026</t>
        </is>
      </c>
      <c r="CC16" s="140" t="n">
        <v>40532</v>
      </c>
      <c r="CD16" s="171" t="n">
        <v>14.47</v>
      </c>
      <c r="CE16" s="76" t="inlineStr">
        <is>
          <t>PRC</t>
        </is>
      </c>
      <c r="CF16" s="89" t="inlineStr">
        <is>
          <t>No. 88 South Tonghui Road, Xiamen, Fujian Province, PRC</t>
        </is>
      </c>
      <c r="CG16" s="91" t="n">
        <v>1000</v>
      </c>
      <c r="CH16" s="60" t="inlineStr">
        <is>
          <t>IFRS Accounting Standards</t>
        </is>
      </c>
      <c r="CI16" s="141" t="n">
        <v>44562</v>
      </c>
      <c r="CJ16" s="141" t="n">
        <v>44926</v>
      </c>
      <c r="CK16" s="141" t="n">
        <v>44927</v>
      </c>
      <c r="CL16" s="141" t="n">
        <v>45291</v>
      </c>
      <c r="CM16" s="141" t="n">
        <v>45292</v>
      </c>
      <c r="CN16" s="64" t="n">
        <v>350062000</v>
      </c>
      <c r="CO16" s="64" t="n">
        <v>44885000</v>
      </c>
      <c r="CP16" s="64" t="n">
        <v>41347000</v>
      </c>
      <c r="CQ16" s="141" t="n">
        <v>45807</v>
      </c>
      <c r="CR16" s="141" t="n">
        <v>45813</v>
      </c>
      <c r="CS16" s="63" t="n">
        <v>94733000</v>
      </c>
      <c r="CT16" s="64" t="n">
        <v>99365000</v>
      </c>
      <c r="CU16" s="64" t="n">
        <v>4510000</v>
      </c>
      <c r="CV16" s="59" t="inlineStr">
        <is>
          <t>Unqualified opinion (true and fair view)</t>
        </is>
      </c>
      <c r="CW16" s="64" t="n">
        <v>54100000</v>
      </c>
      <c r="CX16" s="51" t="inlineStr">
        <is>
          <t>Hongkong Linktech Technology Co., Limited; Mr. Cao Ke; Mr. Lin Xiaojian; Sinos Group Limited; Ms. Li Shuhan; Main Achieve Holdings Limited; Mr. Ng Chi Fat</t>
        </is>
      </c>
      <c r="CY16" s="142" t="n">
        <v>0.4364</v>
      </c>
      <c r="CZ16" s="136" t="n">
        <v>46001</v>
      </c>
      <c r="DA16" s="143" t="n">
        <v>275.96</v>
      </c>
      <c r="DB16" s="63" t="n">
        <v>26751</v>
      </c>
      <c r="DC16" s="63" t="n">
        <v>507769500</v>
      </c>
      <c r="DD16" s="59" t="inlineStr">
        <is>
          <t>Subscription level 275.96 times; the Hong Kong Offer Shares are oversubscribed</t>
        </is>
      </c>
      <c r="DE16" s="141" t="n">
        <v>45814</v>
      </c>
      <c r="DF16" s="141" t="n">
        <v>45817</v>
      </c>
      <c r="DG16" s="63" t="n">
        <v>18400000</v>
      </c>
      <c r="DH16" s="63" t="n">
        <v>2429000</v>
      </c>
      <c r="DI16" s="63" t="n">
        <v>15971000</v>
      </c>
      <c r="DJ16" s="63" t="n">
        <v>0</v>
      </c>
      <c r="DK16" s="169" t="n">
        <v>0</v>
      </c>
      <c r="DL16" s="59" t="inlineStr">
        <is>
          <t>Claw-back triggered: No; 589,000 H Shares reallocated from the International Offering (undersubscribed) to the Hong Kong Public Offering (oversubscribed); final Hong Kong Public Offering 2,429,000 H Shares, representing 13.2% of the Global Offering</t>
        </is>
      </c>
      <c r="DM16" s="144" t="n">
        <v>131200000</v>
      </c>
      <c r="DN16" s="142" t="inlineStr">
        <is>
          <t>NaN</t>
        </is>
      </c>
      <c r="DO16" s="51" t="n">
        <v>94733000</v>
      </c>
      <c r="DP16" s="142" t="n">
        <v>0.10947</v>
      </c>
      <c r="DQ16" s="59" t="inlineStr">
        <is>
          <t>分母为上市时已发行股份总数94,733,000股（H股，不含超额配售权，超额配售0股）；公告仅确认公众持股不低于25%，未给出具体股数与比例，自由流通股数=全球发售18,400,000股−基石获配8,030,000股=10,370,000股</t>
        </is>
      </c>
      <c r="DR16" s="63" t="n">
        <v>94733000</v>
      </c>
      <c r="DS16" s="142" t="n">
        <v>0.07112251</v>
      </c>
      <c r="DT16" s="80" t="n">
        <v>17</v>
      </c>
      <c r="DU16" s="142" t="n">
        <v>0.0058857</v>
      </c>
      <c r="DV16" s="144" t="n">
        <v>173434000000</v>
      </c>
      <c r="DW16" s="145" t="n">
        <v>14.2</v>
      </c>
      <c r="DX16" s="169" t="n">
        <v>0.42</v>
      </c>
      <c r="DY16" s="172" t="n">
        <v>77280000</v>
      </c>
      <c r="DZ16" s="146" t="n">
        <v>16.6</v>
      </c>
      <c r="EA16" s="146" t="n">
        <v>17.56</v>
      </c>
      <c r="EB16" s="146" t="n">
        <v>13.12</v>
      </c>
      <c r="EC16" s="63" t="n">
        <v>8501920</v>
      </c>
      <c r="ED16" s="169" t="n">
        <v>0.462061</v>
      </c>
      <c r="EE16" s="64" t="n">
        <v>132692800</v>
      </c>
      <c r="EF16" s="60" t="inlineStr">
        <is>
          <t>PN18 statutory clawback</t>
        </is>
      </c>
      <c r="EG16" s="59" t="inlineStr">
        <is>
          <t>FINI (from 22/11/2023)</t>
        </is>
      </c>
      <c r="EH16" t="inlineStr">
        <is>
          <t>容大合众（厦门）科技集团股份公司</t>
        </is>
      </c>
      <c r="EI16" s="174" t="inlineStr">
        <is>
          <t>No recent trading (verify status)</t>
        </is>
      </c>
      <c r="EJ16" s="175" t="n">
        <v>9.23</v>
      </c>
      <c r="EK16" s="176" t="n">
        <v>-0.35</v>
      </c>
      <c r="EL16" s="176" t="n">
        <v>-0.077</v>
      </c>
      <c r="EM16" s="176" t="n">
        <v>-0.000612</v>
      </c>
      <c r="EN16" s="176" t="n">
        <v>-0.012284</v>
      </c>
      <c r="EO16" s="179" t="n">
        <v>0.6504</v>
      </c>
      <c r="EP16" s="179" t="n">
        <v>0.6581</v>
      </c>
      <c r="EQ16" s="178" t="n">
        <v>14438865</v>
      </c>
      <c r="ER16" s="175" t="n">
        <v>12.71</v>
      </c>
      <c r="ES16" s="176" t="n">
        <v>-0.10493</v>
      </c>
      <c r="ET16" s="176" t="n">
        <v>0.271</v>
      </c>
      <c r="EU16" s="176" t="n">
        <v>0.057026</v>
      </c>
      <c r="EV16" s="176" t="n">
        <v>0.035034</v>
      </c>
      <c r="EW16" s="179" t="n">
        <v>0.8468</v>
      </c>
      <c r="EX16" s="179" t="n">
        <v>0.8648</v>
      </c>
      <c r="EY16" s="178" t="n">
        <v>1212305</v>
      </c>
      <c r="EZ16" s="176" t="n">
        <v>0.009136</v>
      </c>
      <c r="FA16" s="176" t="n"/>
      <c r="FB16" s="179" t="n"/>
      <c r="FC16" s="176" t="n"/>
      <c r="FD16" s="179" t="n"/>
      <c r="FE16" s="174" t="inlineStr">
        <is>
          <t>Standard</t>
        </is>
      </c>
      <c r="FF16" s="181" t="inlineStr">
        <is>
          <t>China International Capital Corporation / Sponsor-OC</t>
        </is>
      </c>
      <c r="FG16" s="185" t="inlineStr">
        <is>
          <t>2025-07-10</t>
        </is>
      </c>
      <c r="FH16" s="183" t="n">
        <v>0</v>
      </c>
      <c r="FI16" s="178" t="n">
        <v>0</v>
      </c>
      <c r="FJ16" s="176" t="n">
        <v>0.15</v>
      </c>
      <c r="FK16" s="185" t="inlineStr">
        <is>
          <t>2025-07-10</t>
        </is>
      </c>
      <c r="FL16" s="178" t="n">
        <v>0</v>
      </c>
      <c r="FM16" s="176" t="n">
        <v>0</v>
      </c>
      <c r="FN16" s="176" t="n">
        <v>-0.074074</v>
      </c>
      <c r="FO16" s="176" t="n">
        <v>-0.073786</v>
      </c>
      <c r="FP16" s="176" t="n">
        <v>0.094865</v>
      </c>
      <c r="FQ16" s="176" t="n">
        <v>-0.214085</v>
      </c>
      <c r="FR16" s="179" t="n">
        <v>0.7892</v>
      </c>
      <c r="FS16" s="176" t="n">
        <v>-0.35</v>
      </c>
      <c r="FT16" s="179" t="n">
        <v>0.6504</v>
      </c>
      <c r="FU16" s="176" t="n">
        <v>-0.251408</v>
      </c>
      <c r="FV16" s="179" t="n">
        <v>0.7116</v>
      </c>
      <c r="FW16" s="179" t="n">
        <v>0.7097</v>
      </c>
      <c r="FX16" s="178" t="n">
        <v>5892800</v>
      </c>
      <c r="FY16" s="186" t="n">
        <v>0.03148392063492064</v>
      </c>
      <c r="FZ16" s="183" t="n">
        <v>0</v>
      </c>
      <c r="GA16" s="176" t="n">
        <v>0.05556447437031389</v>
      </c>
      <c r="GB16" s="176" t="n">
        <v>0.491458</v>
      </c>
      <c r="GC16" s="185" t="inlineStr">
        <is>
          <t>2025-12-10</t>
        </is>
      </c>
      <c r="GD16" s="185" t="inlineStr">
        <is>
          <t>2026-06-10</t>
        </is>
      </c>
      <c r="GE16" s="176" t="n">
        <v>0.05838</v>
      </c>
      <c r="GF16" s="176" t="n">
        <v>0.475209</v>
      </c>
      <c r="GG16" s="179" t="n">
        <v>1.8715</v>
      </c>
      <c r="GH16" s="181" t="inlineStr">
        <is>
          <t>China International Capital Corporation / Sponsor-OC</t>
        </is>
      </c>
      <c r="GI16" s="183" t="n">
        <v>0</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PRE_2025_REFORM</t>
        </is>
      </c>
    </row>
    <row r="17" ht="68" customFormat="1" customHeight="1" s="12">
      <c r="A17" s="43" t="n">
        <v>33</v>
      </c>
      <c r="B17" s="47" t="inlineStr">
        <is>
          <t>3288.HK</t>
        </is>
      </c>
      <c r="C17" s="44" t="inlineStr">
        <is>
          <t>Foshan Haitian Flavouring and Food Company Ltd. 
- H shares</t>
        </is>
      </c>
      <c r="D17" s="130" t="n">
        <v>45819</v>
      </c>
      <c r="E17" s="48" t="n">
        <v>45827</v>
      </c>
      <c r="F17" s="43" t="inlineStr">
        <is>
          <t>China International Capital Corporation
Hong Kong Securities Limited/
Goldman Sachs (Asia) L.L.C./
Morgan Stanley Asia Limited</t>
        </is>
      </c>
      <c r="G17" s="43" t="inlineStr">
        <is>
          <t>KPMG</t>
        </is>
      </c>
      <c r="H17" s="43" t="n"/>
      <c r="I17" s="131" t="n">
        <v>2006660370</v>
      </c>
      <c r="J17" s="148" t="n">
        <v>8564785349.999999</v>
      </c>
      <c r="K17" s="133" t="n">
        <v>36.3</v>
      </c>
      <c r="L17" t="n">
        <v>5823838044</v>
      </c>
      <c r="M17" s="67" t="n">
        <v>263237500</v>
      </c>
      <c r="N17" t="n">
        <v>5560600544</v>
      </c>
      <c r="O17" t="n">
        <v>5560600544</v>
      </c>
      <c r="P17" t="n">
        <v>0</v>
      </c>
      <c r="Q17" t="n">
        <v>263237500</v>
      </c>
      <c r="R17" s="67" t="n">
        <v>247443200</v>
      </c>
      <c r="S17" s="67" t="n">
        <v>15794300</v>
      </c>
      <c r="T17" s="147" t="n">
        <v>36.3</v>
      </c>
      <c r="U17" s="147" t="n">
        <v>35</v>
      </c>
      <c r="V17" s="169" t="n">
        <v>0.018233</v>
      </c>
      <c r="W17" s="169" t="n">
        <v>0.036466</v>
      </c>
      <c r="X17" s="170" t="inlineStr">
        <is>
          <t>At high</t>
        </is>
      </c>
      <c r="Y17" s="26" t="inlineStr">
        <is>
          <t>RMB</t>
        </is>
      </c>
      <c r="Z17" s="137" t="n">
        <v>34059175000</v>
      </c>
      <c r="AA17" s="137" t="n">
        <v>38423517000</v>
      </c>
      <c r="AB17" s="137" t="n">
        <v>40858435000</v>
      </c>
      <c r="AC17" s="137" t="n">
        <v>26884479000</v>
      </c>
      <c r="AD17" s="137" t="n">
        <v>29032976000</v>
      </c>
      <c r="AE17" s="137" t="n">
        <v>31401944000</v>
      </c>
      <c r="AF17" s="137" t="n">
        <v>7174696000</v>
      </c>
      <c r="AG17" s="137" t="n">
        <v>9390541000</v>
      </c>
      <c r="AH17" s="137" t="n">
        <v>9456491000</v>
      </c>
      <c r="AI17" s="137" t="n">
        <v>25609652000</v>
      </c>
      <c r="AJ17" s="137" t="n">
        <v>24559312000</v>
      </c>
      <c r="AK17" s="137" t="n">
        <v>26900978000</v>
      </c>
      <c r="AL17" s="137" t="n">
        <v>7364205000</v>
      </c>
      <c r="AM17" s="137" t="n">
        <v>6739038000</v>
      </c>
      <c r="AN17" s="137" t="n">
        <v>7513082000</v>
      </c>
      <c r="AO17" s="137" t="n">
        <v>6203166000</v>
      </c>
      <c r="AP17" s="137" t="n">
        <v>5642187000</v>
      </c>
      <c r="AQ17" s="137" t="n">
        <v>6355861000</v>
      </c>
      <c r="AR17" s="142" t="n">
        <v>0.005</v>
      </c>
      <c r="AS17" s="142" t="n">
        <v>0.005</v>
      </c>
      <c r="AT17" s="84" t="n">
        <v>0.15</v>
      </c>
      <c r="AU17" s="51" t="inlineStr">
        <is>
          <t>Manufacturing and sales of soy sauce, oyster sauce, flavored sauce and specialty condiment products (condiments industry)</t>
        </is>
      </c>
      <c r="AV17" s="51" t="inlineStr">
        <is>
          <t>Main Board of the Stock Exchange</t>
        </is>
      </c>
      <c r="AW17" s="136" t="n">
        <v>45657</v>
      </c>
      <c r="AX17" s="137" t="n">
        <v>6843710000</v>
      </c>
      <c r="AY17" s="117" t="n">
        <v>11906831000</v>
      </c>
      <c r="AZ17" s="117" t="n">
        <v>839532000</v>
      </c>
      <c r="BA17" s="117" t="n">
        <v>0</v>
      </c>
      <c r="BB17" s="138" t="n">
        <v>0.03</v>
      </c>
      <c r="BC17" s="139" t="n">
        <v>1</v>
      </c>
      <c r="BD17" s="80" t="inlineStr">
        <is>
          <t>NaN</t>
        </is>
      </c>
      <c r="BE17" s="161" t="inlineStr">
        <is>
          <t>NaN</t>
        </is>
      </c>
      <c r="BF17" s="161" t="inlineStr">
        <is>
          <t>NaN</t>
        </is>
      </c>
      <c r="BG17" s="161" t="inlineStr">
        <is>
          <t>NaN</t>
        </is>
      </c>
      <c r="BH17" s="161" t="inlineStr">
        <is>
          <t>NaN</t>
        </is>
      </c>
      <c r="BI17" s="161" t="inlineStr">
        <is>
          <t>NaN</t>
        </is>
      </c>
      <c r="BJ17" s="162" t="inlineStr">
        <is>
          <t>NA</t>
        </is>
      </c>
      <c r="BK17" s="163" t="inlineStr">
        <is>
          <t>NaN</t>
        </is>
      </c>
      <c r="BL17" s="161" t="inlineStr">
        <is>
          <t>NaN</t>
        </is>
      </c>
      <c r="BM17" s="164" t="inlineStr">
        <is>
          <t>NA</t>
        </is>
      </c>
      <c r="BN17" s="165" t="inlineStr">
        <is>
          <t>NaN</t>
        </is>
      </c>
      <c r="BO17" s="51" t="inlineStr">
        <is>
          <t>Concert Party Group (individual founders/management) acting through Guangdong Haitian and Foshan Haipeng</t>
        </is>
      </c>
      <c r="BP17" s="135" t="n">
        <v>0.6886</v>
      </c>
      <c r="BQ17" s="135" t="n">
        <v>0.6886</v>
      </c>
      <c r="BR17" s="137" t="n">
        <v>405026000</v>
      </c>
      <c r="BS17" s="51" t="inlineStr">
        <is>
          <t>NA</t>
        </is>
      </c>
      <c r="BT17" s="142" t="n">
        <v>0</v>
      </c>
      <c r="BU17" s="60" t="inlineStr">
        <is>
          <t>Main Board</t>
        </is>
      </c>
      <c r="BV17" s="89" t="inlineStr">
        <is>
          <t>H Shares</t>
        </is>
      </c>
      <c r="BW17" s="61" t="n">
        <v>1</v>
      </c>
      <c r="BX17" s="77" t="n">
        <v>0</v>
      </c>
      <c r="BY17" s="77" t="n">
        <v>0</v>
      </c>
      <c r="BZ17" s="78" t="n">
        <v>0</v>
      </c>
      <c r="CA17" s="60" t="inlineStr">
        <is>
          <t>251050</t>
        </is>
      </c>
      <c r="CB17" s="76" t="inlineStr">
        <is>
          <t>HSICS (Hang Seng Industry Classification System) 2026</t>
        </is>
      </c>
      <c r="CC17" s="140" t="n">
        <v>36624</v>
      </c>
      <c r="CD17" s="171" t="n">
        <v>25.2</v>
      </c>
      <c r="CE17" s="76" t="inlineStr">
        <is>
          <t>PRC</t>
        </is>
      </c>
      <c r="CF17" s="89" t="inlineStr">
        <is>
          <t>No. 16, Wensha Road, Foshan City, Guangdong Province, PRC</t>
        </is>
      </c>
      <c r="CG17" s="91" t="n">
        <v>1000</v>
      </c>
      <c r="CH17" s="60" t="inlineStr">
        <is>
          <t>IFRS Accounting Standards</t>
        </is>
      </c>
      <c r="CI17" s="141" t="n">
        <v>44562</v>
      </c>
      <c r="CJ17" s="141" t="n">
        <v>44926</v>
      </c>
      <c r="CK17" s="141" t="n">
        <v>44927</v>
      </c>
      <c r="CL17" s="141" t="n">
        <v>45291</v>
      </c>
      <c r="CM17" s="141" t="n">
        <v>45292</v>
      </c>
      <c r="CN17" s="64" t="n">
        <v>26900978000</v>
      </c>
      <c r="CO17" s="64" t="n">
        <v>7513082000</v>
      </c>
      <c r="CP17" s="64" t="n">
        <v>6355861000</v>
      </c>
      <c r="CQ17" s="141" t="n">
        <v>45819</v>
      </c>
      <c r="CR17" s="141" t="n">
        <v>45824</v>
      </c>
      <c r="CS17" s="63" t="n">
        <v>263237500</v>
      </c>
      <c r="CT17" s="64" t="n">
        <v>9725076000</v>
      </c>
      <c r="CU17" s="64" t="n">
        <v>1575700000</v>
      </c>
      <c r="CV17" s="59" t="inlineStr">
        <is>
          <t>Unqualified / true and fair view (no modified opinion)</t>
        </is>
      </c>
      <c r="CW17" s="64" t="n">
        <v>113200000</v>
      </c>
      <c r="CX17" s="51" t="inlineStr">
        <is>
          <t>HHLR Advisors, Ltd. (HHLRA); GIC Private Limited (GIC); RBC Global Asset Management (Asia) Limited (RBC); China Pinnacle Equity Management Limited (CPE); UBS Asset Management (Singapore) Ltd. (UBS AM Singapore); Supercluster Universe Limited; HSG Growth VII Holdco, Ltd. (HSG Growth); Foshan Development Co., Ltd. (Foshan Development)</t>
        </is>
      </c>
      <c r="CY17" s="142" t="n">
        <v>0.4608</v>
      </c>
      <c r="CZ17" s="136" t="n">
        <v>46010</v>
      </c>
      <c r="DA17" s="143" t="n">
        <v>918.15</v>
      </c>
      <c r="DB17" s="63" t="n">
        <v>379668</v>
      </c>
      <c r="DC17" s="63" t="n">
        <v>14501552600</v>
      </c>
      <c r="DD17" s="59" t="inlineStr">
        <is>
          <t>Subscription level 918.15 times</t>
        </is>
      </c>
      <c r="DE17" s="141" t="n">
        <v>45825</v>
      </c>
      <c r="DF17" s="141" t="n">
        <v>45826</v>
      </c>
      <c r="DG17" s="63" t="n">
        <v>279031700</v>
      </c>
      <c r="DH17" s="63" t="n">
        <v>55279900</v>
      </c>
      <c r="DI17" s="63" t="n">
        <v>223751800</v>
      </c>
      <c r="DJ17" s="63" t="n">
        <v>12192700</v>
      </c>
      <c r="DK17" s="169" t="n">
        <v>0.29131</v>
      </c>
      <c r="DL17" s="59" t="inlineStr">
        <is>
          <t>Claw-back triggered Yes; 39,485,600 Offer Shares reallocated from the International Offering to the Hong Kong Public Offering, final HKPO 55,279,900 (19.81%)</t>
        </is>
      </c>
      <c r="DM17" s="144" t="n">
        <v>10009600000</v>
      </c>
      <c r="DN17" s="142" t="n">
        <v>0.0479</v>
      </c>
      <c r="DO17" s="51" t="n">
        <v>5839632244</v>
      </c>
      <c r="DP17" s="142" t="n">
        <v>0.025764</v>
      </c>
      <c r="DQ17" s="59" t="inlineStr">
        <is>
          <t>分母为上市时已发行股份总数 5,839,632,244 股（含 A 股等非上市股份，剔除库存股；已计入发售规模调整权全额行使、未计入超额配售）</t>
        </is>
      </c>
      <c r="DR17" s="63" t="n">
        <v>5839632244</v>
      </c>
      <c r="DS17" s="142" t="n">
        <v>0.0456373</v>
      </c>
      <c r="DT17" s="80" t="n">
        <v>19</v>
      </c>
      <c r="DU17" s="142" t="n">
        <v>0.0054524</v>
      </c>
      <c r="DV17" s="144" t="n">
        <v>173519000000</v>
      </c>
      <c r="DW17" s="145" t="n">
        <v>34.968</v>
      </c>
      <c r="DX17" s="169" t="n">
        <v>-0.036694</v>
      </c>
      <c r="DY17" s="172" t="n">
        <v>-371670224.4</v>
      </c>
      <c r="DZ17" s="146" t="n">
        <v>35.968</v>
      </c>
      <c r="EA17" s="146" t="n">
        <v>36.468</v>
      </c>
      <c r="EB17" s="146" t="n">
        <v>34.518</v>
      </c>
      <c r="EC17" s="63" t="n">
        <v>77248982</v>
      </c>
      <c r="ED17" s="169" t="n">
        <v>0.276847</v>
      </c>
      <c r="EE17" s="64" t="n">
        <v>2884542920</v>
      </c>
      <c r="EF17" s="60" t="inlineStr">
        <is>
          <t>PN18 statutory clawback</t>
        </is>
      </c>
      <c r="EG17" s="59" t="inlineStr">
        <is>
          <t>FINI (from 22/11/2023)</t>
        </is>
      </c>
      <c r="EH17" t="inlineStr">
        <is>
          <t>佛山市海天调味食品股份有限公司</t>
        </is>
      </c>
      <c r="EI17" s="174" t="inlineStr">
        <is>
          <t>Active</t>
        </is>
      </c>
      <c r="EJ17" s="175" t="n">
        <v>33.968</v>
      </c>
      <c r="EK17" s="176" t="n">
        <v>-0.028598</v>
      </c>
      <c r="EL17" s="176" t="n">
        <v>-0.06424199999999999</v>
      </c>
      <c r="EM17" s="176" t="n">
        <v>0.054274</v>
      </c>
      <c r="EN17" s="176" t="n">
        <v>0.070854</v>
      </c>
      <c r="EO17" s="179" t="n">
        <v>0.9214</v>
      </c>
      <c r="EP17" s="179" t="n">
        <v>0.9071</v>
      </c>
      <c r="EQ17" s="178" t="n">
        <v>293818245</v>
      </c>
      <c r="ER17" s="175" t="n">
        <v>32.153</v>
      </c>
      <c r="ES17" s="176" t="n">
        <v>-0.080502</v>
      </c>
      <c r="ET17" s="176" t="n">
        <v>-0.114242</v>
      </c>
      <c r="EU17" s="176" t="n">
        <v>0.105552</v>
      </c>
      <c r="EV17" s="176" t="n">
        <v>0.076788</v>
      </c>
      <c r="EW17" s="179" t="n">
        <v>0.8317</v>
      </c>
      <c r="EX17" s="179" t="n">
        <v>0.8539</v>
      </c>
      <c r="EY17" s="178" t="n">
        <v>39659222</v>
      </c>
      <c r="EZ17" s="176" t="n">
        <v>0.013749</v>
      </c>
      <c r="FA17" s="176" t="n"/>
      <c r="FB17" s="179" t="n"/>
      <c r="FC17" s="176" t="n"/>
      <c r="FD17" s="179" t="n"/>
      <c r="FE17" s="174" t="inlineStr">
        <is>
          <t>Standard</t>
        </is>
      </c>
      <c r="FF17" s="181" t="inlineStr">
        <is>
          <t>China International Capital Corporation / Sponsor-OC</t>
        </is>
      </c>
      <c r="FG17" s="185" t="inlineStr">
        <is>
          <t>2025-07-19</t>
        </is>
      </c>
      <c r="FH17" s="183" t="n">
        <v>0</v>
      </c>
      <c r="FI17" s="178" t="n">
        <v>0</v>
      </c>
      <c r="FJ17" s="176" t="n">
        <v>0.15</v>
      </c>
      <c r="FK17" s="185" t="inlineStr">
        <is>
          <t>2025-07-19</t>
        </is>
      </c>
      <c r="FL17" s="178" t="n">
        <v>0</v>
      </c>
      <c r="FM17" s="176" t="n">
        <v>0</v>
      </c>
      <c r="FN17" s="176" t="n">
        <v>-0.027285</v>
      </c>
      <c r="FO17" s="176" t="n">
        <v>-0.039803</v>
      </c>
      <c r="FP17" s="176" t="n">
        <v>0.22146</v>
      </c>
      <c r="FQ17" s="176" t="n">
        <v>-0.00572</v>
      </c>
      <c r="FR17" s="179" t="n">
        <v>0.944</v>
      </c>
      <c r="FS17" s="176" t="n">
        <v>-0.028598</v>
      </c>
      <c r="FT17" s="179" t="n">
        <v>0.9214</v>
      </c>
      <c r="FU17" s="176" t="n">
        <v>-0.050189</v>
      </c>
      <c r="FV17" s="179" t="n">
        <v>0.8348</v>
      </c>
      <c r="FW17" s="179" t="n">
        <v>0.7952</v>
      </c>
      <c r="FX17" s="178" t="n">
        <v>136208520</v>
      </c>
      <c r="FY17" s="186" t="n">
        <v>0.0001862460317460317</v>
      </c>
      <c r="FZ17" s="183" t="n">
        <v>0</v>
      </c>
      <c r="GA17" s="176" t="n">
        <v>0.01355929865146963</v>
      </c>
      <c r="GB17" s="176" t="n">
        <v>0.167681</v>
      </c>
      <c r="GC17" s="185" t="inlineStr">
        <is>
          <t>2025-12-19</t>
        </is>
      </c>
      <c r="GD17" s="185" t="inlineStr">
        <is>
          <t>2026-06-19</t>
        </is>
      </c>
      <c r="GE17" s="176" t="n">
        <v>0.039355</v>
      </c>
      <c r="GF17" s="176" t="n">
        <v>-0.027876</v>
      </c>
      <c r="GG17" s="179" t="n">
        <v>1.5791</v>
      </c>
      <c r="GH17" s="181" t="inlineStr">
        <is>
          <t>China International Capital Corporation / Sponsor-OC</t>
        </is>
      </c>
      <c r="GI17" s="183" t="n">
        <v>0</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PRE_2025_REFORM</t>
        </is>
      </c>
    </row>
    <row r="18" ht="51" customFormat="1" customHeight="1" s="11">
      <c r="A18" s="43" t="n">
        <v>36</v>
      </c>
      <c r="B18" s="47" t="inlineStr">
        <is>
          <t>2050.HK</t>
        </is>
      </c>
      <c r="C18" s="44" t="inlineStr">
        <is>
          <t>Zhejiang Sanhua Intelligent Controls Co., Ltd.
- H shares</t>
        </is>
      </c>
      <c r="D18" s="130" t="n">
        <v>45821</v>
      </c>
      <c r="E18" s="48" t="n">
        <v>45831</v>
      </c>
      <c r="F18" s="43" t="inlineStr">
        <is>
          <t>China International Capital Corporation 
Hong Kong Securities Limited/
Huatai Financial Holdings (Hong Kong) Limited</t>
        </is>
      </c>
      <c r="G18" s="43" t="inlineStr">
        <is>
          <t>Confucius International CPA Limited</t>
        </is>
      </c>
      <c r="H18" s="43" t="n"/>
      <c r="I18" s="131" t="n">
        <v>2474032818</v>
      </c>
      <c r="J18" s="148" t="n">
        <v>8262332274</v>
      </c>
      <c r="K18" s="133" t="n">
        <v>22.53</v>
      </c>
      <c r="L18" t="n">
        <v>4092719535</v>
      </c>
      <c r="M18" s="67" t="n">
        <v>360330000</v>
      </c>
      <c r="N18" t="n">
        <v>3732389535</v>
      </c>
      <c r="O18" t="n">
        <v>3732389535</v>
      </c>
      <c r="P18" t="n">
        <v>0</v>
      </c>
      <c r="Q18" t="n">
        <v>360330000</v>
      </c>
      <c r="R18" s="67" t="n">
        <v>335106900</v>
      </c>
      <c r="S18" s="67" t="n">
        <v>25223100</v>
      </c>
      <c r="T18" s="147" t="n">
        <v>22.53</v>
      </c>
      <c r="U18" s="147" t="n">
        <v>21.21</v>
      </c>
      <c r="V18" s="169" t="n">
        <v>0.030178</v>
      </c>
      <c r="W18" s="169" t="n">
        <v>0.060357</v>
      </c>
      <c r="X18" s="170" t="inlineStr">
        <is>
          <t>At high</t>
        </is>
      </c>
      <c r="Y18" s="26" t="inlineStr">
        <is>
          <t>RMB</t>
        </is>
      </c>
      <c r="Z18" s="137" t="n">
        <v>27961214000</v>
      </c>
      <c r="AA18" s="137" t="n">
        <v>31890585000</v>
      </c>
      <c r="AB18" s="137" t="n">
        <v>36354749000</v>
      </c>
      <c r="AC18" s="137" t="n">
        <v>13119300000</v>
      </c>
      <c r="AD18" s="137" t="n">
        <v>18063708000</v>
      </c>
      <c r="AE18" s="137" t="n">
        <v>19519644000</v>
      </c>
      <c r="AF18" s="137" t="n">
        <v>14841914000</v>
      </c>
      <c r="AG18" s="137" t="n">
        <v>13826877000</v>
      </c>
      <c r="AH18" s="137" t="n">
        <v>16835105000</v>
      </c>
      <c r="AI18" s="137" t="n">
        <v>21347550000</v>
      </c>
      <c r="AJ18" s="137" t="n">
        <v>24557802000</v>
      </c>
      <c r="AK18" s="137" t="n">
        <v>27947165000</v>
      </c>
      <c r="AL18" s="137" t="n">
        <v>3051258000</v>
      </c>
      <c r="AM18" s="137" t="n">
        <v>3553264000</v>
      </c>
      <c r="AN18" s="137" t="n">
        <v>3691687000</v>
      </c>
      <c r="AO18" s="137" t="n">
        <v>2608052000</v>
      </c>
      <c r="AP18" s="137" t="n">
        <v>2933715000</v>
      </c>
      <c r="AQ18" s="137" t="n">
        <v>3111726000</v>
      </c>
      <c r="AR18" s="142" t="n">
        <v>0.0132</v>
      </c>
      <c r="AS18" s="142" t="n">
        <v>0.0132</v>
      </c>
      <c r="AT18" s="84" t="n">
        <v>0.15</v>
      </c>
      <c r="AU18" s="51" t="inlineStr">
        <is>
          <t>Refrigeration and air-conditioning control components and automotive thermal management system components</t>
        </is>
      </c>
      <c r="AV18" s="51" t="inlineStr">
        <is>
          <t>Main Board</t>
        </is>
      </c>
      <c r="AW18" s="136" t="n">
        <v>45657</v>
      </c>
      <c r="AX18" s="137" t="n">
        <v>4026185000</v>
      </c>
      <c r="AY18" s="117" t="n">
        <v>3443503000</v>
      </c>
      <c r="AZ18" s="117" t="n">
        <v>1351799000</v>
      </c>
      <c r="BA18" s="117" t="n">
        <v>0</v>
      </c>
      <c r="BB18" s="138" t="n">
        <v>0.329</v>
      </c>
      <c r="BC18" s="139" t="n">
        <v>1</v>
      </c>
      <c r="BD18" s="80" t="inlineStr">
        <is>
          <t>NaN</t>
        </is>
      </c>
      <c r="BE18" s="161" t="inlineStr">
        <is>
          <t>NaN</t>
        </is>
      </c>
      <c r="BF18" s="161" t="inlineStr">
        <is>
          <t>NaN</t>
        </is>
      </c>
      <c r="BG18" s="161" t="inlineStr">
        <is>
          <t>NaN</t>
        </is>
      </c>
      <c r="BH18" s="161" t="inlineStr">
        <is>
          <t>NaN</t>
        </is>
      </c>
      <c r="BI18" s="161" t="inlineStr">
        <is>
          <t>NaN</t>
        </is>
      </c>
      <c r="BJ18" s="162" t="inlineStr">
        <is>
          <t>NA</t>
        </is>
      </c>
      <c r="BK18" s="163" t="inlineStr">
        <is>
          <t>NaN</t>
        </is>
      </c>
      <c r="BL18" s="161" t="inlineStr">
        <is>
          <t>NaN</t>
        </is>
      </c>
      <c r="BM18" s="164" t="inlineStr">
        <is>
          <t>NA</t>
        </is>
      </c>
      <c r="BN18" s="165" t="inlineStr">
        <is>
          <t>NaN</t>
        </is>
      </c>
      <c r="BO18" s="51" t="inlineStr">
        <is>
          <t>Individual/family-controlled (Controlling Shareholders Group)</t>
        </is>
      </c>
      <c r="BP18" s="135" t="n">
        <v>0.4069</v>
      </c>
      <c r="BQ18" s="135" t="n">
        <v>0.4072</v>
      </c>
      <c r="BR18" s="137" t="n">
        <v>4428026000</v>
      </c>
      <c r="BS18" s="51" t="inlineStr">
        <is>
          <t>Commercialized (mass production; revenue-generating)</t>
        </is>
      </c>
      <c r="BT18" s="142" t="n">
        <v>0</v>
      </c>
      <c r="BU18" s="60" t="inlineStr">
        <is>
          <t>Main Board</t>
        </is>
      </c>
      <c r="BV18" s="89" t="inlineStr">
        <is>
          <t>Ordinary Shares</t>
        </is>
      </c>
      <c r="BW18" s="61" t="n">
        <v>1</v>
      </c>
      <c r="BX18" s="77" t="n">
        <v>0</v>
      </c>
      <c r="BY18" s="77" t="n">
        <v>0</v>
      </c>
      <c r="BZ18" s="78" t="n">
        <v>0</v>
      </c>
      <c r="CA18" s="60" t="inlineStr">
        <is>
          <t>101020</t>
        </is>
      </c>
      <c r="CB18" s="76" t="inlineStr">
        <is>
          <t>HSICS (Hang Seng Industry Classification System) 2026</t>
        </is>
      </c>
      <c r="CC18" s="140" t="n">
        <v>34587</v>
      </c>
      <c r="CD18" s="171" t="n">
        <v>30.78</v>
      </c>
      <c r="CE18" s="76" t="inlineStr">
        <is>
          <t>PRC</t>
        </is>
      </c>
      <c r="CF18" s="89" t="inlineStr">
        <is>
          <t>No. 219 Woxi Avenue, Chengtan Street, Xinchang, Shaoxing, Zhejiang Province, PRC</t>
        </is>
      </c>
      <c r="CG18" s="91" t="n">
        <v>1000</v>
      </c>
      <c r="CH18" s="60" t="inlineStr">
        <is>
          <t>IFRS</t>
        </is>
      </c>
      <c r="CI18" s="141" t="n">
        <v>44562</v>
      </c>
      <c r="CJ18" s="141" t="n">
        <v>44926</v>
      </c>
      <c r="CK18" s="141" t="n">
        <v>44927</v>
      </c>
      <c r="CL18" s="141" t="n">
        <v>45291</v>
      </c>
      <c r="CM18" s="141" t="n">
        <v>45292</v>
      </c>
      <c r="CN18" s="64" t="n">
        <v>27947165000</v>
      </c>
      <c r="CO18" s="64" t="n">
        <v>3691687000</v>
      </c>
      <c r="CP18" s="64" t="n">
        <v>3111726000</v>
      </c>
      <c r="CQ18" s="141" t="n">
        <v>45821</v>
      </c>
      <c r="CR18" s="141" t="n">
        <v>45826</v>
      </c>
      <c r="CS18" s="63" t="n">
        <v>360330000</v>
      </c>
      <c r="CT18" s="64" t="n">
        <v>7620819000</v>
      </c>
      <c r="CU18" s="64" t="n">
        <v>4114980000</v>
      </c>
      <c r="CV18" s="59" t="inlineStr">
        <is>
          <t>Unqualified (true and fair view)</t>
        </is>
      </c>
      <c r="CW18" s="64" t="n">
        <v>139800000</v>
      </c>
      <c r="CX18" s="51" t="inlineStr">
        <is>
          <t>Schroders; GIC; HK Greenwoods; Shanghai Greenwoods and HTCI (in connection with the Greenwoods OTC Swaps); Green Better; Verition; Eastern Bell Capital VIII; Mirae Securities; ICBC Wealth; PSBC Wealth; Taikang Life; Mega Prime; Wind Sabre; Martis Fund; MSIP; Jane Street; 3W Fund</t>
        </is>
      </c>
      <c r="CY18" s="142" t="n">
        <v>0.4722</v>
      </c>
      <c r="CZ18" s="136" t="n">
        <v>46014</v>
      </c>
      <c r="DA18" s="143" t="n">
        <v>747.92</v>
      </c>
      <c r="DB18" s="63" t="n">
        <v>334840</v>
      </c>
      <c r="DC18" s="63" t="n">
        <v>18864853500</v>
      </c>
      <c r="DD18" s="59" t="inlineStr">
        <is>
          <t>Subscription level (before taking into account the Offer Size Adjustment Option and reallocation) 747.92 times</t>
        </is>
      </c>
      <c r="DE18" s="141" t="n">
        <v>45827</v>
      </c>
      <c r="DF18" s="141" t="n">
        <v>45828</v>
      </c>
      <c r="DG18" s="63" t="n">
        <v>414379500</v>
      </c>
      <c r="DH18" s="63" t="n">
        <v>109810600</v>
      </c>
      <c r="DI18" s="63" t="n">
        <v>304568900</v>
      </c>
      <c r="DJ18" s="63" t="n">
        <v>62156900</v>
      </c>
      <c r="DK18" s="169" t="n">
        <v>1</v>
      </c>
      <c r="DL18" s="59" t="inlineStr">
        <is>
          <t>Offer Size Adjustment Option exercised in full: 54,049,500 additional Offer Shares (approx. 15.0% of the Offer Shares initially available), allocated between the International Offering and the Hong Kong Public Offering in a 26.5:73.5 ratio; reallocation applied as the Hong Kong Public Offering was oversubscribed by more than 93 times. Final: Hong Kong Public Offering 109,810,600 (26.50%) and International Offering 304,568,900 (73.50%).</t>
        </is>
      </c>
      <c r="DM18" s="144" t="n">
        <v>9177000000</v>
      </c>
      <c r="DN18" s="142" t="n">
        <v>0.1</v>
      </c>
      <c r="DO18" s="51" t="n">
        <v>4146769035</v>
      </c>
      <c r="DP18" s="142" t="n">
        <v>0.0527</v>
      </c>
      <c r="DQ18" s="59" t="inlineStr">
        <is>
          <t>Denominator = total number of issued Shares upon Listing (4,146,769,035 Shares, including H Shares and A Shares and 2,707,721 A Shares held as treasury Shares), after full exercise of the Offer Size Adjustment Option and before exercise of the Over-allotment Option - the base used for the 10.0% public float statement.</t>
        </is>
      </c>
      <c r="DR18" s="63" t="n">
        <v>4146769035</v>
      </c>
      <c r="DS18" s="142" t="n">
        <v>0.02482484</v>
      </c>
      <c r="DT18" s="80" t="n">
        <v>19</v>
      </c>
      <c r="DU18" s="142" t="n">
        <v>0.0063185</v>
      </c>
      <c r="DV18" s="144" t="n">
        <v>173483000000</v>
      </c>
      <c r="DW18" s="145" t="n">
        <v>21.907</v>
      </c>
      <c r="DX18" s="169" t="n">
        <v>-0.027652</v>
      </c>
      <c r="DY18" s="172" t="n">
        <v>-258158428.5</v>
      </c>
      <c r="DZ18" s="146" t="n">
        <v>20.357</v>
      </c>
      <c r="EA18" s="146" t="n">
        <v>21.957</v>
      </c>
      <c r="EB18" s="146" t="n">
        <v>20.107</v>
      </c>
      <c r="EC18" s="63" t="n">
        <v>125316817</v>
      </c>
      <c r="ED18" s="169" t="n">
        <v>0.30242</v>
      </c>
      <c r="EE18" s="64" t="n">
        <v>2737855450</v>
      </c>
      <c r="EF18" s="60" t="inlineStr">
        <is>
          <t>PN18 statutory clawback</t>
        </is>
      </c>
      <c r="EG18" s="59" t="inlineStr">
        <is>
          <t>FINI (from 22/11/2023)</t>
        </is>
      </c>
      <c r="EH18" t="inlineStr">
        <is>
          <t>浙江三花智能控制股份有限公司</t>
        </is>
      </c>
      <c r="EI18" s="174" t="inlineStr">
        <is>
          <t>Active</t>
        </is>
      </c>
      <c r="EJ18" s="175" t="n">
        <v>27.407</v>
      </c>
      <c r="EK18" s="176" t="n">
        <v>0.251061</v>
      </c>
      <c r="EL18" s="176" t="n">
        <v>0.216467</v>
      </c>
      <c r="EM18" s="176" t="n">
        <v>0.055089</v>
      </c>
      <c r="EN18" s="176" t="n">
        <v>0.076825</v>
      </c>
      <c r="EO18" s="179" t="n">
        <v>1.1857</v>
      </c>
      <c r="EP18" s="179" t="n">
        <v>1.1618</v>
      </c>
      <c r="EQ18" s="178" t="n">
        <v>425976969.5</v>
      </c>
      <c r="ER18" s="175" t="n">
        <v>32.639</v>
      </c>
      <c r="ES18" s="176" t="n">
        <v>0.489889</v>
      </c>
      <c r="ET18" s="176" t="n">
        <v>0.448691</v>
      </c>
      <c r="EU18" s="176" t="n">
        <v>0.088015</v>
      </c>
      <c r="EV18" s="176" t="n">
        <v>0.058199</v>
      </c>
      <c r="EW18" s="179" t="n">
        <v>1.3694</v>
      </c>
      <c r="EX18" s="179" t="n">
        <v>1.4079</v>
      </c>
      <c r="EY18" s="178" t="n">
        <v>598345442</v>
      </c>
      <c r="EZ18" s="176" t="n">
        <v>0.218545</v>
      </c>
      <c r="FA18" s="176" t="n"/>
      <c r="FB18" s="179" t="n"/>
      <c r="FC18" s="176" t="n"/>
      <c r="FD18" s="179" t="n"/>
      <c r="FE18" s="174" t="inlineStr">
        <is>
          <t>Standard</t>
        </is>
      </c>
      <c r="FF18" s="181" t="inlineStr">
        <is>
          <t>China International Capital Corporation / Sponsor-OC</t>
        </is>
      </c>
      <c r="FG18" s="185" t="inlineStr">
        <is>
          <t>2025-07-23</t>
        </is>
      </c>
      <c r="FH18" s="183" t="n">
        <v>0</v>
      </c>
      <c r="FI18" s="178" t="n">
        <v>0</v>
      </c>
      <c r="FJ18" s="176" t="n">
        <v>0.15</v>
      </c>
      <c r="FK18" s="185" t="inlineStr">
        <is>
          <t>2025-07-23</t>
        </is>
      </c>
      <c r="FL18" s="178" t="n">
        <v>0</v>
      </c>
      <c r="FM18" s="176" t="n">
        <v>0</v>
      </c>
      <c r="FN18" s="176" t="n">
        <v>-0.003951</v>
      </c>
      <c r="FO18" s="176" t="n">
        <v>0.022933</v>
      </c>
      <c r="FP18" s="176" t="n">
        <v>0.448346</v>
      </c>
      <c r="FQ18" s="176" t="n">
        <v>0.082166</v>
      </c>
      <c r="FR18" s="179" t="n">
        <v>1.0556</v>
      </c>
      <c r="FS18" s="176" t="n">
        <v>0.251061</v>
      </c>
      <c r="FT18" s="179" t="n">
        <v>1.1857</v>
      </c>
      <c r="FU18" s="176" t="n">
        <v>0.840827</v>
      </c>
      <c r="FV18" s="179" t="n">
        <v>1.6428</v>
      </c>
      <c r="FW18" s="179" t="n">
        <v>1.5226</v>
      </c>
      <c r="FX18" s="178" t="n">
        <v>386788187.46</v>
      </c>
      <c r="FY18" s="186" t="n">
        <v>8.134126984126983e-05</v>
      </c>
      <c r="FZ18" s="183" t="n">
        <v>0</v>
      </c>
      <c r="GA18" s="176" t="n">
        <v>0.04317759244608617</v>
      </c>
      <c r="GB18" s="176" t="n">
        <v>0.327326</v>
      </c>
      <c r="GC18" s="185" t="inlineStr">
        <is>
          <t>2025-12-23</t>
        </is>
      </c>
      <c r="GD18" s="185" t="inlineStr">
        <is>
          <t>2026-06-23</t>
        </is>
      </c>
      <c r="GE18" s="176" t="n">
        <v>0.182793</v>
      </c>
      <c r="GF18" s="176" t="n">
        <v>0.112691</v>
      </c>
      <c r="GG18" s="179" t="n">
        <v>2.0177</v>
      </c>
      <c r="GH18" s="181" t="inlineStr">
        <is>
          <t>China International Capital Corporation / Sponsor-OC</t>
        </is>
      </c>
      <c r="GI18" s="183" t="n">
        <v>0</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PRE_2025_REFORM</t>
        </is>
      </c>
    </row>
    <row r="19" ht="85" customFormat="1" customHeight="1" s="11">
      <c r="A19" s="43" t="n">
        <v>34</v>
      </c>
      <c r="B19" s="47" t="inlineStr">
        <is>
          <t>2609.HK</t>
        </is>
      </c>
      <c r="C19" s="44" t="inlineStr">
        <is>
          <t>Bayzed Health Group Inc</t>
        </is>
      </c>
      <c r="D19" s="130" t="n">
        <v>45821</v>
      </c>
      <c r="E19" s="48" t="n">
        <v>45831</v>
      </c>
      <c r="F19" s="43" t="inlineStr">
        <is>
          <t>CMB International Capital Limited</t>
        </is>
      </c>
      <c r="G19" s="43" t="inlineStr">
        <is>
          <t>KPMG</t>
        </is>
      </c>
      <c r="H19" s="43" t="n"/>
      <c r="I19" s="131" t="n">
        <v>68526048</v>
      </c>
      <c r="J19" s="148" t="n">
        <v>493180428</v>
      </c>
      <c r="K19" s="133" t="n">
        <v>4.22</v>
      </c>
      <c r="L19" t="n">
        <v>1318466823</v>
      </c>
      <c r="M19" s="67" t="n">
        <v>133105800</v>
      </c>
      <c r="N19" t="n">
        <v>1185361023</v>
      </c>
      <c r="O19" t="n">
        <v>1185361023</v>
      </c>
      <c r="P19" t="n">
        <v>0</v>
      </c>
      <c r="Q19" t="n">
        <v>133105800</v>
      </c>
      <c r="R19" s="67" t="n">
        <v>119794800</v>
      </c>
      <c r="S19" s="67" t="n">
        <v>13311000</v>
      </c>
      <c r="T19" s="147" t="n">
        <v>6.75</v>
      </c>
      <c r="U19" s="147" t="n">
        <v>4.22</v>
      </c>
      <c r="V19" s="169" t="n">
        <v>-0.230629</v>
      </c>
      <c r="W19" s="169" t="n">
        <v>0.461258</v>
      </c>
      <c r="X19" s="170" t="inlineStr">
        <is>
          <t>At low</t>
        </is>
      </c>
      <c r="Y19" s="26" t="inlineStr">
        <is>
          <t>RMB</t>
        </is>
      </c>
      <c r="Z19" s="137" t="n">
        <v>2110951000</v>
      </c>
      <c r="AA19" s="137" t="n">
        <v>2211406000</v>
      </c>
      <c r="AB19" s="137" t="n">
        <v>2203086000</v>
      </c>
      <c r="AC19" s="137" t="n">
        <v>1086490000</v>
      </c>
      <c r="AD19" s="137" t="n">
        <v>1175518000</v>
      </c>
      <c r="AE19" s="137" t="n">
        <v>1170066000</v>
      </c>
      <c r="AF19" s="137" t="n">
        <v>1024461000</v>
      </c>
      <c r="AG19" s="137" t="n">
        <v>1035888000</v>
      </c>
      <c r="AH19" s="137" t="n">
        <v>1033020000</v>
      </c>
      <c r="AI19" s="137" t="n">
        <v>802652000</v>
      </c>
      <c r="AJ19" s="137" t="n">
        <v>1072173000</v>
      </c>
      <c r="AK19" s="137" t="n">
        <v>1188846000</v>
      </c>
      <c r="AL19" s="137" t="n">
        <v>-62524000</v>
      </c>
      <c r="AM19" s="137" t="n">
        <v>-4610000</v>
      </c>
      <c r="AN19" s="137" t="n">
        <v>13312000</v>
      </c>
      <c r="AO19" s="137" t="n">
        <v>-75515000</v>
      </c>
      <c r="AP19" s="137" t="n">
        <v>-24406000</v>
      </c>
      <c r="AQ19" s="137" t="n">
        <v>-3557000</v>
      </c>
      <c r="AR19" s="142" t="n">
        <v>0.035</v>
      </c>
      <c r="AS19" s="142" t="n">
        <v>0.035</v>
      </c>
      <c r="AT19" s="84" t="inlineStr">
        <is>
          <t>NaN</t>
        </is>
      </c>
      <c r="AU19" s="51" t="inlineStr">
        <is>
          <t>Oncology healthcare group: operation/management of hospitals and supply of pharmaceuticals, medical equipment and consumables in the PRC</t>
        </is>
      </c>
      <c r="AV19" s="51" t="inlineStr">
        <is>
          <t>Main Board of The Stock Exchange of Hong Kong Limited</t>
        </is>
      </c>
      <c r="AW19" s="136" t="n">
        <v>45657</v>
      </c>
      <c r="AX19" s="137" t="n">
        <v>168540000</v>
      </c>
      <c r="AY19" s="117" t="n">
        <v>294240000</v>
      </c>
      <c r="AZ19" s="117" t="inlineStr">
        <is>
          <t>NaN</t>
        </is>
      </c>
      <c r="BA19" s="117" t="n">
        <v>0</v>
      </c>
      <c r="BB19" s="138" t="n">
        <v>0.158</v>
      </c>
      <c r="BC19" s="139" t="n">
        <v>1</v>
      </c>
      <c r="BD19" s="80" t="n">
        <v>1</v>
      </c>
      <c r="BE19" s="161" t="n">
        <v>1</v>
      </c>
      <c r="BF19" s="161" t="n">
        <v>1</v>
      </c>
      <c r="BG19" s="161" t="n">
        <v>1</v>
      </c>
      <c r="BH19" s="161" t="n">
        <v>1</v>
      </c>
      <c r="BI19" s="161" t="inlineStr">
        <is>
          <t>NaN</t>
        </is>
      </c>
      <c r="BJ19" s="162" t="inlineStr">
        <is>
          <t>Shanghai Xukun Management; Zhengqi (Beijing) Asset Management; Anhui Beiyi Huijin; Anhui Beiyi Huifang; Anhui Beiyi Huitong; Shenzhen Qianhai Yuanming Medical Industry Investment Fund; Ningbo Changshang Kunzhong Investment Partnership; Maisheng Medical Equipment; Wuxi Jintou Luxin Venture Capital Partnership; Shandong Province Luxin New and Old Kinetic Energy Conversion VC FoF; Chengdu Luxin Jingrong Phase II VC Center; Shenzhen Zexin Management Center; Shanghai Dezhen; Venus Tale; SCYC Holdings; Shanghai Duohou; Shanghai Xinlun</t>
        </is>
      </c>
      <c r="BK19" s="163" t="n">
        <v>0.36076</v>
      </c>
      <c r="BL19" s="161" t="n">
        <v>0</v>
      </c>
      <c r="BM19" s="164" t="inlineStr">
        <is>
          <t>Seed Financing</t>
        </is>
      </c>
      <c r="BN19" s="165" t="n">
        <v>5.2</v>
      </c>
      <c r="BO19" s="51" t="inlineStr">
        <is>
          <t>Individual / natural person (Ms. Xu)</t>
        </is>
      </c>
      <c r="BP19" s="135" t="n">
        <v>0.63045</v>
      </c>
      <c r="BQ19" s="135" t="n">
        <v>0.63045</v>
      </c>
      <c r="BR19" s="137" t="n">
        <v>357190000</v>
      </c>
      <c r="BS19" s="51" t="inlineStr">
        <is>
          <t>NA</t>
        </is>
      </c>
      <c r="BT19" s="142" t="n">
        <v>0</v>
      </c>
      <c r="BU19" s="60" t="inlineStr">
        <is>
          <t>Main Board</t>
        </is>
      </c>
      <c r="BV19" s="89" t="inlineStr">
        <is>
          <t>Ordinary shares</t>
        </is>
      </c>
      <c r="BW19" s="61" t="n">
        <v>0</v>
      </c>
      <c r="BX19" s="77" t="n">
        <v>0</v>
      </c>
      <c r="BY19" s="77" t="n">
        <v>0</v>
      </c>
      <c r="BZ19" s="78" t="n">
        <v>0</v>
      </c>
      <c r="CA19" s="60" t="inlineStr">
        <is>
          <t>282020</t>
        </is>
      </c>
      <c r="CB19" s="76" t="inlineStr">
        <is>
          <t>HSICS (Hang Seng Industry Classification System) 2026</t>
        </is>
      </c>
      <c r="CC19" s="140" t="n">
        <v>44539</v>
      </c>
      <c r="CD19" s="171" t="n">
        <v>3.54</v>
      </c>
      <c r="CE19" s="76" t="inlineStr">
        <is>
          <t>NA</t>
        </is>
      </c>
      <c r="CF19" s="89" t="inlineStr">
        <is>
          <t>Beijing, China (Fengtai District)</t>
        </is>
      </c>
      <c r="CG19" s="91" t="n">
        <v>1000</v>
      </c>
      <c r="CH19" s="60" t="inlineStr">
        <is>
          <t>IFRS</t>
        </is>
      </c>
      <c r="CI19" s="141" t="n">
        <v>44562</v>
      </c>
      <c r="CJ19" s="141" t="n">
        <v>44926</v>
      </c>
      <c r="CK19" s="141" t="n">
        <v>44927</v>
      </c>
      <c r="CL19" s="141" t="n">
        <v>45291</v>
      </c>
      <c r="CM19" s="141" t="n">
        <v>45292</v>
      </c>
      <c r="CN19" s="64" t="n">
        <v>1188846000</v>
      </c>
      <c r="CO19" s="64" t="n">
        <v>13312000</v>
      </c>
      <c r="CP19" s="64" t="n">
        <v>-3557000</v>
      </c>
      <c r="CQ19" s="141" t="n">
        <v>45821</v>
      </c>
      <c r="CR19" s="141" t="n">
        <v>45826</v>
      </c>
      <c r="CS19" s="63" t="n">
        <v>1318466823</v>
      </c>
      <c r="CT19" s="64" t="n">
        <v>208197000</v>
      </c>
      <c r="CU19" s="64" t="n">
        <v>49959000</v>
      </c>
      <c r="CV19" s="59" t="inlineStr">
        <is>
          <t>Unqualified opinion</t>
        </is>
      </c>
      <c r="CW19" s="64" t="n">
        <v>107100000</v>
      </c>
      <c r="CX19" s="51" t="inlineStr">
        <is>
          <t>Harvest International Premium Value (Secondary Market) Fund SPC acting on behalf of and for the account of Harvest Oriental SP (Harvest Oriental)</t>
        </is>
      </c>
      <c r="CY19" s="142" t="n">
        <v>0.2653</v>
      </c>
      <c r="CZ19" s="136" t="n">
        <v>46014</v>
      </c>
      <c r="DA19" s="143" t="n">
        <v>25.92</v>
      </c>
      <c r="DB19" s="63" t="n">
        <v>24054</v>
      </c>
      <c r="DC19" s="63" t="n">
        <v>344978400</v>
      </c>
      <c r="DD19" s="59" t="inlineStr">
        <is>
          <t>Subscription level 25.92 times</t>
        </is>
      </c>
      <c r="DE19" s="141" t="n">
        <v>45827</v>
      </c>
      <c r="DF19" s="141" t="n">
        <v>45828</v>
      </c>
      <c r="DG19" s="63" t="n">
        <v>133105800</v>
      </c>
      <c r="DH19" s="63" t="n">
        <v>16238400</v>
      </c>
      <c r="DI19" s="63" t="n">
        <v>116867400</v>
      </c>
      <c r="DJ19" s="63" t="n">
        <v>0</v>
      </c>
      <c r="DK19" s="169" t="n">
        <v>0</v>
      </c>
      <c r="DL19" s="59" t="inlineStr">
        <is>
          <t>No. of Offer Shares reallocated from the International Offer 2,927,400; Final no. of Offer Shares under the Public Offer (after reallocation) 16,238,400</t>
        </is>
      </c>
      <c r="DM19" s="144" t="n">
        <v>467800000</v>
      </c>
      <c r="DN19" s="142" t="n">
        <v>0.3696</v>
      </c>
      <c r="DO19" s="51" t="n">
        <v>1318466823</v>
      </c>
      <c r="DP19" s="142" t="n">
        <v>0.074168</v>
      </c>
      <c r="DQ19" s="59" t="inlineStr">
        <is>
          <t>Denominator = total issued Shares upon Listing 1,318,466,823; public hands excludes lock-up Shares of controlling shareholders and pre-IPO investors, and excludes the 35,317,800 cornerstone Shares locked to 23 December 2025.</t>
        </is>
      </c>
      <c r="DR19" s="63" t="n">
        <v>1318466823</v>
      </c>
      <c r="DS19" s="142" t="n">
        <v>0.02482484</v>
      </c>
      <c r="DT19" s="80" t="n">
        <v>19</v>
      </c>
      <c r="DU19" s="142" t="n">
        <v>0.0063185</v>
      </c>
      <c r="DV19" s="144" t="n">
        <v>173483000000</v>
      </c>
      <c r="DW19" s="145" t="n">
        <v>6</v>
      </c>
      <c r="DX19" s="169" t="n">
        <v>0.421801</v>
      </c>
      <c r="DY19" s="172" t="n">
        <v>236928324</v>
      </c>
      <c r="DZ19" s="146" t="n">
        <v>5.25</v>
      </c>
      <c r="EA19" s="146" t="n">
        <v>6.02</v>
      </c>
      <c r="EB19" s="146" t="n">
        <v>5.01</v>
      </c>
      <c r="EC19" s="63" t="n">
        <v>21787308</v>
      </c>
      <c r="ED19" s="169" t="n">
        <v>0.163684</v>
      </c>
      <c r="EE19" s="64" t="n">
        <v>117245000</v>
      </c>
      <c r="EF19" s="60" t="inlineStr">
        <is>
          <t>PN18 statutory clawback</t>
        </is>
      </c>
      <c r="EG19" s="59" t="inlineStr">
        <is>
          <t>FINI (from 22/11/2023)</t>
        </is>
      </c>
      <c r="EH19" t="inlineStr">
        <is>
          <t>佰泽医疗集团</t>
        </is>
      </c>
      <c r="EI19" s="174" t="inlineStr">
        <is>
          <t>Active</t>
        </is>
      </c>
      <c r="EJ19" s="175" t="n">
        <v>6.69</v>
      </c>
      <c r="EK19" s="176" t="n">
        <v>0.115</v>
      </c>
      <c r="EL19" s="176" t="n">
        <v>0.5853080000000001</v>
      </c>
      <c r="EM19" s="176" t="n">
        <v>0.055089</v>
      </c>
      <c r="EN19" s="176" t="n">
        <v>0.076825</v>
      </c>
      <c r="EO19" s="179" t="n">
        <v>1.0568</v>
      </c>
      <c r="EP19" s="179" t="n">
        <v>1.0355</v>
      </c>
      <c r="EQ19" s="178" t="n">
        <v>18383655</v>
      </c>
      <c r="ER19" s="175" t="n">
        <v>4.3</v>
      </c>
      <c r="ES19" s="176" t="n">
        <v>-0.283333</v>
      </c>
      <c r="ET19" s="176" t="n">
        <v>0.018957</v>
      </c>
      <c r="EU19" s="176" t="n">
        <v>0.088015</v>
      </c>
      <c r="EV19" s="176" t="n">
        <v>0.058199</v>
      </c>
      <c r="EW19" s="179" t="n">
        <v>0.6587</v>
      </c>
      <c r="EX19" s="179" t="n">
        <v>0.6773</v>
      </c>
      <c r="EY19" s="178" t="n">
        <v>23497085</v>
      </c>
      <c r="EZ19" s="176" t="n">
        <v>0.20041</v>
      </c>
      <c r="FA19" s="176" t="n"/>
      <c r="FB19" s="179" t="n"/>
      <c r="FC19" s="176" t="n"/>
      <c r="FD19" s="179" t="n"/>
      <c r="FE19" s="174" t="inlineStr">
        <is>
          <t>Standard</t>
        </is>
      </c>
      <c r="FF19" s="181" t="inlineStr">
        <is>
          <t>China International Capital Corporation / Sponsor-OC</t>
        </is>
      </c>
      <c r="FG19" s="185" t="inlineStr">
        <is>
          <t>2025-07-23</t>
        </is>
      </c>
      <c r="FH19" s="183" t="n">
        <v>0</v>
      </c>
      <c r="FI19" s="178" t="n">
        <v>0</v>
      </c>
      <c r="FJ19" s="176" t="n">
        <v>0.15</v>
      </c>
      <c r="FK19" s="185" t="inlineStr">
        <is>
          <t>2025-07-23</t>
        </is>
      </c>
      <c r="FL19" s="178" t="n">
        <v>0</v>
      </c>
      <c r="FM19" s="176" t="n">
        <v>0</v>
      </c>
      <c r="FN19" s="176" t="n">
        <v>-0.012232</v>
      </c>
      <c r="FO19" s="176" t="n">
        <v>0.067873</v>
      </c>
      <c r="FP19" s="176" t="n">
        <v>0.625695</v>
      </c>
      <c r="FQ19" s="176" t="n">
        <v>0.026667</v>
      </c>
      <c r="FR19" s="179" t="n">
        <v>1.0015</v>
      </c>
      <c r="FS19" s="176" t="n">
        <v>0.115</v>
      </c>
      <c r="FT19" s="179" t="n">
        <v>1.0568</v>
      </c>
      <c r="FU19" s="176" t="n">
        <v>0.586667</v>
      </c>
      <c r="FV19" s="179" t="n">
        <v>1.416</v>
      </c>
      <c r="FW19" s="179" t="n">
        <v>1.3124</v>
      </c>
      <c r="FX19" s="178" t="n">
        <v>205375207.94</v>
      </c>
      <c r="FY19" s="186" t="n">
        <v>0.001307</v>
      </c>
      <c r="FZ19" s="183" t="n">
        <v>0</v>
      </c>
      <c r="GA19" s="176" t="n">
        <v>0.07615604605927498</v>
      </c>
      <c r="GB19" s="176" t="n">
        <v>0.784708</v>
      </c>
      <c r="GC19" s="185" t="inlineStr">
        <is>
          <t>2025-12-23</t>
        </is>
      </c>
      <c r="GD19" s="185" t="inlineStr">
        <is>
          <t>2026-06-23</t>
        </is>
      </c>
      <c r="GE19" s="176" t="n">
        <v>-0.142287</v>
      </c>
      <c r="GF19" s="176" t="n">
        <v>-0.421689</v>
      </c>
      <c r="GG19" s="179" t="n">
        <v>0.967</v>
      </c>
      <c r="GH19" s="181" t="inlineStr">
        <is>
          <t>China International Capital Corporation / Sponsor-OC</t>
        </is>
      </c>
      <c r="GI19" s="183" t="n">
        <v>0</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PRE_2025_REFORM</t>
        </is>
      </c>
    </row>
    <row r="20" ht="102" customFormat="1" customHeight="1" s="11">
      <c r="A20" s="43" t="n">
        <v>35</v>
      </c>
      <c r="B20" s="47" t="inlineStr">
        <is>
          <t>2617.HK</t>
        </is>
      </c>
      <c r="C20" s="44" t="inlineStr">
        <is>
          <t>TransThera Sciences (Nanjing), Inc. - B - H shares</t>
        </is>
      </c>
      <c r="D20" s="130" t="n">
        <v>45821</v>
      </c>
      <c r="E20" s="48" t="n">
        <v>45831</v>
      </c>
      <c r="F20" s="43" t="inlineStr">
        <is>
          <t>CITIC Securities (Hong Kong) Limited/
Huatai Financial Holdings (Hong Kong) Limited</t>
        </is>
      </c>
      <c r="G20" s="43" t="inlineStr">
        <is>
          <t>Ernst &amp; Young</t>
        </is>
      </c>
      <c r="H20" s="43" t="n"/>
      <c r="I20" s="131" t="n">
        <v>40199550</v>
      </c>
      <c r="J20" s="148" t="n">
        <v>160745600</v>
      </c>
      <c r="K20" s="133" t="n">
        <v>13.15</v>
      </c>
      <c r="L20" t="n">
        <v>396897633</v>
      </c>
      <c r="M20" s="67" t="n">
        <v>15281000</v>
      </c>
      <c r="N20" t="n">
        <v>381616633</v>
      </c>
      <c r="O20" t="n">
        <v>381616633</v>
      </c>
      <c r="P20" t="n">
        <v>0</v>
      </c>
      <c r="Q20" t="n">
        <v>15281000</v>
      </c>
      <c r="R20" s="67" t="n">
        <v>13752500</v>
      </c>
      <c r="S20" s="67" t="n">
        <v>1528500</v>
      </c>
      <c r="T20" s="147" t="n">
        <v>13.15</v>
      </c>
      <c r="U20" s="147" t="n">
        <v>13.15</v>
      </c>
      <c r="V20" s="169" t="n">
        <v>0</v>
      </c>
      <c r="W20" s="169" t="n">
        <v>0</v>
      </c>
      <c r="X20" s="170" t="inlineStr">
        <is>
          <t>Fixed price</t>
        </is>
      </c>
      <c r="Y20" s="26" t="inlineStr">
        <is>
          <t>RMB</t>
        </is>
      </c>
      <c r="Z20" s="137" t="inlineStr">
        <is>
          <t>NaN</t>
        </is>
      </c>
      <c r="AA20" s="137" t="n">
        <v>887090000</v>
      </c>
      <c r="AB20" s="137" t="n">
        <v>629601000</v>
      </c>
      <c r="AC20" s="137" t="inlineStr">
        <is>
          <t>NaN</t>
        </is>
      </c>
      <c r="AD20" s="137" t="n">
        <v>783178000</v>
      </c>
      <c r="AE20" s="137" t="n">
        <v>525033000</v>
      </c>
      <c r="AF20" s="137" t="inlineStr">
        <is>
          <t>NaN</t>
        </is>
      </c>
      <c r="AG20" s="137" t="n">
        <v>103912000</v>
      </c>
      <c r="AH20" s="137" t="n">
        <v>104568000</v>
      </c>
      <c r="AI20" s="137" t="inlineStr">
        <is>
          <t>NaN</t>
        </is>
      </c>
      <c r="AJ20" s="137" t="n">
        <v>1181000</v>
      </c>
      <c r="AK20" s="137" t="n">
        <v>0</v>
      </c>
      <c r="AL20" s="137" t="inlineStr">
        <is>
          <t>NaN</t>
        </is>
      </c>
      <c r="AM20" s="137" t="n">
        <v>-343394000</v>
      </c>
      <c r="AN20" s="137" t="n">
        <v>-274610000</v>
      </c>
      <c r="AO20" s="137" t="inlineStr">
        <is>
          <t>NaN</t>
        </is>
      </c>
      <c r="AP20" s="137" t="n">
        <v>-343394000</v>
      </c>
      <c r="AQ20" s="137" t="n">
        <v>-274610000</v>
      </c>
      <c r="AR20" s="142" t="n">
        <v>0.03</v>
      </c>
      <c r="AS20" s="142" t="n">
        <v>0.03</v>
      </c>
      <c r="AT20" s="84" t="n">
        <v>0.15</v>
      </c>
      <c r="AU20" s="51" t="inlineStr">
        <is>
          <t>Clinical-stage biopharmaceutical company developing innovative small molecule therapies for oncology, inflammatory and cardiometabolic diseases</t>
        </is>
      </c>
      <c r="AV20" s="51" t="inlineStr">
        <is>
          <t>Chapter 18A of the Listing Rules (biotech company, unable to meet Rule 8.05(1),(2),(3))</t>
        </is>
      </c>
      <c r="AW20" s="136" t="n">
        <v>45657</v>
      </c>
      <c r="AX20" s="137" t="n">
        <v>-271182000</v>
      </c>
      <c r="AY20" s="117" t="n">
        <v>569506000</v>
      </c>
      <c r="AZ20" s="117" t="n">
        <v>244004000</v>
      </c>
      <c r="BA20" s="117" t="n">
        <v>0</v>
      </c>
      <c r="BB20" s="138" t="inlineStr">
        <is>
          <t>NaN</t>
        </is>
      </c>
      <c r="BC20" s="139" t="n">
        <v>1</v>
      </c>
      <c r="BD20" s="80" t="n">
        <v>1</v>
      </c>
      <c r="BE20" s="161" t="n">
        <v>1</v>
      </c>
      <c r="BF20" s="161" t="n">
        <v>1</v>
      </c>
      <c r="BG20" s="161" t="n">
        <v>1</v>
      </c>
      <c r="BH20" s="161" t="n">
        <v>1</v>
      </c>
      <c r="BI20" s="161" t="n">
        <v>1</v>
      </c>
      <c r="BJ20" s="162" t="inlineStr">
        <is>
          <t>FIIF II, SDIC Greater Bay Area Fund, SDICVC Ningbo Fund, GP Healthcare Capital Phase II, GP Healthcare Capital Phase III, Structural Reform Fund, Shenzhen Linghui, Wuhu Xingrui, Nanjing Lingyi</t>
        </is>
      </c>
      <c r="BK20" s="163" t="inlineStr">
        <is>
          <t>NaN</t>
        </is>
      </c>
      <c r="BL20" s="161" t="n">
        <v>1</v>
      </c>
      <c r="BM20" s="164" t="inlineStr">
        <is>
          <t>Series A-1 Financing</t>
        </is>
      </c>
      <c r="BN20" s="165" t="n">
        <v>8.5</v>
      </c>
      <c r="BO20" s="51" t="inlineStr">
        <is>
          <t>Individual (founder Dr. Frank Wu, via Nanjing Yipu and Nanjing Jiminrui)</t>
        </is>
      </c>
      <c r="BP20" s="135" t="n">
        <v>0.312</v>
      </c>
      <c r="BQ20" s="135" t="n">
        <v>0.312</v>
      </c>
      <c r="BR20" s="137" t="n">
        <v>4370000</v>
      </c>
      <c r="BS20" s="51" t="inlineStr">
        <is>
          <t>Registrational clinical stage, pre-commercialization (no products approved for commercial sale)</t>
        </is>
      </c>
      <c r="BT20" s="142" t="n">
        <v>0</v>
      </c>
      <c r="BU20" s="60" t="inlineStr">
        <is>
          <t>Main Board</t>
        </is>
      </c>
      <c r="BV20" s="89" t="inlineStr">
        <is>
          <t>H shares</t>
        </is>
      </c>
      <c r="BW20" s="61" t="n">
        <v>0</v>
      </c>
      <c r="BX20" s="77" t="n">
        <v>0</v>
      </c>
      <c r="BY20" s="77" t="n">
        <v>1</v>
      </c>
      <c r="BZ20" s="78" t="n">
        <v>0</v>
      </c>
      <c r="CA20" s="60" t="inlineStr">
        <is>
          <t>281020</t>
        </is>
      </c>
      <c r="CB20" s="76" t="inlineStr">
        <is>
          <t>HSICS (Hang Seng Industry Classification System) 2026</t>
        </is>
      </c>
      <c r="CC20" s="140" t="n">
        <v>41744</v>
      </c>
      <c r="CD20" s="171" t="n">
        <v>11.19</v>
      </c>
      <c r="CE20" s="76" t="inlineStr">
        <is>
          <t>PRC</t>
        </is>
      </c>
      <c r="CF20" s="89" t="inlineStr">
        <is>
          <t>Floor 3, Building 9, Accelerator Phase 2, Biotech and Pharmaceutical Valley, Jiangbei New Area, Nanjing, Jiangsu Province, PRC</t>
        </is>
      </c>
      <c r="CG20" s="91" t="n">
        <v>1000</v>
      </c>
      <c r="CH20" s="60" t="inlineStr">
        <is>
          <t>IFRS</t>
        </is>
      </c>
      <c r="CI20" s="141" t="n">
        <v>44562</v>
      </c>
      <c r="CJ20" s="141" t="n">
        <v>44926</v>
      </c>
      <c r="CK20" s="141" t="n">
        <v>44927</v>
      </c>
      <c r="CL20" s="141" t="n">
        <v>45291</v>
      </c>
      <c r="CM20" s="141" t="n">
        <v>45292</v>
      </c>
      <c r="CN20" s="64" t="n">
        <v>0</v>
      </c>
      <c r="CO20" s="64" t="n">
        <v>-274610000</v>
      </c>
      <c r="CP20" s="64" t="n">
        <v>-274610000</v>
      </c>
      <c r="CQ20" s="141" t="n">
        <v>45821</v>
      </c>
      <c r="CR20" s="141" t="n">
        <v>45826</v>
      </c>
      <c r="CS20" s="63" t="n">
        <v>301666673</v>
      </c>
      <c r="CT20" s="64" t="n">
        <v>0</v>
      </c>
      <c r="CU20" s="64" t="n">
        <v>773000</v>
      </c>
      <c r="CV20" s="59" t="inlineStr">
        <is>
          <t>Unqualified opinion: true and fair view (Ernst &amp; Young)</t>
        </is>
      </c>
      <c r="CW20" s="64" t="n">
        <v>39600000</v>
      </c>
      <c r="CX20" s="51" t="inlineStr">
        <is>
          <t>Jiangbei Pharmaceutical Technology Hong Kong Limited; Akeso, Inc.; Sinohsc Honest Limited; Pharmablock Horizon Capital Limited; Kelingan (Hong Kong) Technology Co., Limited</t>
        </is>
      </c>
      <c r="CY20" s="142" t="n">
        <v>0.6395999999999999</v>
      </c>
      <c r="CZ20" s="136" t="n">
        <v>46014</v>
      </c>
      <c r="DA20" s="143" t="n">
        <v>3419.87</v>
      </c>
      <c r="DB20" s="63" t="n">
        <v>135427</v>
      </c>
      <c r="DC20" s="63" t="n">
        <v>5227269000</v>
      </c>
      <c r="DD20" s="59" t="inlineStr">
        <is>
          <t>Subscription level 3,419.87 times</t>
        </is>
      </c>
      <c r="DE20" s="141" t="inlineStr">
        <is>
          <t>NA</t>
        </is>
      </c>
      <c r="DF20" s="141" t="n">
        <v>45830</v>
      </c>
      <c r="DG20" s="63" t="n">
        <v>15281000</v>
      </c>
      <c r="DH20" s="63" t="n">
        <v>3057000</v>
      </c>
      <c r="DI20" s="63" t="n">
        <v>12224000</v>
      </c>
      <c r="DJ20" s="63" t="n">
        <v>0</v>
      </c>
      <c r="DK20" s="169" t="n">
        <v>0</v>
      </c>
      <c r="DL20" s="59" t="inlineStr">
        <is>
          <t>No. of Offer Shares reallocated from the International Offering 1,528,500; Final no. of Offer Shares under the Hong Kong Public Offering (after reallocation) 3,057,000</t>
        </is>
      </c>
      <c r="DM20" s="144" t="n">
        <v>161340000</v>
      </c>
      <c r="DN20" s="142" t="n">
        <v>0.5570000000000001</v>
      </c>
      <c r="DO20" s="51" t="n">
        <v>396897633</v>
      </c>
      <c r="DP20" s="142" t="n">
        <v>0.013875</v>
      </c>
      <c r="DQ20" s="59" t="inlineStr">
        <is>
          <t>Denominator = total issued Shares upon Listing 396,897,633 (all classes, incl. unlisted domestic Shares); public hands excludes lock-up Shares of controlling shareholders, pre-IPO investors and existing shareholders, and excludes the 9,774,000 cornerstone H Shares locked to 22 December 2025.</t>
        </is>
      </c>
      <c r="DR20" s="63" t="n">
        <v>396897633</v>
      </c>
      <c r="DS20" s="142" t="n">
        <v>0.02482484</v>
      </c>
      <c r="DT20" s="80" t="n">
        <v>19</v>
      </c>
      <c r="DU20" s="142" t="n">
        <v>0.0063185</v>
      </c>
      <c r="DV20" s="144" t="n">
        <v>173483000000</v>
      </c>
      <c r="DW20" s="145" t="n">
        <v>23.5</v>
      </c>
      <c r="DX20" s="169" t="n">
        <v>0.787072</v>
      </c>
      <c r="DY20" s="172" t="n">
        <v>158158350</v>
      </c>
      <c r="DZ20" s="146" t="n">
        <v>21.65</v>
      </c>
      <c r="EA20" s="146" t="n">
        <v>24</v>
      </c>
      <c r="EB20" s="146" t="n">
        <v>20.2</v>
      </c>
      <c r="EC20" s="63" t="n">
        <v>8541000</v>
      </c>
      <c r="ED20" s="169" t="n">
        <v>0.558929</v>
      </c>
      <c r="EE20" s="64" t="n">
        <v>191298400</v>
      </c>
      <c r="EF20" s="60" t="inlineStr">
        <is>
          <t>PN18 statutory clawback</t>
        </is>
      </c>
      <c r="EG20" s="59" t="inlineStr">
        <is>
          <t>FINI (from 22/11/2023)</t>
        </is>
      </c>
      <c r="EH20" t="inlineStr">
        <is>
          <t>药捷安康(南京)科技股份有限公司</t>
        </is>
      </c>
      <c r="EI20" s="174" t="inlineStr">
        <is>
          <t>Active</t>
        </is>
      </c>
      <c r="EJ20" s="175" t="n">
        <v>31.8</v>
      </c>
      <c r="EK20" s="176" t="n">
        <v>0.353191</v>
      </c>
      <c r="EL20" s="176" t="n">
        <v>1.418251</v>
      </c>
      <c r="EM20" s="176" t="n">
        <v>0.055089</v>
      </c>
      <c r="EN20" s="176" t="n">
        <v>0.076825</v>
      </c>
      <c r="EO20" s="179" t="n">
        <v>1.2825</v>
      </c>
      <c r="EP20" s="179" t="n">
        <v>1.2566</v>
      </c>
      <c r="EQ20" s="178" t="n">
        <v>28040520</v>
      </c>
      <c r="ER20" s="175" t="n">
        <v>138.2</v>
      </c>
      <c r="ES20" s="176" t="n">
        <v>4.880851</v>
      </c>
      <c r="ET20" s="176" t="n">
        <v>9.509506</v>
      </c>
      <c r="EU20" s="176" t="n">
        <v>0.088015</v>
      </c>
      <c r="EV20" s="176" t="n">
        <v>0.058199</v>
      </c>
      <c r="EW20" s="179" t="n">
        <v>5.4051</v>
      </c>
      <c r="EX20" s="179" t="n">
        <v>5.5574</v>
      </c>
      <c r="EY20" s="178" t="n">
        <v>108278870</v>
      </c>
      <c r="EZ20" s="176" t="n">
        <v>0.566021</v>
      </c>
      <c r="FA20" s="176" t="n"/>
      <c r="FB20" s="179" t="n"/>
      <c r="FC20" s="176" t="n"/>
      <c r="FD20" s="179" t="n"/>
      <c r="FE20" s="174" t="inlineStr">
        <is>
          <t>18A (Biotech / B-tag)</t>
        </is>
      </c>
      <c r="FF20" s="181" t="inlineStr">
        <is>
          <t>China International Capital Corporation / Sponsor-OC</t>
        </is>
      </c>
      <c r="FG20" s="185" t="inlineStr">
        <is>
          <t>2025-07-23</t>
        </is>
      </c>
      <c r="FH20" s="183" t="n">
        <v>0</v>
      </c>
      <c r="FI20" s="178" t="n">
        <v>0</v>
      </c>
      <c r="FJ20" s="176" t="n">
        <v>0.15</v>
      </c>
      <c r="FK20" s="185" t="inlineStr">
        <is>
          <t>2025-07-23</t>
        </is>
      </c>
      <c r="FL20" s="178" t="n">
        <v>0</v>
      </c>
      <c r="FM20" s="176" t="n">
        <v>0</v>
      </c>
      <c r="FN20" s="176" t="n">
        <v>0.242138</v>
      </c>
      <c r="FO20" s="176" t="n">
        <v>0.636943</v>
      </c>
      <c r="FP20" s="176" t="n">
        <v>0.33091</v>
      </c>
      <c r="FQ20" s="176" t="n">
        <v>0.180851</v>
      </c>
      <c r="FR20" s="179" t="n">
        <v>1.1519</v>
      </c>
      <c r="FS20" s="176" t="n">
        <v>0.353191</v>
      </c>
      <c r="FT20" s="179" t="n">
        <v>1.2825</v>
      </c>
      <c r="FU20" s="176" t="n">
        <v>6.795745</v>
      </c>
      <c r="FV20" s="179" t="n">
        <v>6.9571</v>
      </c>
      <c r="FW20" s="179" t="n">
        <v>6.448</v>
      </c>
      <c r="FX20" s="178" t="n">
        <v>282072063.49</v>
      </c>
      <c r="FY20" s="186" t="n">
        <v>0.002040873015873016</v>
      </c>
      <c r="FZ20" s="183" t="n">
        <v>0</v>
      </c>
      <c r="GA20" s="176" t="n">
        <v>0.1695894358364143</v>
      </c>
      <c r="GB20" s="176" t="n">
        <v>0.833848</v>
      </c>
      <c r="GC20" s="185" t="inlineStr">
        <is>
          <t>2025-12-23</t>
        </is>
      </c>
      <c r="GD20" s="185" t="inlineStr">
        <is>
          <t>2026-06-23</t>
        </is>
      </c>
      <c r="GE20" s="176" t="n">
        <v>-0.255593</v>
      </c>
      <c r="GF20" s="176" t="n">
        <v>-0.828864</v>
      </c>
      <c r="GG20" s="179" t="n">
        <v>1.73</v>
      </c>
      <c r="GH20" s="181" t="inlineStr">
        <is>
          <t>China International Capital Corporation / Sponsor-OC</t>
        </is>
      </c>
      <c r="GI20" s="183" t="n">
        <v>0</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PRE_2025_REFORM</t>
        </is>
      </c>
    </row>
    <row r="21" ht="51" customFormat="1" customHeight="1" s="11">
      <c r="A21" s="43" t="n">
        <v>38</v>
      </c>
      <c r="B21" s="47" t="inlineStr">
        <is>
          <t>2619.HK</t>
        </is>
      </c>
      <c r="C21" s="44" t="inlineStr">
        <is>
          <t>X.J. Electrics (Hu Bei) Co., Ltd - H Shares</t>
        </is>
      </c>
      <c r="D21" s="130" t="n">
        <v>45825</v>
      </c>
      <c r="E21" s="48" t="n">
        <v>45833</v>
      </c>
      <c r="F21" s="43" t="inlineStr">
        <is>
          <t>Sinolink Securities (Hong Kong) 
Company Limited</t>
        </is>
      </c>
      <c r="G21" s="43" t="inlineStr">
        <is>
          <t>Deloitte Touche Tohmatsu</t>
        </is>
      </c>
      <c r="H21" s="43" t="inlineStr">
        <is>
          <t>AVISTA Group</t>
        </is>
      </c>
      <c r="I21" s="131" t="n">
        <v>97554600</v>
      </c>
      <c r="J21" s="148" t="n">
        <v>97554600</v>
      </c>
      <c r="K21" s="133" t="n">
        <v>2.86</v>
      </c>
      <c r="L21" t="n">
        <v>272879509</v>
      </c>
      <c r="M21" s="67" t="n">
        <v>68220000</v>
      </c>
      <c r="N21" t="n">
        <v>204659509</v>
      </c>
      <c r="O21" t="n">
        <v>204659509</v>
      </c>
      <c r="P21" t="n">
        <v>0</v>
      </c>
      <c r="Q21" t="n">
        <v>68220000</v>
      </c>
      <c r="R21" s="67" t="n">
        <v>61398000</v>
      </c>
      <c r="S21" s="67" t="n">
        <v>6822000</v>
      </c>
      <c r="T21" s="147" t="n">
        <v>3.35</v>
      </c>
      <c r="U21" s="147" t="n">
        <v>2.86</v>
      </c>
      <c r="V21" s="169" t="n">
        <v>-0.078905</v>
      </c>
      <c r="W21" s="169" t="n">
        <v>0.15781</v>
      </c>
      <c r="X21" s="170" t="inlineStr">
        <is>
          <t>At low</t>
        </is>
      </c>
      <c r="Y21" s="26" t="inlineStr">
        <is>
          <t>RMB</t>
        </is>
      </c>
      <c r="Z21" s="137" t="n">
        <v>1220774000</v>
      </c>
      <c r="AA21" s="137" t="n">
        <v>1550292000</v>
      </c>
      <c r="AB21" s="137" t="n">
        <v>1706979000</v>
      </c>
      <c r="AC21" s="137" t="n">
        <v>663167000</v>
      </c>
      <c r="AD21" s="137" t="n">
        <v>784935000</v>
      </c>
      <c r="AE21" s="137" t="n">
        <v>926211000</v>
      </c>
      <c r="AF21" s="137" t="n">
        <v>557607000</v>
      </c>
      <c r="AG21" s="137" t="n">
        <v>765357000</v>
      </c>
      <c r="AH21" s="137" t="n">
        <v>780768000</v>
      </c>
      <c r="AI21" s="137" t="n">
        <v>1096965000</v>
      </c>
      <c r="AJ21" s="137" t="n">
        <v>1188321000</v>
      </c>
      <c r="AK21" s="137" t="n">
        <v>1501510000</v>
      </c>
      <c r="AL21" s="137" t="n">
        <v>91921000</v>
      </c>
      <c r="AM21" s="137" t="n">
        <v>146693000</v>
      </c>
      <c r="AN21" s="137" t="n">
        <v>161315000</v>
      </c>
      <c r="AO21" s="137" t="n">
        <v>80261000</v>
      </c>
      <c r="AP21" s="137" t="n">
        <v>121462000</v>
      </c>
      <c r="AQ21" s="137" t="n">
        <v>140425000</v>
      </c>
      <c r="AR21" s="142" t="n">
        <v>0.05</v>
      </c>
      <c r="AS21" s="142" t="n">
        <v>0.05</v>
      </c>
      <c r="AT21" s="84" t="n">
        <v>0.15</v>
      </c>
      <c r="AU21" s="51" t="inlineStr">
        <is>
          <t>Manufacturer of lifestyle household goods: electric home appliances and non-electric household goods (mainly ODM/OEM)</t>
        </is>
      </c>
      <c r="AV21" s="51" t="inlineStr">
        <is>
          <t>Main Board</t>
        </is>
      </c>
      <c r="AW21" s="136" t="n">
        <v>45657</v>
      </c>
      <c r="AX21" s="137" t="n">
        <v>71288000</v>
      </c>
      <c r="AY21" s="117" t="n">
        <v>474154000</v>
      </c>
      <c r="AZ21" s="117" t="n">
        <v>36426000</v>
      </c>
      <c r="BA21" s="117" t="n">
        <v>0</v>
      </c>
      <c r="BB21" s="138" t="n">
        <v>0.779</v>
      </c>
      <c r="BC21" s="139" t="n">
        <v>1</v>
      </c>
      <c r="BD21" s="80" t="n">
        <v>1</v>
      </c>
      <c r="BE21" s="161" t="n">
        <v>1</v>
      </c>
      <c r="BF21" s="161" t="n">
        <v>1</v>
      </c>
      <c r="BG21" s="161" t="n">
        <v>0</v>
      </c>
      <c r="BH21" s="161" t="n">
        <v>0</v>
      </c>
      <c r="BI21" s="161" t="n">
        <v>0</v>
      </c>
      <c r="BJ21" s="162" t="inlineStr">
        <is>
          <t>Huiyin Hefu (深圳市匯銀合富十號投資合夥企業(有限合夥)); Huiyin Ruihe (深圳市匯銀瑞和六號投資合夥企業(有限合夥)); Huiyin Jiafu (深圳市匯銀加富優選一期創業投資合夥企業(有限合夥))</t>
        </is>
      </c>
      <c r="BK21" s="163" t="n">
        <v>0.0487</v>
      </c>
      <c r="BL21" s="161" t="n">
        <v>0</v>
      </c>
      <c r="BM21" s="164" t="inlineStr">
        <is>
          <t>2017-12</t>
        </is>
      </c>
      <c r="BN21" s="165" t="inlineStr">
        <is>
          <t>NaN</t>
        </is>
      </c>
      <c r="BO21" s="51" t="inlineStr">
        <is>
          <t>Individual</t>
        </is>
      </c>
      <c r="BP21" s="135" t="n">
        <v>0.75</v>
      </c>
      <c r="BQ21" s="135" t="n">
        <v>0.75</v>
      </c>
      <c r="BR21" s="137" t="n">
        <v>323091000</v>
      </c>
      <c r="BS21" s="51" t="inlineStr">
        <is>
          <t>NA</t>
        </is>
      </c>
      <c r="BT21" s="142" t="inlineStr">
        <is>
          <t>NaN</t>
        </is>
      </c>
      <c r="BU21" s="60" t="inlineStr">
        <is>
          <t>Main Board</t>
        </is>
      </c>
      <c r="BV21" s="89" t="inlineStr">
        <is>
          <t>H Shares</t>
        </is>
      </c>
      <c r="BW21" s="61" t="n">
        <v>0</v>
      </c>
      <c r="BX21" s="77" t="n">
        <v>0</v>
      </c>
      <c r="BY21" s="77" t="n">
        <v>0</v>
      </c>
      <c r="BZ21" s="78" t="n">
        <v>0</v>
      </c>
      <c r="CA21" s="60" t="inlineStr">
        <is>
          <t>232010</t>
        </is>
      </c>
      <c r="CB21" s="76" t="inlineStr">
        <is>
          <t>HSICS (Hang Seng Industry Classification System) 2026</t>
        </is>
      </c>
      <c r="CC21" s="140" t="n">
        <v>41113</v>
      </c>
      <c r="CD21" s="171" t="n">
        <v>12.92</v>
      </c>
      <c r="CE21" s="76" t="inlineStr">
        <is>
          <t>PRC</t>
        </is>
      </c>
      <c r="CF21" s="89" t="inlineStr">
        <is>
          <t>Unit 2703B, 27/F, 148 Electric Road, North Point, Hong Kong</t>
        </is>
      </c>
      <c r="CG21" s="91" t="n">
        <v>1000</v>
      </c>
      <c r="CH21" s="60" t="inlineStr">
        <is>
          <t>IFRS</t>
        </is>
      </c>
      <c r="CI21" s="141" t="n">
        <v>44562</v>
      </c>
      <c r="CJ21" s="141" t="n">
        <v>44926</v>
      </c>
      <c r="CK21" s="141" t="n">
        <v>44927</v>
      </c>
      <c r="CL21" s="141" t="n">
        <v>45291</v>
      </c>
      <c r="CM21" s="141" t="n">
        <v>45292</v>
      </c>
      <c r="CN21" s="64" t="n">
        <v>1501510000</v>
      </c>
      <c r="CO21" s="64" t="n">
        <v>161315000</v>
      </c>
      <c r="CP21" s="64" t="n">
        <v>140425000</v>
      </c>
      <c r="CQ21" s="141" t="n">
        <v>45825</v>
      </c>
      <c r="CR21" s="141" t="n">
        <v>45828</v>
      </c>
      <c r="CS21" s="63" t="n">
        <v>68220000</v>
      </c>
      <c r="CT21" s="64" t="n">
        <v>328524000</v>
      </c>
      <c r="CU21" s="64" t="n">
        <v>165333000</v>
      </c>
      <c r="CV21" s="59" t="inlineStr">
        <is>
          <t>Unqualified opinion (true and fair view)</t>
        </is>
      </c>
      <c r="CW21" s="64" t="n">
        <v>40400000</v>
      </c>
      <c r="CX21" s="51" t="inlineStr">
        <is>
          <t>Hubei Shunjie Investment (Hong Kong) Co., Limited (湖北順捷投資(香港)有限公司); Hong Kong Xinghuang Holdings Limited (香港興黃控股有限公司); Hong Kong Yunxing Technology Trade Management Co., Limited (香港雲星科技貿易管理有限公司)</t>
        </is>
      </c>
      <c r="CY21" s="142" t="n">
        <v>0.44</v>
      </c>
      <c r="CZ21" s="136" t="n">
        <v>46016</v>
      </c>
      <c r="DA21" s="143" t="n">
        <v>852.38</v>
      </c>
      <c r="DB21" s="63" t="n">
        <v>48554</v>
      </c>
      <c r="DC21" s="63" t="n">
        <v>5814928000</v>
      </c>
      <c r="DD21" s="59" t="inlineStr">
        <is>
          <t>Subscription level 852.38 times</t>
        </is>
      </c>
      <c r="DE21" s="141" t="n">
        <v>45831</v>
      </c>
      <c r="DF21" s="141" t="n">
        <v>45832</v>
      </c>
      <c r="DG21" s="63" t="n">
        <v>68220000</v>
      </c>
      <c r="DH21" s="63" t="n">
        <v>34110000</v>
      </c>
      <c r="DI21" s="63" t="n">
        <v>34110000</v>
      </c>
      <c r="DJ21" s="63" t="n">
        <v>0</v>
      </c>
      <c r="DK21" s="169" t="n">
        <v>0</v>
      </c>
      <c r="DL21" s="59" t="inlineStr">
        <is>
          <t>No. of Offer Shares reallocated from the International Offering (claw-back) 27,288,000; Final no. of Offer Shares under the Hong Kong Public Offering (after reallocation) 34,110,000</t>
        </is>
      </c>
      <c r="DM21" s="144" t="n">
        <v>155570000</v>
      </c>
      <c r="DN21" s="142" t="n">
        <v>0.25</v>
      </c>
      <c r="DO21" s="51" t="n">
        <v>272879509</v>
      </c>
      <c r="DP21" s="142" t="n">
        <v>0.140003</v>
      </c>
      <c r="DQ21" s="59" t="inlineStr">
        <is>
          <t>Denominator = total issued Shares upon Listing 272,879,509 (incl. unlisted domestic Shares); public hands excludes the 204,659,509 Shares of the controlling shareholder group locked to 24 June 2026 and the 30,016,000 cornerstone H Shares locked to 2028/2030.</t>
        </is>
      </c>
      <c r="DR21" s="63" t="n">
        <v>272879509</v>
      </c>
      <c r="DS21" s="142" t="n">
        <v>0.03121235</v>
      </c>
      <c r="DT21" s="80" t="n">
        <v>19</v>
      </c>
      <c r="DU21" s="142" t="n">
        <v>0.0053952</v>
      </c>
      <c r="DV21" s="144" t="n">
        <v>173483000000</v>
      </c>
      <c r="DW21" s="145" t="n">
        <v>2.48</v>
      </c>
      <c r="DX21" s="169" t="n">
        <v>-0.132867</v>
      </c>
      <c r="DY21" s="172" t="n">
        <v>-25923600</v>
      </c>
      <c r="DZ21" s="146" t="n">
        <v>2.61</v>
      </c>
      <c r="EA21" s="146" t="n">
        <v>2.7</v>
      </c>
      <c r="EB21" s="146" t="n">
        <v>2.47</v>
      </c>
      <c r="EC21" s="63" t="n">
        <v>30003000</v>
      </c>
      <c r="ED21" s="169" t="n">
        <v>0.439798</v>
      </c>
      <c r="EE21" s="64" t="n">
        <v>80835780</v>
      </c>
      <c r="EF21" s="60" t="inlineStr">
        <is>
          <t>PN18 statutory clawback</t>
        </is>
      </c>
      <c r="EG21" s="59" t="inlineStr">
        <is>
          <t>FINI (from 22/11/2023)</t>
        </is>
      </c>
      <c r="EH21" t="inlineStr">
        <is>
          <t>湖北香江电器股份有限公司</t>
        </is>
      </c>
      <c r="EI21" s="174" t="inlineStr">
        <is>
          <t>Active</t>
        </is>
      </c>
      <c r="EJ21" s="175" t="n">
        <v>2.37</v>
      </c>
      <c r="EK21" s="176" t="n">
        <v>-0.044355</v>
      </c>
      <c r="EL21" s="176" t="n">
        <v>-0.171329</v>
      </c>
      <c r="EM21" s="176" t="n">
        <v>0.043449</v>
      </c>
      <c r="EN21" s="176" t="n">
        <v>0.072162</v>
      </c>
      <c r="EO21" s="179" t="n">
        <v>0.9159</v>
      </c>
      <c r="EP21" s="179" t="n">
        <v>0.8913</v>
      </c>
      <c r="EQ21" s="178" t="n">
        <v>8554624.5</v>
      </c>
      <c r="ER21" s="175" t="n">
        <v>2.31</v>
      </c>
      <c r="ES21" s="176" t="n">
        <v>-0.068548</v>
      </c>
      <c r="ET21" s="176" t="n">
        <v>-0.192308</v>
      </c>
      <c r="EU21" s="176" t="n">
        <v>0.047419</v>
      </c>
      <c r="EV21" s="176" t="n">
        <v>0.023137</v>
      </c>
      <c r="EW21" s="179" t="n">
        <v>0.8893</v>
      </c>
      <c r="EX21" s="179" t="n">
        <v>0.9104</v>
      </c>
      <c r="EY21" s="178" t="n">
        <v>1639456</v>
      </c>
      <c r="EZ21" s="176" t="n">
        <v>0.020281</v>
      </c>
      <c r="FA21" s="176" t="n"/>
      <c r="FB21" s="179" t="n"/>
      <c r="FC21" s="176" t="n"/>
      <c r="FD21" s="179" t="n"/>
      <c r="FE21" s="174" t="inlineStr">
        <is>
          <t>Standard</t>
        </is>
      </c>
      <c r="FF21" s="181" t="inlineStr">
        <is>
          <t>China International Capital Corporation / Sponsor-OC</t>
        </is>
      </c>
      <c r="FG21" s="185" t="inlineStr">
        <is>
          <t>2025-07-25</t>
        </is>
      </c>
      <c r="FH21" s="183" t="n">
        <v>0</v>
      </c>
      <c r="FI21" s="178" t="n">
        <v>0</v>
      </c>
      <c r="FJ21" s="176" t="n">
        <v>0.15</v>
      </c>
      <c r="FK21" s="185" t="inlineStr">
        <is>
          <t>2025-07-25</t>
        </is>
      </c>
      <c r="FL21" s="178" t="n">
        <v>0</v>
      </c>
      <c r="FM21" s="176" t="n">
        <v>0</v>
      </c>
      <c r="FN21" s="176" t="n">
        <v>-0.037815</v>
      </c>
      <c r="FO21" s="176" t="n">
        <v>-0.012712</v>
      </c>
      <c r="FP21" s="176" t="n">
        <v>0.090199</v>
      </c>
      <c r="FQ21" s="176" t="n">
        <v>-0.03629</v>
      </c>
      <c r="FR21" s="179" t="n">
        <v>0.9738</v>
      </c>
      <c r="FS21" s="176" t="n">
        <v>-0.044355</v>
      </c>
      <c r="FT21" s="179" t="n">
        <v>0.9159</v>
      </c>
      <c r="FU21" s="176" t="n">
        <v>-0.229839</v>
      </c>
      <c r="FV21" s="179" t="n">
        <v>0.7155</v>
      </c>
      <c r="FW21" s="179" t="n">
        <v>0.6595</v>
      </c>
      <c r="FX21" s="178" t="n">
        <v>3405488.73</v>
      </c>
      <c r="FY21" s="186" t="n">
        <v>0.0340037619047619</v>
      </c>
      <c r="FZ21" s="183" t="n">
        <v>0</v>
      </c>
      <c r="GA21" s="176" t="n">
        <v>0.03014487043997464</v>
      </c>
      <c r="GB21" s="176" t="n">
        <v>0.381481</v>
      </c>
      <c r="GC21" s="185" t="inlineStr">
        <is>
          <t>2025-12-25</t>
        </is>
      </c>
      <c r="GD21" s="185" t="inlineStr">
        <is>
          <t>2026-06-25</t>
        </is>
      </c>
      <c r="GE21" s="176" t="n">
        <v>0.020034</v>
      </c>
      <c r="GF21" s="176" t="n">
        <v>0.090951</v>
      </c>
      <c r="GG21" s="179" t="n">
        <v>1.0761</v>
      </c>
      <c r="GH21" s="181" t="inlineStr">
        <is>
          <t>China International Capital Corporation / Sponsor-OC</t>
        </is>
      </c>
      <c r="GI21" s="183" t="n">
        <v>0</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PRE_2025_REFORM</t>
        </is>
      </c>
    </row>
    <row r="22" ht="51" customFormat="1" customHeight="1" s="11">
      <c r="A22" s="43" t="n">
        <v>37</v>
      </c>
      <c r="B22" s="47" t="inlineStr">
        <is>
          <t>2643.HK</t>
        </is>
      </c>
      <c r="C22" s="44" t="inlineStr">
        <is>
          <t>CaoCao Inc.</t>
        </is>
      </c>
      <c r="D22" s="130" t="n">
        <v>45825</v>
      </c>
      <c r="E22" s="48" t="n">
        <v>45833</v>
      </c>
      <c r="F22" s="43" t="inlineStr">
        <is>
          <t>Huatai Financial Holdings (Hong Kong) Limited/
ABCI Capital Limited/
GF Capital (Hong Kong) Limited</t>
        </is>
      </c>
      <c r="G22" s="43" t="inlineStr">
        <is>
          <t>PricewaterhouseCoopers</t>
        </is>
      </c>
      <c r="H22" s="43" t="n"/>
      <c r="I22" s="131" t="n">
        <v>555855984</v>
      </c>
      <c r="J22" s="148" t="n">
        <v>1296994500</v>
      </c>
      <c r="K22" s="133" t="n">
        <v>41.94</v>
      </c>
      <c r="L22" t="n">
        <v>544178600</v>
      </c>
      <c r="M22" s="67" t="n">
        <v>44178600</v>
      </c>
      <c r="N22" t="n">
        <v>500000000</v>
      </c>
      <c r="O22" t="n">
        <v>500000000</v>
      </c>
      <c r="P22" t="n">
        <v>0</v>
      </c>
      <c r="Q22" t="n">
        <v>44178600</v>
      </c>
      <c r="R22" s="67" t="n">
        <v>39760700</v>
      </c>
      <c r="S22" s="67" t="n">
        <v>4417900</v>
      </c>
      <c r="T22" s="147" t="n">
        <v>41.94</v>
      </c>
      <c r="U22" s="147" t="n">
        <v>41.94</v>
      </c>
      <c r="V22" s="169" t="n">
        <v>0</v>
      </c>
      <c r="W22" s="169" t="n">
        <v>0</v>
      </c>
      <c r="X22" s="170" t="inlineStr">
        <is>
          <t>Fixed price</t>
        </is>
      </c>
      <c r="Y22" s="26" t="inlineStr">
        <is>
          <t>RMB</t>
        </is>
      </c>
      <c r="Z22" s="137" t="n">
        <v>4667059000</v>
      </c>
      <c r="AA22" s="137" t="n">
        <v>5072884000</v>
      </c>
      <c r="AB22" s="137" t="n">
        <v>4077652000</v>
      </c>
      <c r="AC22" s="137" t="n">
        <v>-5298050000</v>
      </c>
      <c r="AD22" s="137" t="n">
        <v>-6373594000</v>
      </c>
      <c r="AE22" s="137" t="n">
        <v>-7205579000</v>
      </c>
      <c r="AF22" s="137" t="n">
        <v>9965109000</v>
      </c>
      <c r="AG22" s="137" t="n">
        <v>11446478000</v>
      </c>
      <c r="AH22" s="137" t="n">
        <v>11283231000</v>
      </c>
      <c r="AI22" s="137" t="n">
        <v>7630961000</v>
      </c>
      <c r="AJ22" s="137" t="n">
        <v>10667894000</v>
      </c>
      <c r="AK22" s="137" t="n">
        <v>14657499000</v>
      </c>
      <c r="AL22" s="137" t="n">
        <v>-2130304000</v>
      </c>
      <c r="AM22" s="137" t="n">
        <v>-1939996000</v>
      </c>
      <c r="AN22" s="137" t="n">
        <v>-1206342000</v>
      </c>
      <c r="AO22" s="137" t="n">
        <v>-2007100000</v>
      </c>
      <c r="AP22" s="137" t="n">
        <v>-1981058000</v>
      </c>
      <c r="AQ22" s="137" t="n">
        <v>-1246389000</v>
      </c>
      <c r="AR22" s="142" t="n">
        <v>0.02</v>
      </c>
      <c r="AS22" s="142" t="n">
        <v>0.02</v>
      </c>
      <c r="AT22" s="84" t="n">
        <v>0.15</v>
      </c>
      <c r="AU22" s="51" t="inlineStr">
        <is>
          <t>Online ride hailing platform / shared mobility services in China</t>
        </is>
      </c>
      <c r="AV22" s="51" t="inlineStr">
        <is>
          <t>Main Board — Rule 8.05(3) market capitalization/revenue test</t>
        </is>
      </c>
      <c r="AW22" s="136" t="n">
        <v>45657</v>
      </c>
      <c r="AX22" s="137" t="n">
        <v>235901000</v>
      </c>
      <c r="AY22" s="117" t="n">
        <v>159497000</v>
      </c>
      <c r="AZ22" s="117" t="n">
        <v>234462000</v>
      </c>
      <c r="BA22" s="117" t="n">
        <v>0</v>
      </c>
      <c r="BB22" s="138" t="n">
        <v>0.037</v>
      </c>
      <c r="BC22" s="139" t="n">
        <v>1</v>
      </c>
      <c r="BD22" s="80" t="n">
        <v>1</v>
      </c>
      <c r="BE22" s="161" t="n">
        <v>1</v>
      </c>
      <c r="BF22" s="161" t="n">
        <v>1</v>
      </c>
      <c r="BG22" s="161" t="n">
        <v>0</v>
      </c>
      <c r="BH22" s="161" t="n">
        <v>1</v>
      </c>
      <c r="BI22" s="161" t="inlineStr">
        <is>
          <t>NaN</t>
        </is>
      </c>
      <c r="BJ22" s="162" t="inlineStr">
        <is>
          <t>Xiangcheng Xiangxing VC; Oceanpine Marvel (SanJohn Fund); ABC Investment (Suzhou); Paradise Silicon-valley Tiansheng; Longqi Xinglu; Dongwu Innovation; Tongxiang Wuzhen Fund I</t>
        </is>
      </c>
      <c r="BK22" s="163" t="n">
        <v>0.161</v>
      </c>
      <c r="BL22" s="161" t="n">
        <v>1</v>
      </c>
      <c r="BM22" s="164" t="inlineStr">
        <is>
          <t>Series A</t>
        </is>
      </c>
      <c r="BN22" s="165" t="n">
        <v>7.4</v>
      </c>
      <c r="BO22" s="51" t="inlineStr">
        <is>
          <t>Individual / natural person (Mr. Shufu Li)</t>
        </is>
      </c>
      <c r="BP22" s="135" t="n">
        <v>0.771</v>
      </c>
      <c r="BQ22" s="135" t="n">
        <v>0.8100000000000001</v>
      </c>
      <c r="BR22" s="137" t="n">
        <v>7218287000</v>
      </c>
      <c r="BS22" s="51" t="inlineStr">
        <is>
          <t>NA</t>
        </is>
      </c>
      <c r="BT22" s="142" t="n">
        <v>0.2</v>
      </c>
      <c r="BU22" s="60" t="inlineStr">
        <is>
          <t>Main Board</t>
        </is>
      </c>
      <c r="BV22" s="89" t="inlineStr">
        <is>
          <t>Ordinary Shares (par value US$0.00001); all Preferred Shares convert into Ordinary Shares on a one-on-one basis upon Listing</t>
        </is>
      </c>
      <c r="BW22" s="61" t="n">
        <v>0</v>
      </c>
      <c r="BX22" s="77" t="n">
        <v>0</v>
      </c>
      <c r="BY22" s="77" t="n">
        <v>0</v>
      </c>
      <c r="BZ22" s="78" t="n">
        <v>0</v>
      </c>
      <c r="CA22" s="60" t="inlineStr">
        <is>
          <t>234010</t>
        </is>
      </c>
      <c r="CB22" s="76" t="inlineStr">
        <is>
          <t>HSICS (Hang Seng Industry Classification System) 2026</t>
        </is>
      </c>
      <c r="CC22" s="140" t="n">
        <v>44508</v>
      </c>
      <c r="CD22" s="171" t="n">
        <v>3.63</v>
      </c>
      <c r="CE22" s="76" t="inlineStr">
        <is>
          <t>Cayman Islands</t>
        </is>
      </c>
      <c r="CF22" s="89" t="inlineStr">
        <is>
          <t>Suzhou, Jiangsu, China</t>
        </is>
      </c>
      <c r="CG22" s="91" t="n">
        <v>1000</v>
      </c>
      <c r="CH22" s="60" t="inlineStr">
        <is>
          <t>IFRS</t>
        </is>
      </c>
      <c r="CI22" s="141" t="n">
        <v>44562</v>
      </c>
      <c r="CJ22" s="141" t="n">
        <v>44926</v>
      </c>
      <c r="CK22" s="141" t="n">
        <v>44927</v>
      </c>
      <c r="CL22" s="141" t="n">
        <v>45291</v>
      </c>
      <c r="CM22" s="141" t="n">
        <v>45292</v>
      </c>
      <c r="CN22" s="64" t="n">
        <v>14657499000</v>
      </c>
      <c r="CO22" s="64" t="n">
        <v>-1206342000</v>
      </c>
      <c r="CP22" s="64" t="n">
        <v>-1246389000</v>
      </c>
      <c r="CQ22" s="141" t="n">
        <v>45825</v>
      </c>
      <c r="CR22" s="141" t="n">
        <v>45828</v>
      </c>
      <c r="CS22" s="63" t="n">
        <v>544178600</v>
      </c>
      <c r="CT22" s="64" t="n">
        <v>1185980000</v>
      </c>
      <c r="CU22" s="64" t="n">
        <v>339547000</v>
      </c>
      <c r="CV22" s="59" t="inlineStr">
        <is>
          <t>Unmodified opinion (true and fair view)</t>
        </is>
      </c>
      <c r="CW22" s="64" t="n">
        <v>134500000</v>
      </c>
      <c r="CX22" s="51" t="inlineStr">
        <is>
          <t>Mercedes-Benz Mobility Services GmbH; Mirae Asset Securities (HK) Ltd.; Infini Global Master Fund; GOTION HIGH-TECH (HK) LIMITED; EVE Asia Co., Limited; RoboSense HongKong Limited</t>
        </is>
      </c>
      <c r="CY22" s="142" t="n">
        <v>0.5125</v>
      </c>
      <c r="CZ22" s="136" t="n">
        <v>46016</v>
      </c>
      <c r="DA22" s="143" t="n">
        <v>21.14</v>
      </c>
      <c r="DB22" s="63" t="n">
        <v>25263</v>
      </c>
      <c r="DC22" s="63" t="n">
        <v>93406300</v>
      </c>
      <c r="DD22" s="59" t="inlineStr">
        <is>
          <t>Subscription level 21.14 times</t>
        </is>
      </c>
      <c r="DE22" s="141" t="inlineStr">
        <is>
          <t>NA</t>
        </is>
      </c>
      <c r="DF22" s="141" t="n">
        <v>45832</v>
      </c>
      <c r="DG22" s="63" t="n">
        <v>44178600</v>
      </c>
      <c r="DH22" s="63" t="n">
        <v>13253600</v>
      </c>
      <c r="DI22" s="63" t="n">
        <v>30925000</v>
      </c>
      <c r="DJ22" s="63" t="n">
        <v>0</v>
      </c>
      <c r="DK22" s="169" t="n">
        <v>0</v>
      </c>
      <c r="DL22" s="59" t="inlineStr">
        <is>
          <t>No. of Offer Shares reallocated from the International Offering (claw-back) 8,835,700；公开发售超额认购 15 倍以上但不足 50 倍触发回拨</t>
        </is>
      </c>
      <c r="DM22" s="144" t="n">
        <v>1718350000</v>
      </c>
      <c r="DN22" s="142" t="n">
        <v>0.1901</v>
      </c>
      <c r="DO22" s="51" t="n">
        <v>544178600</v>
      </c>
      <c r="DP22" s="142" t="n">
        <v>0.0396</v>
      </c>
      <c r="DQ22" s="59" t="inlineStr">
        <is>
          <t>分母为上市时已发行股份总数 544,178,600 股（Number of issued shares upon Listing），含受禁售限制股份。</t>
        </is>
      </c>
      <c r="DR22" s="63" t="n">
        <v>544178600</v>
      </c>
      <c r="DS22" s="142" t="n">
        <v>0.03121235</v>
      </c>
      <c r="DT22" s="80" t="n">
        <v>19</v>
      </c>
      <c r="DU22" s="142" t="n">
        <v>0.0053952</v>
      </c>
      <c r="DV22" s="144" t="n">
        <v>173483000000</v>
      </c>
      <c r="DW22" s="145" t="n">
        <v>36</v>
      </c>
      <c r="DX22" s="169" t="n">
        <v>-0.141631</v>
      </c>
      <c r="DY22" s="172" t="n">
        <v>-262420884</v>
      </c>
      <c r="DZ22" s="146" t="n">
        <v>33.8</v>
      </c>
      <c r="EA22" s="146" t="n">
        <v>36.8</v>
      </c>
      <c r="EB22" s="146" t="n">
        <v>32.85</v>
      </c>
      <c r="EC22" s="63" t="n">
        <v>13537900</v>
      </c>
      <c r="ED22" s="169" t="n">
        <v>0.306436</v>
      </c>
      <c r="EE22" s="64" t="n">
        <v>484530500</v>
      </c>
      <c r="EF22" s="60" t="inlineStr">
        <is>
          <t>PN18 statutory clawback</t>
        </is>
      </c>
      <c r="EG22" s="59" t="inlineStr">
        <is>
          <t>FINI (from 22/11/2023)</t>
        </is>
      </c>
      <c r="EH22" t="inlineStr">
        <is>
          <t>曹操出行有限公司</t>
        </is>
      </c>
      <c r="EI22" s="174" t="inlineStr">
        <is>
          <t>Active</t>
        </is>
      </c>
      <c r="EJ22" s="175" t="n">
        <v>41.3</v>
      </c>
      <c r="EK22" s="176" t="n">
        <v>0.147222</v>
      </c>
      <c r="EL22" s="176" t="n">
        <v>-0.01526</v>
      </c>
      <c r="EM22" s="176" t="n">
        <v>0.043449</v>
      </c>
      <c r="EN22" s="176" t="n">
        <v>0.072162</v>
      </c>
      <c r="EO22" s="179" t="n">
        <v>1.0995</v>
      </c>
      <c r="EP22" s="179" t="n">
        <v>1.07</v>
      </c>
      <c r="EQ22" s="178" t="n">
        <v>61604055</v>
      </c>
      <c r="ER22" s="175" t="n">
        <v>29.78</v>
      </c>
      <c r="ES22" s="176" t="n">
        <v>-0.172778</v>
      </c>
      <c r="ET22" s="176" t="n">
        <v>-0.289938</v>
      </c>
      <c r="EU22" s="176" t="n">
        <v>0.047419</v>
      </c>
      <c r="EV22" s="176" t="n">
        <v>0.023137</v>
      </c>
      <c r="EW22" s="179" t="n">
        <v>0.7897999999999999</v>
      </c>
      <c r="EX22" s="179" t="n">
        <v>0.8085</v>
      </c>
      <c r="EY22" s="178" t="n">
        <v>99832830</v>
      </c>
      <c r="EZ22" s="176" t="n">
        <v>0.20604</v>
      </c>
      <c r="FA22" s="176" t="n"/>
      <c r="FB22" s="179" t="n"/>
      <c r="FC22" s="176" t="n"/>
      <c r="FD22" s="179" t="n"/>
      <c r="FE22" s="174" t="inlineStr">
        <is>
          <t>Standard</t>
        </is>
      </c>
      <c r="FF22" s="181" t="inlineStr">
        <is>
          <t>China International Capital Corporation / Sponsor-OC</t>
        </is>
      </c>
      <c r="FG22" s="185" t="inlineStr">
        <is>
          <t>2025-07-25</t>
        </is>
      </c>
      <c r="FH22" s="183" t="n">
        <v>0</v>
      </c>
      <c r="FI22" s="178" t="n">
        <v>0</v>
      </c>
      <c r="FJ22" s="176" t="n">
        <v>0.15</v>
      </c>
      <c r="FK22" s="185" t="inlineStr">
        <is>
          <t>2025-07-25</t>
        </is>
      </c>
      <c r="FL22" s="178" t="n">
        <v>0</v>
      </c>
      <c r="FM22" s="176" t="n">
        <v>0</v>
      </c>
      <c r="FN22" s="176" t="n">
        <v>0.15</v>
      </c>
      <c r="FO22" s="176" t="n">
        <v>0.9110009999999999</v>
      </c>
      <c r="FP22" s="176" t="n">
        <v>1.096163</v>
      </c>
      <c r="FQ22" s="176" t="n">
        <v>-0.027778</v>
      </c>
      <c r="FR22" s="179" t="n">
        <v>0.9824000000000001</v>
      </c>
      <c r="FS22" s="176" t="n">
        <v>0.147222</v>
      </c>
      <c r="FT22" s="179" t="n">
        <v>1.0995</v>
      </c>
      <c r="FU22" s="176" t="n">
        <v>0.441667</v>
      </c>
      <c r="FV22" s="179" t="n">
        <v>1.3394</v>
      </c>
      <c r="FW22" s="179" t="n">
        <v>1.2346</v>
      </c>
      <c r="FX22" s="178" t="n">
        <v>105271868.25</v>
      </c>
      <c r="FY22" s="186" t="n">
        <v>0.000539452380952381</v>
      </c>
      <c r="FZ22" s="183" t="n">
        <v>0</v>
      </c>
      <c r="GA22" s="176" t="n">
        <v>0.05035153140529315</v>
      </c>
      <c r="GB22" s="176" t="n">
        <v>0.6869189999999999</v>
      </c>
      <c r="GC22" s="185" t="inlineStr">
        <is>
          <t>2025-12-25</t>
        </is>
      </c>
      <c r="GD22" s="185" t="inlineStr">
        <is>
          <t>2026-06-25</t>
        </is>
      </c>
      <c r="GE22" s="176" t="n">
        <v>0.020434</v>
      </c>
      <c r="GF22" s="176" t="n">
        <v>-0.205356</v>
      </c>
      <c r="GG22" s="179" t="n">
        <v>1.329</v>
      </c>
      <c r="GH22" s="181" t="inlineStr">
        <is>
          <t>China International Capital Corporation / Sponsor-OC</t>
        </is>
      </c>
      <c r="GI22" s="183" t="n">
        <v>0</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PRE_2025_REFORM</t>
        </is>
      </c>
    </row>
    <row r="23" ht="68" customFormat="1" customHeight="1" s="11">
      <c r="A23" s="43" t="n">
        <v>40</v>
      </c>
      <c r="B23" s="47" t="inlineStr">
        <is>
          <t>2508.HK</t>
        </is>
      </c>
      <c r="C23" s="44" t="inlineStr">
        <is>
          <t>SAINT BELLA Inc.</t>
        </is>
      </c>
      <c r="D23" s="130" t="n">
        <v>45826</v>
      </c>
      <c r="E23" s="48" t="n">
        <v>45834</v>
      </c>
      <c r="F23" s="43" t="inlineStr">
        <is>
          <t>UBS Securities Hong Kong Limited/
CITIC Securities (Hong Kong) Limited</t>
        </is>
      </c>
      <c r="G23" s="43" t="inlineStr">
        <is>
          <t>Ernst &amp; Young</t>
        </is>
      </c>
      <c r="H23" s="43" t="n"/>
      <c r="I23" s="131" t="n">
        <v>313931800</v>
      </c>
      <c r="J23" s="148" t="n">
        <v>490121170</v>
      </c>
      <c r="K23" s="133" t="n">
        <v>6.58</v>
      </c>
      <c r="L23" t="n">
        <v>595420000</v>
      </c>
      <c r="M23" s="67" t="n">
        <v>95420000</v>
      </c>
      <c r="N23" t="n">
        <v>500000000</v>
      </c>
      <c r="O23" t="n">
        <v>500000000</v>
      </c>
      <c r="P23" t="n">
        <v>0</v>
      </c>
      <c r="Q23" t="n">
        <v>95420000</v>
      </c>
      <c r="R23" s="67" t="n">
        <v>85878000</v>
      </c>
      <c r="S23" s="67" t="n">
        <v>9542000</v>
      </c>
      <c r="T23" s="147" t="n">
        <v>6.58</v>
      </c>
      <c r="U23" s="147" t="n">
        <v>6.58</v>
      </c>
      <c r="V23" s="169" t="n">
        <v>0</v>
      </c>
      <c r="W23" s="169" t="n">
        <v>0</v>
      </c>
      <c r="X23" s="170" t="inlineStr">
        <is>
          <t>Fixed price</t>
        </is>
      </c>
      <c r="Y23" s="26" t="inlineStr">
        <is>
          <t>RMB</t>
        </is>
      </c>
      <c r="Z23" s="137" t="n">
        <v>405178000</v>
      </c>
      <c r="AA23" s="137" t="n">
        <v>468582000</v>
      </c>
      <c r="AB23" s="137" t="n">
        <v>621540000</v>
      </c>
      <c r="AC23" s="137" t="n">
        <v>-716223000</v>
      </c>
      <c r="AD23" s="137" t="n">
        <v>-955130000</v>
      </c>
      <c r="AE23" s="137" t="n">
        <v>-1459720000</v>
      </c>
      <c r="AF23" s="137" t="n">
        <v>1121401000</v>
      </c>
      <c r="AG23" s="137" t="n">
        <v>1423712000</v>
      </c>
      <c r="AH23" s="137" t="n">
        <v>2081260000</v>
      </c>
      <c r="AI23" s="137" t="n">
        <v>471522000</v>
      </c>
      <c r="AJ23" s="137" t="n">
        <v>559909000</v>
      </c>
      <c r="AK23" s="137" t="n">
        <v>798666000</v>
      </c>
      <c r="AL23" s="137" t="n">
        <v>-411879000</v>
      </c>
      <c r="AM23" s="137" t="n">
        <v>-240715000</v>
      </c>
      <c r="AN23" s="137" t="n">
        <v>-546573000</v>
      </c>
      <c r="AO23" s="137" t="n">
        <v>-411576000</v>
      </c>
      <c r="AP23" s="137" t="n">
        <v>-238894000</v>
      </c>
      <c r="AQ23" s="137" t="n">
        <v>-543279000</v>
      </c>
      <c r="AR23" s="142" t="n">
        <v>0.035</v>
      </c>
      <c r="AS23" s="142" t="n">
        <v>0.035</v>
      </c>
      <c r="AT23" s="84" t="n">
        <v>0.15</v>
      </c>
      <c r="AU23" s="51" t="inlineStr">
        <is>
          <t>Family care: postpartum care and recovery services, home care services and women's health food products in China</t>
        </is>
      </c>
      <c r="AV23" s="51" t="inlineStr">
        <is>
          <t>Main Board – Rule 8.05(2) (revenue, operating cash flow and market capitalization test)</t>
        </is>
      </c>
      <c r="AW23" s="136" t="n">
        <v>45657</v>
      </c>
      <c r="AX23" s="137" t="n">
        <v>49078000</v>
      </c>
      <c r="AY23" s="117" t="n">
        <v>65971000</v>
      </c>
      <c r="AZ23" s="117" t="n">
        <v>13261000</v>
      </c>
      <c r="BA23" s="117" t="n">
        <v>0</v>
      </c>
      <c r="BB23" s="138" t="n">
        <v>0.05</v>
      </c>
      <c r="BC23" s="139" t="n">
        <v>1</v>
      </c>
      <c r="BD23" s="80" t="n">
        <v>1</v>
      </c>
      <c r="BE23" s="161" t="n">
        <v>1</v>
      </c>
      <c r="BF23" s="161" t="n">
        <v>1</v>
      </c>
      <c r="BG23" s="161" t="n">
        <v>1</v>
      </c>
      <c r="BH23" s="161" t="n">
        <v>1</v>
      </c>
      <c r="BI23" s="161" t="n">
        <v>1</v>
      </c>
      <c r="BJ23" s="162" t="inlineStr">
        <is>
          <t>Tencent Mobility; Gaorong Capital; Kunshan Tanglu; Ningbo Tangzhu; Zhuji Jiantou; C Capital; Pegasus Capital; Elegant Riverine; China Life; PrimeCare International (SHK Strategic); Swire Properties; Mirae Asset; Bourn Well</t>
        </is>
      </c>
      <c r="BK23" s="163" t="inlineStr">
        <is>
          <t>NaN</t>
        </is>
      </c>
      <c r="BL23" s="161" t="n">
        <v>1</v>
      </c>
      <c r="BM23" s="164" t="inlineStr">
        <is>
          <t>Series A</t>
        </is>
      </c>
      <c r="BN23" s="165" t="n">
        <v>7.37</v>
      </c>
      <c r="BO23" s="51" t="inlineStr">
        <is>
          <t>Individual</t>
        </is>
      </c>
      <c r="BP23" s="135" t="n">
        <v>0.357</v>
      </c>
      <c r="BQ23" s="135" t="n">
        <v>0.357</v>
      </c>
      <c r="BR23" s="137" t="n">
        <v>120588000</v>
      </c>
      <c r="BS23" s="51" t="inlineStr">
        <is>
          <t>Commercialized</t>
        </is>
      </c>
      <c r="BT23" s="142" t="n">
        <v>0</v>
      </c>
      <c r="BU23" s="60" t="inlineStr">
        <is>
          <t>Main Board</t>
        </is>
      </c>
      <c r="BV23" s="89" t="inlineStr">
        <is>
          <t>Ordinary Shares</t>
        </is>
      </c>
      <c r="BW23" s="61" t="n">
        <v>0</v>
      </c>
      <c r="BX23" s="77" t="n">
        <v>0</v>
      </c>
      <c r="BY23" s="77" t="n">
        <v>0</v>
      </c>
      <c r="BZ23" s="78" t="n">
        <v>0</v>
      </c>
      <c r="CA23" s="60" t="inlineStr">
        <is>
          <t>236020</t>
        </is>
      </c>
      <c r="CB23" s="76" t="inlineStr">
        <is>
          <t>HSICS (Hang Seng Industry Classification System) 2026</t>
        </is>
      </c>
      <c r="CC23" s="140" t="n">
        <v>45111</v>
      </c>
      <c r="CD23" s="171" t="n">
        <v>1.98</v>
      </c>
      <c r="CE23" s="76" t="inlineStr">
        <is>
          <t>Cayman Islands</t>
        </is>
      </c>
      <c r="CF23" s="89" t="inlineStr">
        <is>
          <t>Level 1, Building 6, Information Port Phase 6, No. 666, Jianshe 2nd Road, Xiaoshan District, Hangzhou City, Zhejiang Province, China</t>
        </is>
      </c>
      <c r="CG23" s="91" t="n">
        <v>1000</v>
      </c>
      <c r="CH23" s="60" t="inlineStr">
        <is>
          <t>HKFRS</t>
        </is>
      </c>
      <c r="CI23" s="141" t="n">
        <v>44562</v>
      </c>
      <c r="CJ23" s="141" t="n">
        <v>44926</v>
      </c>
      <c r="CK23" s="141" t="n">
        <v>44927</v>
      </c>
      <c r="CL23" s="141" t="n">
        <v>45291</v>
      </c>
      <c r="CM23" s="141" t="n">
        <v>45292</v>
      </c>
      <c r="CN23" s="64" t="n">
        <v>798666000</v>
      </c>
      <c r="CO23" s="64" t="n">
        <v>-546573000</v>
      </c>
      <c r="CP23" s="64" t="n">
        <v>-543279000</v>
      </c>
      <c r="CQ23" s="141" t="n">
        <v>45826</v>
      </c>
      <c r="CR23" s="141" t="n">
        <v>45831</v>
      </c>
      <c r="CS23" s="63" t="n">
        <v>595420000</v>
      </c>
      <c r="CT23" s="64" t="n">
        <v>270394000</v>
      </c>
      <c r="CU23" s="64" t="n">
        <v>16236000</v>
      </c>
      <c r="CV23" s="59" t="inlineStr">
        <is>
          <t>Unqualified</t>
        </is>
      </c>
      <c r="CW23" s="64" t="n">
        <v>87396352</v>
      </c>
      <c r="CX23" s="51" t="inlineStr">
        <is>
          <t>GIMM Holding Limited; China Asset Management (Hong Kong) Limited; JKKB Limited; Mr. Carl Wu (吳啟楠); SS Morgan Capital Limited; Minwise Business Consulting Limited; Ms. Wang Qianqing (汪牽擎)</t>
        </is>
      </c>
      <c r="CY23" s="142" t="n">
        <v>0.4496</v>
      </c>
      <c r="CZ23" s="136" t="n">
        <v>46017</v>
      </c>
      <c r="DA23" s="143" t="n">
        <v>193</v>
      </c>
      <c r="DB23" s="63" t="n">
        <v>52464</v>
      </c>
      <c r="DC23" s="63" t="n">
        <v>1841580500</v>
      </c>
      <c r="DD23" s="59" t="inlineStr">
        <is>
          <t>Subscription level 193.00 times</t>
        </is>
      </c>
      <c r="DE23" s="141" t="inlineStr">
        <is>
          <t>NA</t>
        </is>
      </c>
      <c r="DF23" s="141" t="n">
        <v>45833</v>
      </c>
      <c r="DG23" s="63" t="n">
        <v>109733000</v>
      </c>
      <c r="DH23" s="63" t="n">
        <v>47710000</v>
      </c>
      <c r="DI23" s="63" t="n">
        <v>62023000</v>
      </c>
      <c r="DJ23" s="63" t="n">
        <v>12463500</v>
      </c>
      <c r="DK23" s="169" t="n">
        <v>0.757202</v>
      </c>
      <c r="DL23" s="59" t="inlineStr">
        <is>
          <t>由国际发售回拨38,168,000股至香港公开发售；公开发售最终47,710,000股，占全球发售43.48%（初始9,542,000股）</t>
        </is>
      </c>
      <c r="DM23" s="144" t="n">
        <v>629950000</v>
      </c>
      <c r="DN23" s="142" t="n">
        <v>0.452</v>
      </c>
      <c r="DO23" s="51" t="n">
        <v>609733000</v>
      </c>
      <c r="DP23" s="142" t="n">
        <v>0.09909999999999999</v>
      </c>
      <c r="DQ23" s="59" t="inlineStr">
        <is>
          <t>分母为上市时已发行股份总数609,733,000股（已计入发售规模调整权获全额行使，未计入超额配售权）；计入公众持股量的股份为275,512,350股，占45.2%</t>
        </is>
      </c>
      <c r="DR23" s="63" t="n">
        <v>609733000</v>
      </c>
      <c r="DS23" s="142" t="n">
        <v>0.0126183</v>
      </c>
      <c r="DT23" s="80" t="n">
        <v>19</v>
      </c>
      <c r="DU23" s="142" t="n">
        <v>0.0052452</v>
      </c>
      <c r="DV23" s="144" t="n">
        <v>173483000000</v>
      </c>
      <c r="DW23" s="145" t="n">
        <v>8.800000000000001</v>
      </c>
      <c r="DX23" s="169" t="n">
        <v>0.337386</v>
      </c>
      <c r="DY23" s="172" t="n">
        <v>243607260</v>
      </c>
      <c r="DZ23" s="146" t="n">
        <v>8.449999999999999</v>
      </c>
      <c r="EA23" s="146" t="n">
        <v>11</v>
      </c>
      <c r="EB23" s="146" t="n">
        <v>8.449999999999999</v>
      </c>
      <c r="EC23" s="63" t="n">
        <v>94418160</v>
      </c>
      <c r="ED23" s="169" t="n">
        <v>0.8604349999999999</v>
      </c>
      <c r="EE23" s="64" t="n">
        <v>828333300</v>
      </c>
      <c r="EF23" s="60" t="inlineStr">
        <is>
          <t>PN18 statutory clawback</t>
        </is>
      </c>
      <c r="EG23" s="59" t="inlineStr">
        <is>
          <t>FINI (from 22/11/2023)</t>
        </is>
      </c>
      <c r="EH23" t="inlineStr">
        <is>
          <t>圣贝拉有限公司</t>
        </is>
      </c>
      <c r="EI23" s="174" t="inlineStr">
        <is>
          <t>Active</t>
        </is>
      </c>
      <c r="EJ23" s="175" t="n">
        <v>7.15</v>
      </c>
      <c r="EK23" s="176" t="n">
        <v>-0.1875</v>
      </c>
      <c r="EL23" s="176" t="n">
        <v>0.08662599999999999</v>
      </c>
      <c r="EM23" s="176" t="n">
        <v>0.05516</v>
      </c>
      <c r="EN23" s="176" t="n">
        <v>0.07443</v>
      </c>
      <c r="EO23" s="179" t="n">
        <v>0.77</v>
      </c>
      <c r="EP23" s="179" t="n">
        <v>0.7562</v>
      </c>
      <c r="EQ23" s="178" t="n">
        <v>83002675</v>
      </c>
      <c r="ER23" s="175" t="n">
        <v>3.95</v>
      </c>
      <c r="ES23" s="176" t="n">
        <v>-0.551136</v>
      </c>
      <c r="ET23" s="176" t="n">
        <v>-0.399696</v>
      </c>
      <c r="EU23" s="176" t="n">
        <v>0.053846</v>
      </c>
      <c r="EV23" s="176" t="n">
        <v>0.02579</v>
      </c>
      <c r="EW23" s="179" t="n">
        <v>0.4259</v>
      </c>
      <c r="EX23" s="179" t="n">
        <v>0.4376</v>
      </c>
      <c r="EY23" s="178" t="n">
        <v>3035655</v>
      </c>
      <c r="EZ23" s="176" t="n">
        <v>0.003665</v>
      </c>
      <c r="FA23" s="176" t="n"/>
      <c r="FB23" s="179" t="n"/>
      <c r="FC23" s="176" t="n"/>
      <c r="FD23" s="179" t="n"/>
      <c r="FE23" s="174" t="inlineStr">
        <is>
          <t>Standard</t>
        </is>
      </c>
      <c r="FF23" s="181" t="inlineStr">
        <is>
          <t>China International Capital Corporation / Sponsor-OC</t>
        </is>
      </c>
      <c r="FG23" s="185" t="inlineStr">
        <is>
          <t>2025-07-26</t>
        </is>
      </c>
      <c r="FH23" s="183" t="n">
        <v>0</v>
      </c>
      <c r="FI23" s="178" t="n">
        <v>0</v>
      </c>
      <c r="FJ23" s="176" t="n">
        <v>0.15</v>
      </c>
      <c r="FK23" s="185" t="inlineStr">
        <is>
          <t>2025-07-26</t>
        </is>
      </c>
      <c r="FL23" s="178" t="n">
        <v>0</v>
      </c>
      <c r="FM23" s="176" t="n">
        <v>0</v>
      </c>
      <c r="FN23" s="176" t="n">
        <v>-0.006702</v>
      </c>
      <c r="FO23" s="176" t="n">
        <v>-0.105744</v>
      </c>
      <c r="FP23" s="176" t="n">
        <v>0.188148</v>
      </c>
      <c r="FQ23" s="176" t="n">
        <v>-0.290909</v>
      </c>
      <c r="FR23" s="179" t="n">
        <v>0.7166</v>
      </c>
      <c r="FS23" s="176" t="n">
        <v>-0.1875</v>
      </c>
      <c r="FT23" s="179" t="n">
        <v>0.77</v>
      </c>
      <c r="FU23" s="176" t="n">
        <v>-0.293182</v>
      </c>
      <c r="FV23" s="179" t="n">
        <v>0.6573</v>
      </c>
      <c r="FW23" s="179" t="n">
        <v>0.6126</v>
      </c>
      <c r="FX23" s="178" t="n">
        <v>33718307.94</v>
      </c>
      <c r="FY23" s="186" t="n">
        <v>0.005166825396825397</v>
      </c>
      <c r="FZ23" s="183" t="n">
        <v>0</v>
      </c>
      <c r="GA23" s="176" t="n">
        <v>0.04816205645994424</v>
      </c>
      <c r="GB23" s="176" t="n">
        <v>0.64</v>
      </c>
      <c r="GC23" s="185" t="inlineStr">
        <is>
          <t>2025-12-26</t>
        </is>
      </c>
      <c r="GD23" s="185" t="inlineStr">
        <is>
          <t>2026-06-26</t>
        </is>
      </c>
      <c r="GE23" s="176" t="n">
        <v>-0.097829</v>
      </c>
      <c r="GF23" s="176" t="n">
        <v>0.019109</v>
      </c>
      <c r="GG23" s="179" t="n">
        <v>12.2162</v>
      </c>
      <c r="GH23" s="181" t="inlineStr">
        <is>
          <t>China International Capital Corporation / Sponsor-OC</t>
        </is>
      </c>
      <c r="GI23" s="183" t="n">
        <v>0</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PRE_2025_REFORM</t>
        </is>
      </c>
    </row>
    <row r="24" ht="68" customFormat="1" customHeight="1" s="11">
      <c r="A24" s="43" t="n">
        <v>41</v>
      </c>
      <c r="B24" s="47" t="inlineStr">
        <is>
          <t>6168.HK</t>
        </is>
      </c>
      <c r="C24" s="44" t="inlineStr">
        <is>
          <t>Zhou Liu Fu Jewellery Co., Ltd. - H shares</t>
        </is>
      </c>
      <c r="D24" s="130" t="n">
        <v>45826</v>
      </c>
      <c r="E24" s="48" t="n">
        <v>45834</v>
      </c>
      <c r="F24" s="43" t="inlineStr">
        <is>
          <t>China International Capital Corporation
Hong Kong Securities Limited/
China Securities (International) 
Corporate Finance Company Limited</t>
        </is>
      </c>
      <c r="G24" s="43" t="inlineStr">
        <is>
          <t>Ernst &amp; Young</t>
        </is>
      </c>
      <c r="H24" s="43" t="n"/>
      <c r="I24" s="131" t="n">
        <v>561696000</v>
      </c>
      <c r="J24" s="148" t="n">
        <v>923988000</v>
      </c>
      <c r="K24" s="133" t="n">
        <v>24</v>
      </c>
      <c r="L24" t="n">
        <v>425520528</v>
      </c>
      <c r="M24" s="67" t="n">
        <v>46808000</v>
      </c>
      <c r="N24" t="n">
        <v>378712528</v>
      </c>
      <c r="O24" t="n">
        <v>378712528</v>
      </c>
      <c r="P24" t="n">
        <v>0</v>
      </c>
      <c r="Q24" t="n">
        <v>46808000</v>
      </c>
      <c r="R24" s="67" t="n">
        <v>42127200</v>
      </c>
      <c r="S24" s="67" t="n">
        <v>4680800</v>
      </c>
      <c r="T24" s="147" t="n">
        <v>24</v>
      </c>
      <c r="U24" s="147" t="n">
        <v>24</v>
      </c>
      <c r="V24" s="169" t="n">
        <v>0</v>
      </c>
      <c r="W24" s="169" t="n">
        <v>0</v>
      </c>
      <c r="X24" s="170" t="inlineStr">
        <is>
          <t>Fixed price</t>
        </is>
      </c>
      <c r="Y24" s="26" t="inlineStr">
        <is>
          <t>RMB</t>
        </is>
      </c>
      <c r="Z24" s="137" t="n">
        <v>2584835000</v>
      </c>
      <c r="AA24" s="137" t="n">
        <v>3075203000</v>
      </c>
      <c r="AB24" s="137" t="n">
        <v>3957571000</v>
      </c>
      <c r="AC24" s="137" t="n">
        <v>1905039000</v>
      </c>
      <c r="AD24" s="137" t="n">
        <v>2263624000</v>
      </c>
      <c r="AE24" s="137" t="n">
        <v>2577606000</v>
      </c>
      <c r="AF24" s="137" t="n">
        <v>679796000</v>
      </c>
      <c r="AG24" s="137" t="n">
        <v>811579000</v>
      </c>
      <c r="AH24" s="137" t="n">
        <v>1379965000</v>
      </c>
      <c r="AI24" s="137" t="n">
        <v>3101690000</v>
      </c>
      <c r="AJ24" s="137" t="n">
        <v>5149601000</v>
      </c>
      <c r="AK24" s="137" t="n">
        <v>5718195000</v>
      </c>
      <c r="AL24" s="137" t="n">
        <v>742994000</v>
      </c>
      <c r="AM24" s="137" t="n">
        <v>832431000</v>
      </c>
      <c r="AN24" s="137" t="n">
        <v>885198000</v>
      </c>
      <c r="AO24" s="137" t="n">
        <v>575241000</v>
      </c>
      <c r="AP24" s="137" t="n">
        <v>659694000</v>
      </c>
      <c r="AQ24" s="137" t="n">
        <v>706312000</v>
      </c>
      <c r="AR24" s="142" t="n">
        <v>0.03</v>
      </c>
      <c r="AS24" s="142" t="n">
        <v>0.03</v>
      </c>
      <c r="AT24" s="84" t="n">
        <v>0.15</v>
      </c>
      <c r="AU24" s="51" t="inlineStr">
        <is>
          <t>Jewelry company in China - design, procurement and sale of gold jewelry and diamond-set jewelry via offline stores and online channels</t>
        </is>
      </c>
      <c r="AV24" s="51" t="inlineStr">
        <is>
          <t>Main Board of the Stock Exchange (standard H-share listing)</t>
        </is>
      </c>
      <c r="AW24" s="136" t="n">
        <v>45657</v>
      </c>
      <c r="AX24" s="137" t="n">
        <v>390085000</v>
      </c>
      <c r="AY24" s="117" t="n">
        <v>176994000</v>
      </c>
      <c r="AZ24" s="117" t="n">
        <v>12553000</v>
      </c>
      <c r="BA24" s="117" t="n">
        <v>0</v>
      </c>
      <c r="BB24" s="138" t="n">
        <v>0.153</v>
      </c>
      <c r="BC24" s="139" t="n">
        <v>1</v>
      </c>
      <c r="BD24" s="80" t="n">
        <v>1</v>
      </c>
      <c r="BE24" s="161" t="n">
        <v>1</v>
      </c>
      <c r="BF24" s="161" t="n">
        <v>0</v>
      </c>
      <c r="BG24" s="161" t="n">
        <v>0</v>
      </c>
      <c r="BH24" s="161" t="n">
        <v>0</v>
      </c>
      <c r="BI24" s="161" t="n">
        <v>0</v>
      </c>
      <c r="BJ24" s="162" t="inlineStr">
        <is>
          <t>Mingyang Investment; Xianglong Chuangmei; Yongcheng No. 15; Di Ai Jewelry; Zhengfu Investment</t>
        </is>
      </c>
      <c r="BK24" s="163" t="n">
        <v>0.0325</v>
      </c>
      <c r="BL24" s="161" t="n">
        <v>0</v>
      </c>
      <c r="BM24" s="164" t="inlineStr">
        <is>
          <t>October 8, 2021</t>
        </is>
      </c>
      <c r="BN24" s="165" t="n">
        <v>3.7</v>
      </c>
      <c r="BO24" s="51" t="inlineStr">
        <is>
          <t>Natural persons (Mr. Li Weizhu and Mr. Li Weipeng, acting in concert) via Ruoshui United, Shangshan United, Qiankun United and Chuangming Investment</t>
        </is>
      </c>
      <c r="BP24" s="135" t="n">
        <v>0.8339</v>
      </c>
      <c r="BQ24" s="135" t="n">
        <v>0.8339</v>
      </c>
      <c r="BR24" s="137" t="n">
        <v>686795000</v>
      </c>
      <c r="BS24" s="51" t="inlineStr">
        <is>
          <t>NA</t>
        </is>
      </c>
      <c r="BT24" s="142" t="n">
        <v>0</v>
      </c>
      <c r="BU24" s="60" t="inlineStr">
        <is>
          <t>Main Board</t>
        </is>
      </c>
      <c r="BV24" s="89" t="inlineStr">
        <is>
          <t>Ordinary Shares (H Shares and Unlisted Shares are one class of Shares)</t>
        </is>
      </c>
      <c r="BW24" s="61" t="n">
        <v>0</v>
      </c>
      <c r="BX24" s="77" t="n">
        <v>0</v>
      </c>
      <c r="BY24" s="77" t="n">
        <v>0</v>
      </c>
      <c r="BZ24" s="78" t="n">
        <v>0</v>
      </c>
      <c r="CA24" s="60" t="inlineStr">
        <is>
          <t>237050</t>
        </is>
      </c>
      <c r="CB24" s="76" t="inlineStr">
        <is>
          <t>HSICS (Hang Seng Industry Classification System) 2026</t>
        </is>
      </c>
      <c r="CC24" s="140" t="n">
        <v>38105</v>
      </c>
      <c r="CD24" s="171" t="n">
        <v>21.16</v>
      </c>
      <c r="CE24" s="76" t="inlineStr">
        <is>
          <t>PRC</t>
        </is>
      </c>
      <c r="CF24" s="89" t="inlineStr">
        <is>
          <t>2301-2409, Zhongguan Business Building, No. 3031 Taibai Road, Dongxiao Street, Dongxiao Community, Luohu District, Shenzhen, Guangdong, PRC</t>
        </is>
      </c>
      <c r="CG24" s="91" t="n">
        <v>1000</v>
      </c>
      <c r="CH24" s="60" t="inlineStr">
        <is>
          <t>IFRS</t>
        </is>
      </c>
      <c r="CI24" s="141" t="n">
        <v>44562</v>
      </c>
      <c r="CJ24" s="141" t="n">
        <v>44926</v>
      </c>
      <c r="CK24" s="141" t="n">
        <v>44927</v>
      </c>
      <c r="CL24" s="141" t="n">
        <v>45291</v>
      </c>
      <c r="CM24" s="141" t="n">
        <v>45292</v>
      </c>
      <c r="CN24" s="64" t="n">
        <v>5718195000</v>
      </c>
      <c r="CO24" s="64" t="n">
        <v>885198000</v>
      </c>
      <c r="CP24" s="64" t="n">
        <v>706312000</v>
      </c>
      <c r="CQ24" s="141" t="n">
        <v>45826</v>
      </c>
      <c r="CR24" s="141" t="n">
        <v>45831</v>
      </c>
      <c r="CS24" s="63" t="n">
        <v>258593383</v>
      </c>
      <c r="CT24" s="64" t="n">
        <v>1478839000</v>
      </c>
      <c r="CU24" s="64" t="n">
        <v>91300000</v>
      </c>
      <c r="CV24" s="59" t="inlineStr">
        <is>
          <t>Unqualified (true and fair, no modification)</t>
        </is>
      </c>
      <c r="CW24" s="64" t="n">
        <v>99200000</v>
      </c>
      <c r="CX24" s="51" t="inlineStr">
        <is>
          <t>Shenzhen Luohu Investment Holding Co., Ltd. (Luohu Investment); Yongcheng No. 2 Hong Kong Limited; Jump Trading Pacific Pte. Ltd.; Pimlico Family Office Limited; Seraphim Advantage Inc.; CICC Financial Trading Limited (in connection with Dream’ee Yongxin OTC Swaps); Lingbao Gold International Company Limited (Lingbao Gold); GF Fund Management Co., Ltd. (GF Fund)</t>
        </is>
      </c>
      <c r="CY24" s="142" t="n">
        <v>0.4438</v>
      </c>
      <c r="CZ24" s="136" t="n">
        <v>46017</v>
      </c>
      <c r="DA24" s="143" t="n">
        <v>711.11</v>
      </c>
      <c r="DB24" s="63" t="n">
        <v>126409</v>
      </c>
      <c r="DC24" s="63" t="n">
        <v>3328553300</v>
      </c>
      <c r="DD24" s="59" t="inlineStr">
        <is>
          <t>Subscription level 711.11 times; the Hong Kong Public Offering has been oversubscribed 100 times or more, triggering reallocation</t>
        </is>
      </c>
      <c r="DE24" s="141" t="inlineStr">
        <is>
          <t>NA</t>
        </is>
      </c>
      <c r="DF24" s="141" t="n">
        <v>45834</v>
      </c>
      <c r="DG24" s="63" t="n">
        <v>53829200</v>
      </c>
      <c r="DH24" s="63" t="n">
        <v>23404000</v>
      </c>
      <c r="DI24" s="63" t="n">
        <v>30425200</v>
      </c>
      <c r="DJ24" s="63" t="n">
        <v>8074300</v>
      </c>
      <c r="DK24" s="169" t="n">
        <v>1</v>
      </c>
      <c r="DL24" s="59" t="inlineStr">
        <is>
          <t>Claw-back triggered: Yes. 18,723,200 Offer Shares were reallocated from the International Offer to the Public Offer (claw-back) because the Hong Kong Public Offering was oversubscribed 100 times or more, raising the Public Offer from the initial 4,680,800 Offer Shares (10%) to a final 23,404,000 Offer Shares (43.48% of the Global Offering)</t>
        </is>
      </c>
      <c r="DM24" s="144" t="n">
        <v>1192700000</v>
      </c>
      <c r="DN24" s="142" t="n">
        <v>0.167</v>
      </c>
      <c r="DO24" s="51" t="n">
        <v>432541728</v>
      </c>
      <c r="DP24" s="142" t="n">
        <v>0.0692</v>
      </c>
      <c r="DQ24" s="59" t="inlineStr">
        <is>
          <t>Total number of issued Shares upon Listing of 432,541,728 Shares (all classes), taking into account the full exercise of the Offer Size Adjustment Option and before any exercise of the Over-allotment Option; H Shares counting towards the public float are measured against this base</t>
        </is>
      </c>
      <c r="DR24" s="63" t="n">
        <v>432541728</v>
      </c>
      <c r="DS24" s="142" t="n">
        <v>0.0126183</v>
      </c>
      <c r="DT24" s="80" t="n">
        <v>19</v>
      </c>
      <c r="DU24" s="142" t="n">
        <v>0.0052452</v>
      </c>
      <c r="DV24" s="144" t="n">
        <v>173483000000</v>
      </c>
      <c r="DW24" s="145" t="n">
        <v>28.99</v>
      </c>
      <c r="DX24" s="169" t="n">
        <v>0.207917</v>
      </c>
      <c r="DY24" s="172" t="n">
        <v>268607708</v>
      </c>
      <c r="DZ24" s="146" t="n">
        <v>25.69</v>
      </c>
      <c r="EA24" s="146" t="n">
        <v>28.99</v>
      </c>
      <c r="EB24" s="146" t="n">
        <v>25.69</v>
      </c>
      <c r="EC24" s="63" t="n">
        <v>35215592</v>
      </c>
      <c r="ED24" s="169" t="n">
        <v>0.65421</v>
      </c>
      <c r="EE24" s="64" t="n">
        <v>957118570</v>
      </c>
      <c r="EF24" s="60" t="inlineStr">
        <is>
          <t>PN18 statutory clawback</t>
        </is>
      </c>
      <c r="EG24" s="59" t="inlineStr">
        <is>
          <t>FINI (from 22/11/2023)</t>
        </is>
      </c>
      <c r="EH24" t="inlineStr">
        <is>
          <t>周六福珠宝股份有限公司</t>
        </is>
      </c>
      <c r="EI24" s="174" t="inlineStr">
        <is>
          <t>Active</t>
        </is>
      </c>
      <c r="EJ24" s="175" t="n">
        <v>37.43</v>
      </c>
      <c r="EK24" s="176" t="n">
        <v>0.291135</v>
      </c>
      <c r="EL24" s="176" t="n">
        <v>0.5595830000000001</v>
      </c>
      <c r="EM24" s="176" t="n">
        <v>0.05516</v>
      </c>
      <c r="EN24" s="176" t="n">
        <v>0.07443</v>
      </c>
      <c r="EO24" s="179" t="n">
        <v>1.2236</v>
      </c>
      <c r="EP24" s="179" t="n">
        <v>1.2017</v>
      </c>
      <c r="EQ24" s="178" t="n">
        <v>270597730.5</v>
      </c>
      <c r="ER24" s="175" t="n">
        <v>24.41</v>
      </c>
      <c r="ES24" s="176" t="n">
        <v>-0.157986</v>
      </c>
      <c r="ET24" s="176" t="n">
        <v>0.017083</v>
      </c>
      <c r="EU24" s="176" t="n">
        <v>0.053846</v>
      </c>
      <c r="EV24" s="176" t="n">
        <v>0.02579</v>
      </c>
      <c r="EW24" s="179" t="n">
        <v>0.799</v>
      </c>
      <c r="EX24" s="179" t="n">
        <v>0.8208</v>
      </c>
      <c r="EY24" s="178" t="n">
        <v>160456393</v>
      </c>
      <c r="EZ24" s="176" t="n">
        <v>0.167645</v>
      </c>
      <c r="FA24" s="176" t="n"/>
      <c r="FB24" s="179" t="n"/>
      <c r="FC24" s="176" t="n"/>
      <c r="FD24" s="179" t="n"/>
      <c r="FE24" s="174" t="inlineStr">
        <is>
          <t>Standard</t>
        </is>
      </c>
      <c r="FF24" s="181" t="inlineStr">
        <is>
          <t>China International Capital Corporation / Sponsor-OC</t>
        </is>
      </c>
      <c r="FG24" s="185" t="inlineStr">
        <is>
          <t>2025-07-26</t>
        </is>
      </c>
      <c r="FH24" s="183" t="n">
        <v>0</v>
      </c>
      <c r="FI24" s="178" t="n">
        <v>0</v>
      </c>
      <c r="FJ24" s="176" t="n">
        <v>0.15</v>
      </c>
      <c r="FK24" s="185" t="inlineStr">
        <is>
          <t>2025-07-26</t>
        </is>
      </c>
      <c r="FL24" s="178" t="n">
        <v>0</v>
      </c>
      <c r="FM24" s="176" t="n">
        <v>0</v>
      </c>
      <c r="FN24" s="176" t="n">
        <v>-0.048127</v>
      </c>
      <c r="FO24" s="176" t="n">
        <v>0.193164</v>
      </c>
      <c r="FP24" s="176" t="n">
        <v>0.267902</v>
      </c>
      <c r="FQ24" s="176" t="n">
        <v>0.344947</v>
      </c>
      <c r="FR24" s="179" t="n">
        <v>1.3592</v>
      </c>
      <c r="FS24" s="176" t="n">
        <v>0.308727</v>
      </c>
      <c r="FT24" s="179" t="n">
        <v>1.2403</v>
      </c>
      <c r="FU24" s="176" t="n">
        <v>0.543291</v>
      </c>
      <c r="FV24" s="179" t="n">
        <v>1.4351</v>
      </c>
      <c r="FW24" s="179" t="n">
        <v>1.3376</v>
      </c>
      <c r="FX24" s="178" t="n">
        <v>152904366.83</v>
      </c>
      <c r="FY24" s="186" t="n">
        <v>0.0003212936507936508</v>
      </c>
      <c r="FZ24" s="183" t="n">
        <v>0</v>
      </c>
      <c r="GA24" s="176" t="n">
        <v>0.0611070214495005</v>
      </c>
      <c r="GB24" s="176" t="n">
        <v>0.5228159999999999</v>
      </c>
      <c r="GC24" s="185" t="inlineStr">
        <is>
          <t>2025-12-26</t>
        </is>
      </c>
      <c r="GD24" s="185" t="inlineStr">
        <is>
          <t>2026-06-26</t>
        </is>
      </c>
      <c r="GE24" s="176" t="n">
        <v>-0.36676</v>
      </c>
      <c r="GF24" s="176" t="n">
        <v>-0.509319</v>
      </c>
      <c r="GG24" s="179" t="n">
        <v>0.3568</v>
      </c>
      <c r="GH24" s="181" t="inlineStr">
        <is>
          <t>China International Capital Corporation / Sponsor-OC</t>
        </is>
      </c>
      <c r="GI24" s="183" t="n">
        <v>0</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PRE_2025_REFORM</t>
        </is>
      </c>
    </row>
    <row r="25" ht="51" customFormat="1" customHeight="1" s="11">
      <c r="A25" s="43" t="n">
        <v>39</v>
      </c>
      <c r="B25" s="47" t="inlineStr">
        <is>
          <t>6883.HK</t>
        </is>
      </c>
      <c r="C25" s="44" t="inlineStr">
        <is>
          <t>Eternal Beauty Holdings Limited</t>
        </is>
      </c>
      <c r="D25" s="130" t="n">
        <v>45826</v>
      </c>
      <c r="E25" s="48" t="n">
        <v>45834</v>
      </c>
      <c r="F25" s="43" t="inlineStr">
        <is>
          <t>BNP Paribas Securities (Asia) Limited/
CITIC Securities (Hong Kong) Limited</t>
        </is>
      </c>
      <c r="G25" s="43" t="inlineStr">
        <is>
          <t>PricewaterhouseCoopers</t>
        </is>
      </c>
      <c r="H25" s="43" t="n"/>
      <c r="I25" s="131" t="n">
        <v>288057600</v>
      </c>
      <c r="J25" s="148" t="n">
        <v>672134400</v>
      </c>
      <c r="K25" s="133" t="n">
        <v>2.88</v>
      </c>
      <c r="L25" t="n">
        <v>1333400000</v>
      </c>
      <c r="M25" s="67" t="n">
        <v>333400000</v>
      </c>
      <c r="N25" t="n">
        <v>1000000000</v>
      </c>
      <c r="O25" t="n">
        <v>1000000000</v>
      </c>
      <c r="P25" t="n">
        <v>0</v>
      </c>
      <c r="Q25" t="n">
        <v>333400000</v>
      </c>
      <c r="R25" s="67" t="n">
        <v>300060000</v>
      </c>
      <c r="S25" s="67" t="n">
        <v>33340000</v>
      </c>
      <c r="T25" s="147" t="n">
        <v>3.38</v>
      </c>
      <c r="U25" s="147" t="n">
        <v>2.8</v>
      </c>
      <c r="V25" s="169" t="n">
        <v>-0.06796099999999999</v>
      </c>
      <c r="W25" s="169" t="n">
        <v>0.187702</v>
      </c>
      <c r="X25" s="170" t="inlineStr">
        <is>
          <t>Within range</t>
        </is>
      </c>
      <c r="Y25" s="26" t="inlineStr">
        <is>
          <t>RMB</t>
        </is>
      </c>
      <c r="Z25" s="137" t="n">
        <v>1094599000</v>
      </c>
      <c r="AA25" s="137" t="n">
        <v>1033396000</v>
      </c>
      <c r="AB25" s="137" t="n">
        <v>1211111000</v>
      </c>
      <c r="AC25" s="137" t="n">
        <v>535398000</v>
      </c>
      <c r="AD25" s="137" t="n">
        <v>458545000</v>
      </c>
      <c r="AE25" s="137" t="n">
        <v>690990000</v>
      </c>
      <c r="AF25" s="137" t="n">
        <v>559201000</v>
      </c>
      <c r="AG25" s="137" t="n">
        <v>574851000</v>
      </c>
      <c r="AH25" s="137" t="n">
        <v>520121000</v>
      </c>
      <c r="AI25" s="137" t="n">
        <v>1699144000</v>
      </c>
      <c r="AJ25" s="137" t="n">
        <v>1863761000</v>
      </c>
      <c r="AK25" s="137" t="n">
        <v>2083363000</v>
      </c>
      <c r="AL25" s="137" t="n">
        <v>226935000</v>
      </c>
      <c r="AM25" s="137" t="n">
        <v>232617000</v>
      </c>
      <c r="AN25" s="137" t="n">
        <v>260696000</v>
      </c>
      <c r="AO25" s="137" t="n">
        <v>173106000</v>
      </c>
      <c r="AP25" s="137" t="n">
        <v>206473000</v>
      </c>
      <c r="AQ25" s="137" t="n">
        <v>227029000</v>
      </c>
      <c r="AR25" s="142" t="n">
        <v>0.025</v>
      </c>
      <c r="AS25" s="142" t="n">
        <v>0.025</v>
      </c>
      <c r="AT25" s="84" t="n">
        <v>0.15</v>
      </c>
      <c r="AU25" s="51" t="inlineStr">
        <is>
          <t>Distribution and market deployment of perfumes, skincare, color cosmetics, personal care products, eyewear and home fragrances in China (including Hong Kong and Macau)</t>
        </is>
      </c>
      <c r="AV25" s="51" t="inlineStr">
        <is>
          <t>Main Board</t>
        </is>
      </c>
      <c r="AW25" s="136" t="n">
        <v>45747</v>
      </c>
      <c r="AX25" s="137" t="n">
        <v>236703000</v>
      </c>
      <c r="AY25" s="117" t="n">
        <v>255998000</v>
      </c>
      <c r="AZ25" s="117" t="inlineStr">
        <is>
          <t>NaN</t>
        </is>
      </c>
      <c r="BA25" s="117" t="n">
        <v>0</v>
      </c>
      <c r="BB25" s="138" t="n">
        <v>0.249</v>
      </c>
      <c r="BC25" s="139" t="n">
        <v>1</v>
      </c>
      <c r="BD25" s="80" t="n">
        <v>0</v>
      </c>
      <c r="BE25" s="161" t="n">
        <v>0</v>
      </c>
      <c r="BF25" s="161" t="n">
        <v>0</v>
      </c>
      <c r="BG25" s="161" t="n">
        <v>0</v>
      </c>
      <c r="BH25" s="161" t="n">
        <v>0</v>
      </c>
      <c r="BI25" s="161" t="n">
        <v>0</v>
      </c>
      <c r="BJ25" s="162" t="inlineStr">
        <is>
          <t>NA</t>
        </is>
      </c>
      <c r="BK25" s="163" t="n">
        <v>0</v>
      </c>
      <c r="BL25" s="161" t="n">
        <v>0</v>
      </c>
      <c r="BM25" s="164" t="inlineStr">
        <is>
          <t>NA</t>
        </is>
      </c>
      <c r="BN25" s="165" t="inlineStr">
        <is>
          <t>NaN</t>
        </is>
      </c>
      <c r="BO25" s="51" t="inlineStr">
        <is>
          <t>Individual</t>
        </is>
      </c>
      <c r="BP25" s="135" t="n">
        <v>0.75</v>
      </c>
      <c r="BQ25" s="135" t="n">
        <v>0.75</v>
      </c>
      <c r="BR25" s="137" t="n">
        <v>112106000</v>
      </c>
      <c r="BS25" s="51" t="inlineStr">
        <is>
          <t>NA</t>
        </is>
      </c>
      <c r="BT25" s="142" t="n">
        <v>0</v>
      </c>
      <c r="BU25" s="60" t="inlineStr">
        <is>
          <t>Main Board</t>
        </is>
      </c>
      <c r="BV25" s="89" t="inlineStr">
        <is>
          <t>Ordinary shares</t>
        </is>
      </c>
      <c r="BW25" s="61" t="n">
        <v>0</v>
      </c>
      <c r="BX25" s="77" t="n">
        <v>0</v>
      </c>
      <c r="BY25" s="77" t="n">
        <v>0</v>
      </c>
      <c r="BZ25" s="78" t="n">
        <v>0</v>
      </c>
      <c r="CA25" s="60" t="inlineStr">
        <is>
          <t>282040</t>
        </is>
      </c>
      <c r="CB25" s="76" t="inlineStr">
        <is>
          <t>HSICS (Hang Seng Industry Classification System) 2026</t>
        </is>
      </c>
      <c r="CC25" s="140" t="n">
        <v>45300</v>
      </c>
      <c r="CD25" s="171" t="n">
        <v>1.46</v>
      </c>
      <c r="CE25" s="76" t="inlineStr">
        <is>
          <t>Cayman Islands</t>
        </is>
      </c>
      <c r="CF25" s="89" t="inlineStr">
        <is>
          <t>22/F, Enterprise Square Two, No. 3 Sheung Yuet Road, Kowloon, Hong Kong</t>
        </is>
      </c>
      <c r="CG25" s="91" t="n">
        <v>1000</v>
      </c>
      <c r="CH25" s="60" t="inlineStr">
        <is>
          <t>HKFRS</t>
        </is>
      </c>
      <c r="CI25" s="141" t="n">
        <v>44652</v>
      </c>
      <c r="CJ25" s="141" t="n">
        <v>45016</v>
      </c>
      <c r="CK25" s="141" t="n">
        <v>45017</v>
      </c>
      <c r="CL25" s="141" t="n">
        <v>45382</v>
      </c>
      <c r="CM25" s="141" t="n">
        <v>45383</v>
      </c>
      <c r="CN25" s="64" t="n">
        <v>2083363000</v>
      </c>
      <c r="CO25" s="64" t="n">
        <v>260696000</v>
      </c>
      <c r="CP25" s="64" t="n">
        <v>227029000</v>
      </c>
      <c r="CQ25" s="141" t="n">
        <v>45826</v>
      </c>
      <c r="CR25" s="141" t="n">
        <v>45831</v>
      </c>
      <c r="CS25" s="63" t="n">
        <v>1333400000</v>
      </c>
      <c r="CT25" s="64" t="n">
        <v>1048117000</v>
      </c>
      <c r="CU25" s="64" t="n">
        <v>33600000</v>
      </c>
      <c r="CV25" s="59" t="inlineStr">
        <is>
          <t>Unqualified</t>
        </is>
      </c>
      <c r="CW25" s="64" t="n">
        <v>79800000</v>
      </c>
      <c r="CX25" s="51" t="inlineStr">
        <is>
          <t>NA</t>
        </is>
      </c>
      <c r="CY25" s="142" t="n">
        <v>0</v>
      </c>
      <c r="CZ25" s="136" t="inlineStr">
        <is>
          <t>NA</t>
        </is>
      </c>
      <c r="DA25" s="143" t="n">
        <v>35.84</v>
      </c>
      <c r="DB25" s="63" t="n">
        <v>31796</v>
      </c>
      <c r="DC25" s="63" t="n">
        <v>1194924000</v>
      </c>
      <c r="DD25" s="59" t="inlineStr">
        <is>
          <t>Subscription level 35.84 times</t>
        </is>
      </c>
      <c r="DE25" s="141" t="n">
        <v>45832</v>
      </c>
      <c r="DF25" s="141" t="n">
        <v>45834</v>
      </c>
      <c r="DG25" s="63" t="n">
        <v>333400000</v>
      </c>
      <c r="DH25" s="63" t="n">
        <v>100020000</v>
      </c>
      <c r="DI25" s="63" t="n">
        <v>233380000</v>
      </c>
      <c r="DJ25" s="63" t="n">
        <v>0</v>
      </c>
      <c r="DK25" s="169" t="n">
        <v>0</v>
      </c>
      <c r="DL25" s="59" t="inlineStr">
        <is>
          <t>66,680,000 Shares reallocated from the International Offer to the Hong Kong Public Offering (claw-back); final Hong Kong Public Offering 100,020,000 Shares, 30.00% of the Global Offering</t>
        </is>
      </c>
      <c r="DM25" s="144" t="n">
        <v>882520000</v>
      </c>
      <c r="DN25" s="142" t="n">
        <v>0.25</v>
      </c>
      <c r="DO25" s="51" t="n">
        <v>1333400000</v>
      </c>
      <c r="DP25" s="142" t="n">
        <v>0.25</v>
      </c>
      <c r="DQ25" s="59" t="inlineStr">
        <is>
          <t>Number of issued Shares upon Listing (assuming the Over-allotment Option is not exercised and excluding any Shares issued on exercise of Pre-IPO Share Option Scheme / Share Option Scheme options) = 1,333,400,000 Shares</t>
        </is>
      </c>
      <c r="DR25" s="63" t="n">
        <v>1333400000</v>
      </c>
      <c r="DS25" s="142" t="n">
        <v>0.0126183</v>
      </c>
      <c r="DT25" s="80" t="n">
        <v>19</v>
      </c>
      <c r="DU25" s="142" t="n">
        <v>0.0052452</v>
      </c>
      <c r="DV25" s="144" t="n">
        <v>173483000000</v>
      </c>
      <c r="DW25" s="145" t="n">
        <v>2.26</v>
      </c>
      <c r="DX25" s="169" t="n">
        <v>-0.215278</v>
      </c>
      <c r="DY25" s="172" t="n">
        <v>-206708000</v>
      </c>
      <c r="DZ25" s="146" t="n">
        <v>2.44</v>
      </c>
      <c r="EA25" s="146" t="n">
        <v>2.65</v>
      </c>
      <c r="EB25" s="146" t="n">
        <v>2.11</v>
      </c>
      <c r="EC25" s="63" t="n">
        <v>173642999</v>
      </c>
      <c r="ED25" s="169" t="n">
        <v>0.520825</v>
      </c>
      <c r="EE25" s="64" t="n">
        <v>441119970</v>
      </c>
      <c r="EF25" s="60" t="inlineStr">
        <is>
          <t>PN18 statutory clawback</t>
        </is>
      </c>
      <c r="EG25" s="59" t="inlineStr">
        <is>
          <t>FINI (from 22/11/2023)</t>
        </is>
      </c>
      <c r="EH25" t="inlineStr">
        <is>
          <t>颖通控股有限公司</t>
        </is>
      </c>
      <c r="EI25" s="174" t="inlineStr">
        <is>
          <t>No recent trading (verify status)</t>
        </is>
      </c>
      <c r="EJ25" s="175" t="n">
        <v>1.96</v>
      </c>
      <c r="EK25" s="176" t="n">
        <v>-0.132743</v>
      </c>
      <c r="EL25" s="176" t="n">
        <v>-0.319444</v>
      </c>
      <c r="EM25" s="176" t="n">
        <v>0.05516</v>
      </c>
      <c r="EN25" s="176" t="n">
        <v>0.07443</v>
      </c>
      <c r="EO25" s="179" t="n">
        <v>0.8219</v>
      </c>
      <c r="EP25" s="179" t="n">
        <v>0.8072</v>
      </c>
      <c r="EQ25" s="178" t="n">
        <v>37364707.5</v>
      </c>
      <c r="ER25" s="175" t="n">
        <v>2.04</v>
      </c>
      <c r="ES25" s="176" t="n">
        <v>-0.097345</v>
      </c>
      <c r="ET25" s="176" t="n">
        <v>-0.291667</v>
      </c>
      <c r="EU25" s="176" t="n">
        <v>0.053846</v>
      </c>
      <c r="EV25" s="176" t="n">
        <v>0.02579</v>
      </c>
      <c r="EW25" s="179" t="n">
        <v>0.8565</v>
      </c>
      <c r="EX25" s="179" t="n">
        <v>0.88</v>
      </c>
      <c r="EY25" s="178" t="n">
        <v>6442854.5</v>
      </c>
      <c r="EZ25" s="176" t="n">
        <v>0.014606</v>
      </c>
      <c r="FA25" s="176" t="n"/>
      <c r="FB25" s="179" t="n"/>
      <c r="FC25" s="176" t="n"/>
      <c r="FD25" s="179" t="n"/>
      <c r="FE25" s="174" t="inlineStr">
        <is>
          <t>Standard</t>
        </is>
      </c>
      <c r="FF25" s="181" t="inlineStr">
        <is>
          <t>China International Capital Corporation / Sponsor-OC</t>
        </is>
      </c>
      <c r="FG25" s="185" t="inlineStr">
        <is>
          <t>2025-07-26</t>
        </is>
      </c>
      <c r="FH25" s="183" t="n">
        <v>0</v>
      </c>
      <c r="FI25" s="178" t="n">
        <v>0</v>
      </c>
      <c r="FJ25" s="176" t="n">
        <v>0.15</v>
      </c>
      <c r="FK25" s="185" t="inlineStr">
        <is>
          <t>2025-07-26</t>
        </is>
      </c>
      <c r="FL25" s="178" t="n">
        <v>0</v>
      </c>
      <c r="FM25" s="176" t="n">
        <v>0</v>
      </c>
      <c r="FN25" s="176" t="n">
        <v>-0.015464</v>
      </c>
      <c r="FO25" s="176" t="n">
        <v>0.041667</v>
      </c>
      <c r="FP25" s="176" t="n">
        <v>0.287915</v>
      </c>
      <c r="FQ25" s="176" t="n">
        <v>-0.066372</v>
      </c>
      <c r="FR25" s="179" t="n">
        <v>0.9435</v>
      </c>
      <c r="FS25" s="176" t="n">
        <v>-0.132743</v>
      </c>
      <c r="FT25" s="179" t="n">
        <v>0.8219</v>
      </c>
      <c r="FU25" s="176" t="n">
        <v>-0.168142</v>
      </c>
      <c r="FV25" s="179" t="n">
        <v>0.7735</v>
      </c>
      <c r="FW25" s="179" t="n">
        <v>0.721</v>
      </c>
      <c r="FX25" s="178" t="n">
        <v>17073300.16</v>
      </c>
      <c r="FY25" s="186" t="n">
        <v>0.002980285714285714</v>
      </c>
      <c r="FZ25" s="183" t="n">
        <v>0</v>
      </c>
      <c r="GA25" s="176" t="n">
        <v>0.03183628713372949</v>
      </c>
      <c r="GB25" s="176" t="n">
        <v>0.313208</v>
      </c>
      <c r="GC25" s="185" t="inlineStr">
        <is>
          <t>2025-12-26</t>
        </is>
      </c>
      <c r="GD25" s="185" t="inlineStr">
        <is>
          <t>2026-06-26</t>
        </is>
      </c>
      <c r="GE25" s="176" t="n"/>
      <c r="GF25" s="176" t="n"/>
      <c r="GG25" s="179" t="n"/>
      <c r="GH25" s="181" t="inlineStr">
        <is>
          <t>China International Capital Corporation / Sponsor-OC</t>
        </is>
      </c>
      <c r="GI25" s="183" t="n">
        <v>0</v>
      </c>
      <c r="GJ25" s="183" t="n">
        <v>0</v>
      </c>
      <c r="GK25" s="176" t="n">
        <v>0.025</v>
      </c>
      <c r="GL25" s="176" t="n">
        <v>0.01</v>
      </c>
      <c r="GM25" s="176" t="n">
        <v>0.035</v>
      </c>
      <c r="GN25" s="183" t="n">
        <v>4</v>
      </c>
      <c r="GO25" s="183" t="n">
        <v>0</v>
      </c>
      <c r="GP25" s="183" t="n">
        <v>0</v>
      </c>
      <c r="GQ25" s="183" t="n">
        <v>6</v>
      </c>
      <c r="GR25" s="183" t="n">
        <v>0</v>
      </c>
      <c r="GS25" s="181" t="inlineStr">
        <is>
          <t>POST_FINI</t>
        </is>
      </c>
      <c r="GT25" s="181" t="inlineStr">
        <is>
          <t>PRE_2025_REFORM</t>
        </is>
      </c>
    </row>
    <row r="26" ht="34" customFormat="1" customHeight="1" s="11">
      <c r="A26" s="43" t="n">
        <v>43</v>
      </c>
      <c r="B26" s="47" t="inlineStr">
        <is>
          <t>3880.HK</t>
        </is>
      </c>
      <c r="C26" s="44" t="inlineStr">
        <is>
          <t>Medtide Inc. - H shares</t>
        </is>
      </c>
      <c r="D26" s="130" t="n">
        <v>45828</v>
      </c>
      <c r="E26" s="48" t="n">
        <v>45838</v>
      </c>
      <c r="F26" s="43" t="inlineStr">
        <is>
          <t>Morgan Stanley Asia Limited/
CITIC Securities (Hong Kong) Limited</t>
        </is>
      </c>
      <c r="G26" s="43" t="inlineStr">
        <is>
          <t>Ernst &amp; Young</t>
        </is>
      </c>
      <c r="H26" s="43" t="n"/>
      <c r="I26" s="131" t="n">
        <v>257040000</v>
      </c>
      <c r="J26" s="148" t="n">
        <v>257040000</v>
      </c>
      <c r="K26" s="133" t="n">
        <v>30.6</v>
      </c>
      <c r="L26" t="n">
        <v>141800000</v>
      </c>
      <c r="M26" s="67" t="n">
        <v>16800000</v>
      </c>
      <c r="N26" t="n">
        <v>125000000</v>
      </c>
      <c r="O26" t="n">
        <v>125000000</v>
      </c>
      <c r="P26" t="n">
        <v>0</v>
      </c>
      <c r="Q26" t="n">
        <v>16800000</v>
      </c>
      <c r="R26" s="67" t="n">
        <v>15120000</v>
      </c>
      <c r="S26" s="67" t="n">
        <v>1680000</v>
      </c>
      <c r="T26" s="147" t="n">
        <v>30.6</v>
      </c>
      <c r="U26" s="147" t="n">
        <v>28.4</v>
      </c>
      <c r="V26" s="169" t="n">
        <v>0.037288</v>
      </c>
      <c r="W26" s="169" t="n">
        <v>0.074576</v>
      </c>
      <c r="X26" s="170" t="inlineStr">
        <is>
          <t>At high</t>
        </is>
      </c>
      <c r="Y26" s="26" t="inlineStr">
        <is>
          <t>RMB</t>
        </is>
      </c>
      <c r="Z26" s="137" t="n">
        <v>1239152000</v>
      </c>
      <c r="AA26" s="137" t="n">
        <v>1308746000</v>
      </c>
      <c r="AB26" s="137" t="n">
        <v>1172628000</v>
      </c>
      <c r="AC26" s="137" t="n">
        <v>202467000</v>
      </c>
      <c r="AD26" s="137" t="n">
        <v>253884000</v>
      </c>
      <c r="AE26" s="137" t="n">
        <v>318750000</v>
      </c>
      <c r="AF26" s="137" t="n">
        <v>1036685000</v>
      </c>
      <c r="AG26" s="137" t="n">
        <v>1054862000</v>
      </c>
      <c r="AH26" s="137" t="n">
        <v>853878000</v>
      </c>
      <c r="AI26" s="137" t="n">
        <v>350840000</v>
      </c>
      <c r="AJ26" s="137" t="n">
        <v>336774000</v>
      </c>
      <c r="AK26" s="137" t="n">
        <v>442226000</v>
      </c>
      <c r="AL26" s="137" t="n">
        <v>67556000</v>
      </c>
      <c r="AM26" s="137" t="n">
        <v>61978000</v>
      </c>
      <c r="AN26" s="137" t="n">
        <v>78449000</v>
      </c>
      <c r="AO26" s="137" t="n">
        <v>53980000</v>
      </c>
      <c r="AP26" s="137" t="n">
        <v>48905000</v>
      </c>
      <c r="AQ26" s="137" t="n">
        <v>59173000</v>
      </c>
      <c r="AR26" s="142" t="n">
        <v>0.035</v>
      </c>
      <c r="AS26" s="142" t="n">
        <v>0.035</v>
      </c>
      <c r="AT26" s="84" t="n">
        <v>0</v>
      </c>
      <c r="AU26" s="51" t="inlineStr">
        <is>
          <t>Peptide-focused CRDMO (CRO and CDMO services for peptide APIs)</t>
        </is>
      </c>
      <c r="AV26" s="51" t="inlineStr">
        <is>
          <t>Main Board</t>
        </is>
      </c>
      <c r="AW26" s="136" t="n">
        <v>45657</v>
      </c>
      <c r="AX26" s="137" t="n">
        <v>120507000</v>
      </c>
      <c r="AY26" s="117" t="n">
        <v>387183000</v>
      </c>
      <c r="AZ26" s="117" t="n">
        <v>28748000</v>
      </c>
      <c r="BA26" s="117" t="n">
        <v>0</v>
      </c>
      <c r="BB26" s="138" t="n">
        <v>0.503</v>
      </c>
      <c r="BC26" s="139" t="n">
        <v>1</v>
      </c>
      <c r="BD26" s="80" t="n">
        <v>1</v>
      </c>
      <c r="BE26" s="161" t="n">
        <v>1</v>
      </c>
      <c r="BF26" s="161" t="n">
        <v>1</v>
      </c>
      <c r="BG26" s="161" t="inlineStr">
        <is>
          <t>NaN</t>
        </is>
      </c>
      <c r="BH26" s="161" t="inlineStr">
        <is>
          <t>NaN</t>
        </is>
      </c>
      <c r="BI26" s="161" t="inlineStr">
        <is>
          <t>NaN</t>
        </is>
      </c>
      <c r="BJ26" s="162" t="inlineStr">
        <is>
          <t>Puhua Xiaxing; Haibang Taida; Haibang Boyuan; Hangzhou Heda Xinyiyao; Shenzhen Minhe Investment; Nanjing Outao; Hainan Jingsheng Yiqi</t>
        </is>
      </c>
      <c r="BK26" s="163" t="n">
        <v>0.2079</v>
      </c>
      <c r="BL26" s="161" t="n">
        <v>1</v>
      </c>
      <c r="BM26" s="164" t="inlineStr">
        <is>
          <t>2020 Convertible Bonds (December 2020)</t>
        </is>
      </c>
      <c r="BN26" s="165" t="n">
        <v>4.5</v>
      </c>
      <c r="BO26" s="51" t="inlineStr">
        <is>
          <t>自然人（徐琪博士与李湘莉女士一致行动）</t>
        </is>
      </c>
      <c r="BP26" s="135" t="n">
        <v>0.6737</v>
      </c>
      <c r="BQ26" s="135" t="n">
        <v>0.6737</v>
      </c>
      <c r="BR26" s="137" t="n">
        <v>41143000</v>
      </c>
      <c r="BS26" s="51" t="inlineStr">
        <is>
          <t>Commercial stage (commercial-stage production)</t>
        </is>
      </c>
      <c r="BT26" s="142" t="n">
        <v>0</v>
      </c>
      <c r="BU26" s="60" t="inlineStr">
        <is>
          <t>Main Board</t>
        </is>
      </c>
      <c r="BV26" s="89" t="inlineStr">
        <is>
          <t>H Shares</t>
        </is>
      </c>
      <c r="BW26" s="61" t="n">
        <v>0</v>
      </c>
      <c r="BX26" s="77" t="n">
        <v>0</v>
      </c>
      <c r="BY26" s="77" t="n">
        <v>0</v>
      </c>
      <c r="BZ26" s="78" t="n">
        <v>0</v>
      </c>
      <c r="CA26" s="60" t="inlineStr">
        <is>
          <t>281050</t>
        </is>
      </c>
      <c r="CB26" s="76" t="inlineStr">
        <is>
          <t>HSICS (Hang Seng Industry Classification System) 2026</t>
        </is>
      </c>
      <c r="CC26" s="140" t="n">
        <v>43993</v>
      </c>
      <c r="CD26" s="171" t="n">
        <v>5.05</v>
      </c>
      <c r="CE26" s="76" t="inlineStr">
        <is>
          <t>PRC</t>
        </is>
      </c>
      <c r="CF26" s="89" t="inlineStr">
        <is>
          <t>Room 501-11, Building 6, Yinhai Kechuang Center, Xiasha Street, Qiantang District, Hangzhou City, Zhejiang Province, PRC</t>
        </is>
      </c>
      <c r="CG26" s="91" t="n">
        <v>1000</v>
      </c>
      <c r="CH26" s="60" t="inlineStr">
        <is>
          <t>IFRS</t>
        </is>
      </c>
      <c r="CI26" s="141" t="n">
        <v>44562</v>
      </c>
      <c r="CJ26" s="141" t="n">
        <v>44926</v>
      </c>
      <c r="CK26" s="141" t="n">
        <v>44927</v>
      </c>
      <c r="CL26" s="141" t="n">
        <v>45291</v>
      </c>
      <c r="CM26" s="141" t="n">
        <v>45292</v>
      </c>
      <c r="CN26" s="64" t="n">
        <v>442226000</v>
      </c>
      <c r="CO26" s="64" t="n">
        <v>78449000</v>
      </c>
      <c r="CP26" s="64" t="n">
        <v>59173000</v>
      </c>
      <c r="CQ26" s="141" t="n">
        <v>45828</v>
      </c>
      <c r="CR26" s="141" t="n">
        <v>45833</v>
      </c>
      <c r="CS26" s="63" t="n">
        <v>73598888</v>
      </c>
      <c r="CT26" s="64" t="n">
        <v>249774000</v>
      </c>
      <c r="CU26" s="64" t="n">
        <v>21022000</v>
      </c>
      <c r="CV26" s="59" t="inlineStr">
        <is>
          <t>Unqualified opinion (true and fair)</t>
        </is>
      </c>
      <c r="CW26" s="64" t="n">
        <v>84381000</v>
      </c>
      <c r="CX26" s="51" t="inlineStr">
        <is>
          <t>CSPC (Dragon Merit Holdings Limited); Welight Capital L.P.</t>
        </is>
      </c>
      <c r="CY26" s="142" t="n">
        <v>0.1527</v>
      </c>
      <c r="CZ26" s="136" t="n">
        <v>46021</v>
      </c>
      <c r="DA26" s="143" t="n">
        <v>301.15</v>
      </c>
      <c r="DB26" s="63" t="n">
        <v>70338</v>
      </c>
      <c r="DC26" s="63" t="n">
        <v>505934900</v>
      </c>
      <c r="DD26" s="59" t="inlineStr">
        <is>
          <t>Subscription level 301.15 times; the Hong Kong Public Offering has been over-subscribed by more than 100 times of the Offer Shares initially available under the Hong Kong Public Offering</t>
        </is>
      </c>
      <c r="DE26" s="141" t="n">
        <v>45834</v>
      </c>
      <c r="DF26" s="141" t="n">
        <v>45835</v>
      </c>
      <c r="DG26" s="63" t="n">
        <v>16800000</v>
      </c>
      <c r="DH26" s="63" t="n">
        <v>8400000</v>
      </c>
      <c r="DI26" s="63" t="n">
        <v>8400000</v>
      </c>
      <c r="DJ26" s="63" t="n">
        <v>0</v>
      </c>
      <c r="DK26" s="169" t="n">
        <v>0</v>
      </c>
      <c r="DL26" s="59" t="inlineStr">
        <is>
          <t>Claw-back triggered: Yes. 6,720,000 Offer Shares were reallocated from the International Offering to the Hong Kong Public Offering, raising the Hong Kong Public Offering from the initial 1,680,000 Offer Shares (10%) to a final 8,400,000 Offer Shares (50% of the Global Offering)</t>
        </is>
      </c>
      <c r="DM26" s="144" t="n">
        <v>428770000</v>
      </c>
      <c r="DN26" s="142" t="n">
        <v>0.2619</v>
      </c>
      <c r="DO26" s="51" t="n">
        <v>141800000</v>
      </c>
      <c r="DP26" s="142" t="n">
        <v>0.1004</v>
      </c>
      <c r="DQ26" s="59" t="inlineStr">
        <is>
          <t>Total issued share capital of the Company upon Listing (141,800,000 Shares, comprising domestic Shares and H Shares), with free float measured by reference to H Shares held in public hands</t>
        </is>
      </c>
      <c r="DR26" s="63" t="n">
        <v>141800000</v>
      </c>
      <c r="DS26" s="142" t="n">
        <v>-0.01302102</v>
      </c>
      <c r="DT26" s="80" t="n">
        <v>19</v>
      </c>
      <c r="DU26" s="142" t="n">
        <v>0.0053506</v>
      </c>
      <c r="DV26" s="144" t="n">
        <v>173464000000</v>
      </c>
      <c r="DW26" s="145" t="n">
        <v>30.8</v>
      </c>
      <c r="DX26" s="169" t="n">
        <v>0.006536</v>
      </c>
      <c r="DY26" s="172" t="n">
        <v>3360000</v>
      </c>
      <c r="DZ26" s="146" t="n">
        <v>30.3</v>
      </c>
      <c r="EA26" s="146" t="n">
        <v>32.85</v>
      </c>
      <c r="EB26" s="146" t="n">
        <v>28.1</v>
      </c>
      <c r="EC26" s="63" t="n">
        <v>8593800</v>
      </c>
      <c r="ED26" s="169" t="n">
        <v>0.511536</v>
      </c>
      <c r="EE26" s="64" t="n">
        <v>272301100</v>
      </c>
      <c r="EF26" s="60" t="inlineStr">
        <is>
          <t>PN18 statutory clawback</t>
        </is>
      </c>
      <c r="EG26" s="59" t="inlineStr">
        <is>
          <t>FINI (from 22/11/2023)</t>
        </is>
      </c>
      <c r="EH26" t="inlineStr">
        <is>
          <t>泰德医药（浙江）股份有限公司</t>
        </is>
      </c>
      <c r="EI26" s="174" t="inlineStr">
        <is>
          <t>Active</t>
        </is>
      </c>
      <c r="EJ26" s="175" t="n">
        <v>33.7</v>
      </c>
      <c r="EK26" s="176" t="n">
        <v>0.094156</v>
      </c>
      <c r="EL26" s="176" t="n">
        <v>0.101307</v>
      </c>
      <c r="EM26" s="176" t="n">
        <v>0.061891</v>
      </c>
      <c r="EN26" s="176" t="n">
        <v>0.06811499999999999</v>
      </c>
      <c r="EO26" s="179" t="n">
        <v>1.0304</v>
      </c>
      <c r="EP26" s="179" t="n">
        <v>1.0244</v>
      </c>
      <c r="EQ26" s="178" t="n">
        <v>32740190</v>
      </c>
      <c r="ER26" s="175" t="n">
        <v>30.12</v>
      </c>
      <c r="ES26" s="176" t="n">
        <v>-0.022078</v>
      </c>
      <c r="ET26" s="176" t="n">
        <v>-0.015686</v>
      </c>
      <c r="EU26" s="176" t="n">
        <v>0.07403999999999999</v>
      </c>
      <c r="EV26" s="176" t="n">
        <v>0.051965</v>
      </c>
      <c r="EW26" s="179" t="n">
        <v>0.9105</v>
      </c>
      <c r="EX26" s="179" t="n">
        <v>0.9296</v>
      </c>
      <c r="EY26" s="178" t="n">
        <v>4254385</v>
      </c>
      <c r="EZ26" s="176" t="n">
        <v>0.015624</v>
      </c>
      <c r="FA26" s="176" t="n"/>
      <c r="FB26" s="179" t="n"/>
      <c r="FC26" s="176" t="n"/>
      <c r="FD26" s="179" t="n"/>
      <c r="FE26" s="174" t="inlineStr">
        <is>
          <t>Standard</t>
        </is>
      </c>
      <c r="FF26" s="181" t="inlineStr">
        <is>
          <t>China International Capital Corporation / Sponsor-OC</t>
        </is>
      </c>
      <c r="FG26" s="185" t="inlineStr">
        <is>
          <t>2025-07-30</t>
        </is>
      </c>
      <c r="FH26" s="183" t="n">
        <v>0</v>
      </c>
      <c r="FI26" s="178" t="n">
        <v>0</v>
      </c>
      <c r="FJ26" s="176" t="n">
        <v>0.15</v>
      </c>
      <c r="FK26" s="185" t="inlineStr">
        <is>
          <t>2025-07-30</t>
        </is>
      </c>
      <c r="FL26" s="178" t="n">
        <v>0</v>
      </c>
      <c r="FM26" s="176" t="n">
        <v>0</v>
      </c>
      <c r="FN26" s="176" t="n">
        <v>0.005952</v>
      </c>
      <c r="FO26" s="176" t="n">
        <v>0.120226</v>
      </c>
      <c r="FP26" s="176" t="n">
        <v>0.284108</v>
      </c>
      <c r="FQ26" s="176" t="n">
        <v>0.022727</v>
      </c>
      <c r="FR26" s="179" t="n">
        <v>1.0306</v>
      </c>
      <c r="FS26" s="176" t="n">
        <v>0.094156</v>
      </c>
      <c r="FT26" s="179" t="n">
        <v>1.0304</v>
      </c>
      <c r="FU26" s="176" t="n">
        <v>-0.004545</v>
      </c>
      <c r="FV26" s="179" t="n">
        <v>0.9048</v>
      </c>
      <c r="FW26" s="179" t="n">
        <v>0.8275</v>
      </c>
      <c r="FX26" s="178" t="n">
        <v>15894274.6</v>
      </c>
      <c r="FY26" s="186" t="n">
        <v>0.002371595238095238</v>
      </c>
      <c r="FZ26" s="183" t="n">
        <v>0</v>
      </c>
      <c r="GA26" s="176" t="n">
        <v>0.0276402367416285</v>
      </c>
      <c r="GB26" s="176" t="n">
        <v>0.338447</v>
      </c>
      <c r="GC26" s="185" t="inlineStr">
        <is>
          <t>2025-12-30</t>
        </is>
      </c>
      <c r="GD26" s="185" t="inlineStr">
        <is>
          <t>2026-06-30</t>
        </is>
      </c>
      <c r="GE26" s="176" t="n">
        <v>-0.053538</v>
      </c>
      <c r="GF26" s="176" t="n">
        <v>-0.09048200000000001</v>
      </c>
      <c r="GG26" s="179" t="n">
        <v>0.8319</v>
      </c>
      <c r="GH26" s="181" t="inlineStr">
        <is>
          <t>China International Capital Corporation / Sponsor-OC</t>
        </is>
      </c>
      <c r="GI26" s="183" t="n">
        <v>0</v>
      </c>
      <c r="GJ26" s="183" t="n">
        <v>0</v>
      </c>
      <c r="GK26" s="176" t="n">
        <v>0.025</v>
      </c>
      <c r="GL26" s="176" t="n">
        <v>0.01</v>
      </c>
      <c r="GM26" s="176" t="n">
        <v>0.035</v>
      </c>
      <c r="GN26" s="183" t="n">
        <v>4</v>
      </c>
      <c r="GO26" s="183" t="n">
        <v>0</v>
      </c>
      <c r="GP26" s="183" t="n">
        <v>0</v>
      </c>
      <c r="GQ26" s="183" t="n">
        <v>6</v>
      </c>
      <c r="GR26" s="183" t="n">
        <v>0</v>
      </c>
      <c r="GS26" s="181" t="inlineStr">
        <is>
          <t>POST_FINI</t>
        </is>
      </c>
      <c r="GT26" s="181" t="inlineStr">
        <is>
          <t>PRE_2025_REFORM</t>
        </is>
      </c>
    </row>
    <row r="27" ht="51" customFormat="1" customHeight="1" s="11">
      <c r="A27" s="43" t="n">
        <v>42</v>
      </c>
      <c r="B27" s="47" t="inlineStr">
        <is>
          <t>6603.HK</t>
        </is>
      </c>
      <c r="C27" s="44" t="inlineStr">
        <is>
          <t>IFBH Limited</t>
        </is>
      </c>
      <c r="D27" s="130" t="n">
        <v>45828</v>
      </c>
      <c r="E27" s="48" t="n">
        <v>45838</v>
      </c>
      <c r="F27" s="43" t="inlineStr">
        <is>
          <t>CITIC Securities (Hong Kong) Limited</t>
        </is>
      </c>
      <c r="G27" s="43" t="inlineStr">
        <is>
          <t>Ernst &amp; Young LLP</t>
        </is>
      </c>
      <c r="H27" s="43" t="n"/>
      <c r="I27" s="131" t="n">
        <v>579168520</v>
      </c>
      <c r="J27" s="148" t="n">
        <v>752918520</v>
      </c>
      <c r="K27" s="133" t="n">
        <v>27.8</v>
      </c>
      <c r="L27" t="n">
        <v>266666800</v>
      </c>
      <c r="M27" s="67" t="n">
        <v>41666800</v>
      </c>
      <c r="N27" t="n">
        <v>225000000</v>
      </c>
      <c r="O27" t="n">
        <v>225000000</v>
      </c>
      <c r="P27" t="n">
        <v>0</v>
      </c>
      <c r="Q27" t="n">
        <v>41666800</v>
      </c>
      <c r="R27" s="67" t="n">
        <v>37500000</v>
      </c>
      <c r="S27" s="67" t="n">
        <v>4166800</v>
      </c>
      <c r="T27" s="147" t="n">
        <v>27.8</v>
      </c>
      <c r="U27" s="147" t="n">
        <v>25.3</v>
      </c>
      <c r="V27" s="169" t="n">
        <v>0.047081</v>
      </c>
      <c r="W27" s="169" t="n">
        <v>0.094162</v>
      </c>
      <c r="X27" s="170" t="inlineStr">
        <is>
          <t>At high</t>
        </is>
      </c>
      <c r="Y27" s="26" t="inlineStr">
        <is>
          <t>USD</t>
        </is>
      </c>
      <c r="Z27" s="137" t="inlineStr">
        <is>
          <t>NaN</t>
        </is>
      </c>
      <c r="AA27" s="137" t="n">
        <v>30511000</v>
      </c>
      <c r="AB27" s="137" t="n">
        <v>74136000</v>
      </c>
      <c r="AC27" s="137" t="inlineStr">
        <is>
          <t>NaN</t>
        </is>
      </c>
      <c r="AD27" s="137" t="n">
        <v>9506000</v>
      </c>
      <c r="AE27" s="137" t="n">
        <v>48089000</v>
      </c>
      <c r="AF27" s="137" t="inlineStr">
        <is>
          <t>NaN</t>
        </is>
      </c>
      <c r="AG27" s="137" t="n">
        <v>21005000</v>
      </c>
      <c r="AH27" s="137" t="n">
        <v>26047000</v>
      </c>
      <c r="AI27" s="137" t="inlineStr">
        <is>
          <t>NaN</t>
        </is>
      </c>
      <c r="AJ27" s="137" t="n">
        <v>87442000</v>
      </c>
      <c r="AK27" s="137" t="n">
        <v>157648000</v>
      </c>
      <c r="AL27" s="137" t="inlineStr">
        <is>
          <t>NaN</t>
        </is>
      </c>
      <c r="AM27" s="137" t="n">
        <v>20188000</v>
      </c>
      <c r="AN27" s="137" t="n">
        <v>40078000</v>
      </c>
      <c r="AO27" s="137" t="inlineStr">
        <is>
          <t>NaN</t>
        </is>
      </c>
      <c r="AP27" s="137" t="n">
        <v>16754000</v>
      </c>
      <c r="AQ27" s="137" t="n">
        <v>33316000</v>
      </c>
      <c r="AR27" s="142" t="n">
        <v>0.0275</v>
      </c>
      <c r="AS27" s="142" t="n">
        <v>0.0275</v>
      </c>
      <c r="AT27" s="84" t="n">
        <v>0.15</v>
      </c>
      <c r="AU27" s="51" t="inlineStr">
        <is>
          <t>Ready-to-consume beverage and food company (RTD coconut water and coconut-based snacks under the if and Innococo brands)</t>
        </is>
      </c>
      <c r="AV27" s="51" t="inlineStr">
        <is>
          <t>Main Board general route, market capitalization/revenue test under Rule 8.05(3)</t>
        </is>
      </c>
      <c r="AW27" s="136" t="n">
        <v>45657</v>
      </c>
      <c r="AX27" s="137" t="n">
        <v>41753000</v>
      </c>
      <c r="AY27" s="117" t="n">
        <v>54818000</v>
      </c>
      <c r="AZ27" s="117" t="inlineStr">
        <is>
          <t>NaN</t>
        </is>
      </c>
      <c r="BA27" s="117" t="n">
        <v>0</v>
      </c>
      <c r="BB27" s="138" t="n">
        <v>0.977</v>
      </c>
      <c r="BC27" s="139" t="n">
        <v>1</v>
      </c>
      <c r="BD27" s="80" t="n">
        <v>1</v>
      </c>
      <c r="BE27" s="161" t="inlineStr">
        <is>
          <t>NaN</t>
        </is>
      </c>
      <c r="BF27" s="161" t="n">
        <v>1</v>
      </c>
      <c r="BG27" s="161" t="inlineStr">
        <is>
          <t>NaN</t>
        </is>
      </c>
      <c r="BH27" s="161" t="inlineStr">
        <is>
          <t>NaN</t>
        </is>
      </c>
      <c r="BI27" s="161" t="inlineStr">
        <is>
          <t>NaN</t>
        </is>
      </c>
      <c r="BJ27" s="162" t="inlineStr">
        <is>
          <t>FAF2 VCC; Oasis Partners Co., Ltd.; 10BIF Limited</t>
        </is>
      </c>
      <c r="BK27" s="163" t="n">
        <v>0.09370000000000001</v>
      </c>
      <c r="BL27" s="161" t="n">
        <v>1</v>
      </c>
      <c r="BM27" s="164" t="inlineStr">
        <is>
          <t>Series A Investment</t>
        </is>
      </c>
      <c r="BN27" s="165" t="n">
        <v>2.2</v>
      </c>
      <c r="BO27" s="51" t="inlineStr">
        <is>
          <t>Individual (ultimate Controlling Shareholder Mr. Pongsakorn Pongsak)</t>
        </is>
      </c>
      <c r="BP27" s="135" t="n">
        <v>0.6551</v>
      </c>
      <c r="BQ27" s="135" t="n">
        <v>0.6551</v>
      </c>
      <c r="BR27" s="137" t="n">
        <v>319000</v>
      </c>
      <c r="BS27" s="51" t="inlineStr">
        <is>
          <t>NA</t>
        </is>
      </c>
      <c r="BT27" s="142" t="n">
        <v>0</v>
      </c>
      <c r="BU27" s="60" t="inlineStr">
        <is>
          <t>Main Board</t>
        </is>
      </c>
      <c r="BV27" s="89" t="inlineStr">
        <is>
          <t>Ordinary shares</t>
        </is>
      </c>
      <c r="BW27" s="61" t="n">
        <v>0</v>
      </c>
      <c r="BX27" s="77" t="n">
        <v>0</v>
      </c>
      <c r="BY27" s="77" t="n">
        <v>0</v>
      </c>
      <c r="BZ27" s="78" t="n">
        <v>0</v>
      </c>
      <c r="CA27" s="60" t="inlineStr">
        <is>
          <t>251030</t>
        </is>
      </c>
      <c r="CB27" s="76" t="inlineStr">
        <is>
          <t>HSICS (Hang Seng Industry Classification System) 2026</t>
        </is>
      </c>
      <c r="CC27" s="140" t="n">
        <v>45349</v>
      </c>
      <c r="CD27" s="171" t="n">
        <v>1.34</v>
      </c>
      <c r="CE27" s="76" t="inlineStr">
        <is>
          <t>NA</t>
        </is>
      </c>
      <c r="CF27" s="89" t="inlineStr">
        <is>
          <t>Singapore</t>
        </is>
      </c>
      <c r="CG27" s="91" t="n">
        <v>1000</v>
      </c>
      <c r="CH27" s="60" t="inlineStr">
        <is>
          <t>IFRS</t>
        </is>
      </c>
      <c r="CI27" s="141" t="n">
        <v>44562</v>
      </c>
      <c r="CJ27" s="141" t="n">
        <v>44926</v>
      </c>
      <c r="CK27" s="141" t="n">
        <v>44927</v>
      </c>
      <c r="CL27" s="141" t="n">
        <v>45291</v>
      </c>
      <c r="CM27" s="141" t="n">
        <v>45292</v>
      </c>
      <c r="CN27" s="64" t="n">
        <v>157648000</v>
      </c>
      <c r="CO27" s="64" t="n">
        <v>40078000</v>
      </c>
      <c r="CP27" s="64" t="n">
        <v>33316000</v>
      </c>
      <c r="CQ27" s="141" t="n">
        <v>45828</v>
      </c>
      <c r="CR27" s="141" t="n">
        <v>45833</v>
      </c>
      <c r="CS27" s="63" t="n">
        <v>266666800</v>
      </c>
      <c r="CT27" s="64" t="n">
        <v>57859000</v>
      </c>
      <c r="CU27" s="64" t="n">
        <v>187000</v>
      </c>
      <c r="CV27" s="59" t="inlineStr">
        <is>
          <t>Unqualified (true and fair view)</t>
        </is>
      </c>
      <c r="CW27" s="64" t="n">
        <v>82100000</v>
      </c>
      <c r="CX27" s="51" t="inlineStr">
        <is>
          <t>UBS Asset Management (Singapore) Ltd.; Black Dragon AP SPV1; Enreal China Master Fund; Forreal China Value Fund; HCEP Master Fund; HCEP Long Only Master Fund; China Southern Asset Management Co., Ltd.; GF International Investment Management Limited; Harvest Oriental SP; ICBC Wealth Management Co., Ltd.; Jain Global Master Fund; Jane Street Asia Trading Limited; Mega Prime Development Limited</t>
        </is>
      </c>
      <c r="CY27" s="142" t="n">
        <v>0.2676</v>
      </c>
      <c r="CZ27" s="136" t="n">
        <v>46021</v>
      </c>
      <c r="DA27" s="143" t="n">
        <v>2682.35</v>
      </c>
      <c r="DB27" s="63" t="n">
        <v>236078</v>
      </c>
      <c r="DC27" s="63" t="n">
        <v>11176661800</v>
      </c>
      <c r="DD27" s="59" t="inlineStr">
        <is>
          <t>Subscription level 2,682.35 times</t>
        </is>
      </c>
      <c r="DE27" s="141" t="n">
        <v>45834</v>
      </c>
      <c r="DF27" s="141" t="n">
        <v>45835</v>
      </c>
      <c r="DG27" s="63" t="n">
        <v>41666800</v>
      </c>
      <c r="DH27" s="63" t="n">
        <v>20833400</v>
      </c>
      <c r="DI27" s="63" t="n">
        <v>20833400</v>
      </c>
      <c r="DJ27" s="63" t="n">
        <v>6250000</v>
      </c>
      <c r="DK27" s="169" t="n">
        <v>1</v>
      </c>
      <c r="DL27" s="59" t="inlineStr">
        <is>
          <t>16,666,600 Shares reallocated from the International Offer to the Hong Kong Public Offering (claw-back); final Hong Kong Public Offering 20,833,400 Shares, 50.00% of the Global Offering</t>
        </is>
      </c>
      <c r="DM27" s="144" t="n">
        <v>1073930000</v>
      </c>
      <c r="DN27" s="142" t="n">
        <v>0.315</v>
      </c>
      <c r="DO27" s="51" t="n">
        <v>266666800</v>
      </c>
      <c r="DP27" s="142" t="n">
        <v>0.1144</v>
      </c>
      <c r="DQ27" s="59" t="inlineStr">
        <is>
          <t>Number of issued shares upon Listing (before any exercise of the Over-allotment Option) = 266,666,800 Shares, i.e. total issued share capital immediately following completion of the Global Offering excluding any Over-allotment Option Shares</t>
        </is>
      </c>
      <c r="DR27" s="63" t="n">
        <v>266666800</v>
      </c>
      <c r="DS27" s="142" t="n">
        <v>-0.01302102</v>
      </c>
      <c r="DT27" s="80" t="n">
        <v>19</v>
      </c>
      <c r="DU27" s="142" t="n">
        <v>0.0053506</v>
      </c>
      <c r="DV27" s="144" t="n">
        <v>173464000000</v>
      </c>
      <c r="DW27" s="145" t="n">
        <v>39.297</v>
      </c>
      <c r="DX27" s="169" t="n">
        <v>0.413561</v>
      </c>
      <c r="DY27" s="172" t="n">
        <v>479043199.6</v>
      </c>
      <c r="DZ27" s="146" t="n">
        <v>43.697</v>
      </c>
      <c r="EA27" s="146" t="n">
        <v>46.297</v>
      </c>
      <c r="EB27" s="146" t="n">
        <v>37.797</v>
      </c>
      <c r="EC27" s="63" t="n">
        <v>38912781</v>
      </c>
      <c r="ED27" s="169" t="n">
        <v>0.933904</v>
      </c>
      <c r="EE27" s="64" t="n">
        <v>1672257950</v>
      </c>
      <c r="EF27" s="60" t="inlineStr">
        <is>
          <t>PN18 statutory clawback</t>
        </is>
      </c>
      <c r="EG27" s="59" t="inlineStr">
        <is>
          <t>FINI (from 22/11/2023)</t>
        </is>
      </c>
      <c r="EH27" t="inlineStr">
        <is>
          <t>NA</t>
        </is>
      </c>
      <c r="EI27" s="174" t="inlineStr">
        <is>
          <t>Active</t>
        </is>
      </c>
      <c r="EJ27" s="175" t="n">
        <v>38.147</v>
      </c>
      <c r="EK27" s="176" t="n">
        <v>-0.029264</v>
      </c>
      <c r="EL27" s="176" t="n">
        <v>0.372194</v>
      </c>
      <c r="EM27" s="176" t="n">
        <v>0.061891</v>
      </c>
      <c r="EN27" s="176" t="n">
        <v>0.06811499999999999</v>
      </c>
      <c r="EO27" s="179" t="n">
        <v>0.9142</v>
      </c>
      <c r="EP27" s="179" t="n">
        <v>0.9088000000000001</v>
      </c>
      <c r="EQ27" s="178" t="n">
        <v>195601995</v>
      </c>
      <c r="ER27" s="175" t="n">
        <v>15.897</v>
      </c>
      <c r="ES27" s="176" t="n">
        <v>-0.595465</v>
      </c>
      <c r="ET27" s="176" t="n">
        <v>-0.428165</v>
      </c>
      <c r="EU27" s="176" t="n">
        <v>0.07403999999999999</v>
      </c>
      <c r="EV27" s="176" t="n">
        <v>0.051965</v>
      </c>
      <c r="EW27" s="179" t="n">
        <v>0.3766</v>
      </c>
      <c r="EX27" s="179" t="n">
        <v>0.3846</v>
      </c>
      <c r="EY27" s="178" t="n">
        <v>26056004.5</v>
      </c>
      <c r="EZ27" s="176" t="n">
        <v>0.015581</v>
      </c>
      <c r="FA27" s="176" t="n"/>
      <c r="FB27" s="179" t="n"/>
      <c r="FC27" s="176" t="n"/>
      <c r="FD27" s="179" t="n"/>
      <c r="FE27" s="174" t="inlineStr">
        <is>
          <t>Standard</t>
        </is>
      </c>
      <c r="FF27" s="181" t="inlineStr">
        <is>
          <t>China International Capital Corporation / Sponsor-OC</t>
        </is>
      </c>
      <c r="FG27" s="185" t="inlineStr">
        <is>
          <t>2025-07-30</t>
        </is>
      </c>
      <c r="FH27" s="183" t="n">
        <v>0</v>
      </c>
      <c r="FI27" s="178" t="n">
        <v>0</v>
      </c>
      <c r="FJ27" s="176" t="n">
        <v>0.15</v>
      </c>
      <c r="FK27" s="185" t="inlineStr">
        <is>
          <t>2025-07-30</t>
        </is>
      </c>
      <c r="FL27" s="178" t="n">
        <v>0</v>
      </c>
      <c r="FM27" s="176" t="n">
        <v>0</v>
      </c>
      <c r="FN27" s="176" t="n">
        <v>-0.008000999999999999</v>
      </c>
      <c r="FO27" s="176" t="n">
        <v>-0.116654</v>
      </c>
      <c r="FP27" s="176" t="n">
        <v>0.199769</v>
      </c>
      <c r="FQ27" s="176" t="n">
        <v>0.04835</v>
      </c>
      <c r="FR27" s="179" t="n">
        <v>1.0564</v>
      </c>
      <c r="FS27" s="176" t="n">
        <v>-0.029264</v>
      </c>
      <c r="FT27" s="179" t="n">
        <v>0.9142</v>
      </c>
      <c r="FU27" s="176" t="n">
        <v>-0.223427</v>
      </c>
      <c r="FV27" s="179" t="n">
        <v>0.7058</v>
      </c>
      <c r="FW27" s="179" t="n">
        <v>0.6455</v>
      </c>
      <c r="FX27" s="178" t="n">
        <v>103362764.6</v>
      </c>
      <c r="FY27" s="186" t="n">
        <v>0.0007526507936507936</v>
      </c>
      <c r="FZ27" s="183" t="n">
        <v>0</v>
      </c>
      <c r="GA27" s="176" t="n">
        <v>0.05463623807444089</v>
      </c>
      <c r="GB27" s="176" t="n">
        <v>0.7060110000000001</v>
      </c>
      <c r="GC27" s="185" t="inlineStr">
        <is>
          <t>2025-12-30</t>
        </is>
      </c>
      <c r="GD27" s="185" t="inlineStr">
        <is>
          <t>2026-06-30</t>
        </is>
      </c>
      <c r="GE27" s="176" t="n">
        <v>0.090056</v>
      </c>
      <c r="GF27" s="176" t="n">
        <v>-0.057205</v>
      </c>
      <c r="GG27" s="179" t="n">
        <v>3.3994</v>
      </c>
      <c r="GH27" s="181" t="inlineStr">
        <is>
          <t>China International Capital Corporation / Sponsor-OC</t>
        </is>
      </c>
      <c r="GI27" s="183" t="n">
        <v>0</v>
      </c>
      <c r="GJ27" s="183" t="n">
        <v>0</v>
      </c>
      <c r="GK27" s="176" t="n">
        <v>0.025</v>
      </c>
      <c r="GL27" s="176" t="n">
        <v>0.01</v>
      </c>
      <c r="GM27" s="176" t="n">
        <v>0.035</v>
      </c>
      <c r="GN27" s="183" t="n">
        <v>4</v>
      </c>
      <c r="GO27" s="183" t="n">
        <v>0</v>
      </c>
      <c r="GP27" s="183" t="n">
        <v>0</v>
      </c>
      <c r="GQ27" s="183" t="n">
        <v>6</v>
      </c>
      <c r="GR27" s="183" t="n">
        <v>0</v>
      </c>
      <c r="GS27" s="181" t="inlineStr">
        <is>
          <t>POST_FINI</t>
        </is>
      </c>
      <c r="GT27" s="181" t="inlineStr">
        <is>
          <t>PRE_2025_REFORM</t>
        </is>
      </c>
    </row>
    <row r="28" ht="51" customFormat="1" customHeight="1" s="11">
      <c r="A28" s="43" t="n">
        <v>44</v>
      </c>
      <c r="B28" s="47" t="inlineStr">
        <is>
          <t>9678.HK</t>
        </is>
      </c>
      <c r="C28" s="44" t="inlineStr">
        <is>
          <t>Unisound AI Technology Co., Ltd. - H shares</t>
        </is>
      </c>
      <c r="D28" s="130" t="n">
        <v>45828</v>
      </c>
      <c r="E28" s="48" t="n">
        <v>45838</v>
      </c>
      <c r="F28" s="43" t="inlineStr">
        <is>
          <t>China International Capital Corporation 
Hong Kong Securities Limited/
Haitong International Capital Limited</t>
        </is>
      </c>
      <c r="G28" s="43" t="inlineStr">
        <is>
          <t>PricewaterhouseCoopers</t>
        </is>
      </c>
      <c r="H28" s="43" t="n"/>
      <c r="I28" s="131" t="n">
        <v>128002000</v>
      </c>
      <c r="J28" s="148" t="n">
        <v>239997600</v>
      </c>
      <c r="K28" s="133" t="n">
        <v>205</v>
      </c>
      <c r="L28" t="n">
        <v>70953453</v>
      </c>
      <c r="M28" s="67" t="n">
        <v>1560980</v>
      </c>
      <c r="N28" t="n">
        <v>69392473</v>
      </c>
      <c r="O28" t="n">
        <v>69392473</v>
      </c>
      <c r="P28" t="n">
        <v>0</v>
      </c>
      <c r="Q28" t="n">
        <v>1560980</v>
      </c>
      <c r="R28" s="67" t="n">
        <v>1404880</v>
      </c>
      <c r="S28" s="67" t="n">
        <v>156100</v>
      </c>
      <c r="T28" s="147" t="n">
        <v>205</v>
      </c>
      <c r="U28" s="147" t="n">
        <v>165</v>
      </c>
      <c r="V28" s="169" t="n">
        <v>0.108108</v>
      </c>
      <c r="W28" s="169" t="n">
        <v>0.216216</v>
      </c>
      <c r="X28" s="170" t="inlineStr">
        <is>
          <t>At high</t>
        </is>
      </c>
      <c r="Y28" s="26" t="inlineStr">
        <is>
          <t>RMB</t>
        </is>
      </c>
      <c r="Z28" s="137" t="n">
        <v>568844000</v>
      </c>
      <c r="AA28" s="137" t="n">
        <v>1104606000</v>
      </c>
      <c r="AB28" s="137" t="n">
        <v>1079976000</v>
      </c>
      <c r="AC28" s="137" t="n">
        <v>-1911238000</v>
      </c>
      <c r="AD28" s="137" t="n">
        <v>-2298757000</v>
      </c>
      <c r="AE28" s="137" t="n">
        <v>-2752908000</v>
      </c>
      <c r="AF28" s="137" t="n">
        <v>2480082000</v>
      </c>
      <c r="AG28" s="137" t="n">
        <v>3403363000</v>
      </c>
      <c r="AH28" s="137" t="n">
        <v>3832884000</v>
      </c>
      <c r="AI28" s="137" t="n">
        <v>600619000</v>
      </c>
      <c r="AJ28" s="137" t="n">
        <v>727316000</v>
      </c>
      <c r="AK28" s="137" t="n">
        <v>939017000</v>
      </c>
      <c r="AL28" s="137" t="n">
        <v>-375580000</v>
      </c>
      <c r="AM28" s="137" t="n">
        <v>-373589000</v>
      </c>
      <c r="AN28" s="137" t="n">
        <v>-454373000</v>
      </c>
      <c r="AO28" s="137" t="n">
        <v>-375391000</v>
      </c>
      <c r="AP28" s="137" t="n">
        <v>-376244000</v>
      </c>
      <c r="AQ28" s="137" t="n">
        <v>-454211000</v>
      </c>
      <c r="AR28" s="142" t="n">
        <v>0.03</v>
      </c>
      <c r="AS28" s="142" t="n">
        <v>0.03</v>
      </c>
      <c r="AT28" s="84" t="n">
        <v>0.15</v>
      </c>
      <c r="AU28" s="51" t="inlineStr">
        <is>
          <t>AI solution provider – conversational AI products and solutions for daily life and healthcare in China</t>
        </is>
      </c>
      <c r="AV28" s="51" t="inlineStr">
        <is>
          <t>Main Board of the Hong Kong Stock Exchange (H share listing); no Chapter 18C basis disclosed in prospectus</t>
        </is>
      </c>
      <c r="AW28" s="136" t="n">
        <v>45657</v>
      </c>
      <c r="AX28" s="137" t="n">
        <v>-318978000</v>
      </c>
      <c r="AY28" s="117" t="n">
        <v>156476000</v>
      </c>
      <c r="AZ28" s="117" t="n">
        <v>370073000</v>
      </c>
      <c r="BA28" s="117" t="n">
        <v>0</v>
      </c>
      <c r="BB28" s="138" t="n">
        <v>0.267</v>
      </c>
      <c r="BC28" s="139" t="n">
        <v>1</v>
      </c>
      <c r="BD28" s="80" t="n">
        <v>1</v>
      </c>
      <c r="BE28" s="161" t="n">
        <v>1</v>
      </c>
      <c r="BF28" s="161" t="n">
        <v>1</v>
      </c>
      <c r="BG28" s="161" t="n">
        <v>1</v>
      </c>
      <c r="BH28" s="161" t="n">
        <v>1</v>
      </c>
      <c r="BI28" s="161" t="inlineStr">
        <is>
          <t>NaN</t>
        </is>
      </c>
      <c r="BJ28" s="162" t="inlineStr">
        <is>
          <t>TBP HK; Qualcomm; CII Fund; JD Shangke; Qirui Tiancheng; CICC Jiatai</t>
        </is>
      </c>
      <c r="BK28" s="163" t="inlineStr">
        <is>
          <t>NaN</t>
        </is>
      </c>
      <c r="BL28" s="161" t="n">
        <v>1</v>
      </c>
      <c r="BM28" s="164" t="inlineStr">
        <is>
          <t>Series A (March 2014)</t>
        </is>
      </c>
      <c r="BN28" s="165" t="n">
        <v>11</v>
      </c>
      <c r="BO28" s="51" t="inlineStr">
        <is>
          <t>Natural persons – founders Dr. Liang, Dr. Huang and Dr. Kang (acting in concert with their vehicles)</t>
        </is>
      </c>
      <c r="BP28" s="135" t="n">
        <v>0.3318</v>
      </c>
      <c r="BQ28" s="135" t="n">
        <v>0.3318</v>
      </c>
      <c r="BR28" s="137" t="n">
        <v>163626000</v>
      </c>
      <c r="BS28" s="51" t="inlineStr">
        <is>
          <t>Commercialised / commercial stage (products commercially deployed and revenue-generating)</t>
        </is>
      </c>
      <c r="BT28" s="142" t="n">
        <v>0</v>
      </c>
      <c r="BU28" s="60" t="inlineStr">
        <is>
          <t>Main Board</t>
        </is>
      </c>
      <c r="BV28" s="89" t="inlineStr">
        <is>
          <t>H Shares, Domestic Unlisted Shares and Unlisted Foreign Shares (all ordinary shares)</t>
        </is>
      </c>
      <c r="BW28" s="61" t="n">
        <v>0</v>
      </c>
      <c r="BX28" s="77" t="n">
        <v>0</v>
      </c>
      <c r="BY28" s="77" t="n">
        <v>0</v>
      </c>
      <c r="BZ28" s="78" t="n">
        <v>0</v>
      </c>
      <c r="CA28" s="60" t="inlineStr">
        <is>
          <t>702030</t>
        </is>
      </c>
      <c r="CB28" s="76" t="inlineStr">
        <is>
          <t>HSICS (Hang Seng Industry Classification System) 2026</t>
        </is>
      </c>
      <c r="CC28" s="140" t="n">
        <v>41089</v>
      </c>
      <c r="CD28" s="171" t="n">
        <v>13</v>
      </c>
      <c r="CE28" s="76" t="inlineStr">
        <is>
          <t>PRC</t>
        </is>
      </c>
      <c r="CF28" s="89" t="inlineStr">
        <is>
          <t>No. 101-124, 1/F, Building One, Xisanqi Jiancaicheng, Haidian District, Beijing, PRC</t>
        </is>
      </c>
      <c r="CG28" s="91" t="n">
        <v>1000</v>
      </c>
      <c r="CH28" s="60" t="inlineStr">
        <is>
          <t>IFRS (IFRS Accounting Standards)</t>
        </is>
      </c>
      <c r="CI28" s="141" t="n">
        <v>44562</v>
      </c>
      <c r="CJ28" s="141" t="n">
        <v>44926</v>
      </c>
      <c r="CK28" s="141" t="n">
        <v>44927</v>
      </c>
      <c r="CL28" s="141" t="n">
        <v>45291</v>
      </c>
      <c r="CM28" s="141" t="n">
        <v>45292</v>
      </c>
      <c r="CN28" s="64" t="n">
        <v>939017000</v>
      </c>
      <c r="CO28" s="64" t="n">
        <v>-454373000</v>
      </c>
      <c r="CP28" s="64" t="n">
        <v>-454211000</v>
      </c>
      <c r="CQ28" s="141" t="n">
        <v>45828</v>
      </c>
      <c r="CR28" s="141" t="n">
        <v>45833</v>
      </c>
      <c r="CS28" s="63" t="n">
        <v>41387743</v>
      </c>
      <c r="CT28" s="64" t="n">
        <v>364480000</v>
      </c>
      <c r="CU28" s="64" t="n">
        <v>32900000</v>
      </c>
      <c r="CV28" s="59" t="inlineStr">
        <is>
          <t>Unqualified / unmodified opinion (true and fair view)</t>
        </is>
      </c>
      <c r="CW28" s="64" t="n">
        <v>112200000</v>
      </c>
      <c r="CX28" s="51" t="inlineStr">
        <is>
          <t>SensePower Management Limited; Nebula Asset Management Limited; Runjian International (Hong Kong) Co., Limited</t>
        </is>
      </c>
      <c r="CY28" s="142" t="n">
        <v>0.2965</v>
      </c>
      <c r="CZ28" s="136" t="n">
        <v>46021</v>
      </c>
      <c r="DA28" s="143" t="n">
        <v>91.66</v>
      </c>
      <c r="DB28" s="63" t="n">
        <v>25483</v>
      </c>
      <c r="DC28" s="63" t="n">
        <v>14307380</v>
      </c>
      <c r="DD28" s="59" t="inlineStr">
        <is>
          <t>Subscription level 91.66 times; Hong Kong Public Offering oversubscribed by more than 50 times and less than 100 times</t>
        </is>
      </c>
      <c r="DE28" s="141" t="n">
        <v>45834</v>
      </c>
      <c r="DF28" s="141" t="n">
        <v>45835</v>
      </c>
      <c r="DG28" s="63" t="n">
        <v>1560980</v>
      </c>
      <c r="DH28" s="63" t="n">
        <v>624400</v>
      </c>
      <c r="DI28" s="63" t="n">
        <v>936580</v>
      </c>
      <c r="DJ28" s="63" t="n">
        <v>234140</v>
      </c>
      <c r="DK28" s="169" t="n">
        <v>1</v>
      </c>
      <c r="DL28" s="59" t="inlineStr">
        <is>
          <t>Claw-back triggered: Yes; 468,300 H Shares reallocated from the International Offering to the Hong Kong Public Offering; final Hong Kong Public Offering 624,400 H Shares (approximately 40% of the Global Offering)</t>
        </is>
      </c>
      <c r="DM28" s="144" t="n">
        <v>206400000</v>
      </c>
      <c r="DN28" s="142" t="n">
        <v>0.3597</v>
      </c>
      <c r="DO28" s="51" t="n">
        <v>70953453</v>
      </c>
      <c r="DP28" s="142" t="n">
        <v>0.015477</v>
      </c>
      <c r="DQ28" s="59" t="inlineStr">
        <is>
          <t>分母为上市时已发行股份总数70,953,453股（含H股与内资未上市股份、不含超额配售权）；计入公众持股的25,522,081股H股中大部分上市前股份受禁售限制，自由流通股数=全球发售1,560,980股−基石获配462,860股=1,098,120股</t>
        </is>
      </c>
      <c r="DR28" s="63" t="n">
        <v>70953453</v>
      </c>
      <c r="DS28" s="142" t="n">
        <v>-0.01302102</v>
      </c>
      <c r="DT28" s="80" t="n">
        <v>19</v>
      </c>
      <c r="DU28" s="142" t="n">
        <v>0.0053506</v>
      </c>
      <c r="DV28" s="144" t="n">
        <v>173464000000</v>
      </c>
      <c r="DW28" s="145" t="n">
        <v>296.4</v>
      </c>
      <c r="DX28" s="169" t="n">
        <v>0.445854</v>
      </c>
      <c r="DY28" s="172" t="n">
        <v>142673572</v>
      </c>
      <c r="DZ28" s="146" t="n">
        <v>205</v>
      </c>
      <c r="EA28" s="146" t="n">
        <v>319.8</v>
      </c>
      <c r="EB28" s="146" t="n">
        <v>198</v>
      </c>
      <c r="EC28" s="63" t="n">
        <v>803070</v>
      </c>
      <c r="ED28" s="169" t="n">
        <v>0.514465</v>
      </c>
      <c r="EE28" s="64" t="n">
        <v>178722000</v>
      </c>
      <c r="EF28" s="60" t="inlineStr">
        <is>
          <t>Chapter 18C.09 clawback</t>
        </is>
      </c>
      <c r="EG28" s="59" t="inlineStr">
        <is>
          <t>FINI (from 22/11/2023)</t>
        </is>
      </c>
      <c r="EH28" t="inlineStr">
        <is>
          <t>云知声智能科技股份有限公司</t>
        </is>
      </c>
      <c r="EI28" s="174" t="inlineStr">
        <is>
          <t>Active</t>
        </is>
      </c>
      <c r="EJ28" s="175" t="n">
        <v>528.5</v>
      </c>
      <c r="EK28" s="176" t="n">
        <v>0.783063</v>
      </c>
      <c r="EL28" s="176" t="n">
        <v>1.578049</v>
      </c>
      <c r="EM28" s="176" t="n">
        <v>0.061891</v>
      </c>
      <c r="EN28" s="176" t="n">
        <v>0.06811499999999999</v>
      </c>
      <c r="EO28" s="179" t="n">
        <v>1.6791</v>
      </c>
      <c r="EP28" s="179" t="n">
        <v>1.6694</v>
      </c>
      <c r="EQ28" s="178" t="n">
        <v>43185150</v>
      </c>
      <c r="ER28" s="175" t="n">
        <v>404</v>
      </c>
      <c r="ES28" s="176" t="n">
        <v>0.363023</v>
      </c>
      <c r="ET28" s="176" t="n">
        <v>0.970732</v>
      </c>
      <c r="EU28" s="176" t="n">
        <v>0.07403999999999999</v>
      </c>
      <c r="EV28" s="176" t="n">
        <v>0.051965</v>
      </c>
      <c r="EW28" s="179" t="n">
        <v>1.2691</v>
      </c>
      <c r="EX28" s="179" t="n">
        <v>1.2957</v>
      </c>
      <c r="EY28" s="178" t="n">
        <v>84813925</v>
      </c>
      <c r="EZ28" s="176" t="n">
        <v>0.474558</v>
      </c>
      <c r="FA28" s="176" t="n"/>
      <c r="FB28" s="179" t="n"/>
      <c r="FC28" s="176" t="n"/>
      <c r="FD28" s="179" t="n"/>
      <c r="FE28" s="174" t="inlineStr">
        <is>
          <t>Standard</t>
        </is>
      </c>
      <c r="FF28" s="181" t="inlineStr">
        <is>
          <t>China International Capital Corporation / Sponsor-OC</t>
        </is>
      </c>
      <c r="FG28" s="185" t="inlineStr">
        <is>
          <t>2025-07-30</t>
        </is>
      </c>
      <c r="FH28" s="183" t="n">
        <v>0</v>
      </c>
      <c r="FI28" s="178" t="n">
        <v>0</v>
      </c>
      <c r="FJ28" s="176" t="n">
        <v>0.15</v>
      </c>
      <c r="FK28" s="185" t="inlineStr">
        <is>
          <t>2025-07-30</t>
        </is>
      </c>
      <c r="FL28" s="178" t="n">
        <v>0</v>
      </c>
      <c r="FM28" s="176" t="n">
        <v>0</v>
      </c>
      <c r="FN28" s="176" t="n">
        <v>0.09032800000000001</v>
      </c>
      <c r="FO28" s="176" t="n">
        <v>0.438356</v>
      </c>
      <c r="FP28" s="176" t="n">
        <v>0.981919</v>
      </c>
      <c r="FQ28" s="176" t="n">
        <v>0.304993</v>
      </c>
      <c r="FR28" s="179" t="n">
        <v>1.3151</v>
      </c>
      <c r="FS28" s="176" t="n">
        <v>0.783063</v>
      </c>
      <c r="FT28" s="179" t="n">
        <v>1.6791</v>
      </c>
      <c r="FU28" s="176" t="n">
        <v>0.679487</v>
      </c>
      <c r="FV28" s="179" t="n">
        <v>1.5265</v>
      </c>
      <c r="FW28" s="179" t="n">
        <v>1.3961</v>
      </c>
      <c r="FX28" s="178" t="n">
        <v>61308341.27</v>
      </c>
      <c r="FY28" s="186" t="n">
        <v>0.0007298253968253968</v>
      </c>
      <c r="FZ28" s="183" t="n">
        <v>0</v>
      </c>
      <c r="GA28" s="176" t="n">
        <v>0.07125565907336719</v>
      </c>
      <c r="GB28" s="176" t="n">
        <v>0.544482</v>
      </c>
      <c r="GC28" s="185" t="inlineStr">
        <is>
          <t>2025-12-30</t>
        </is>
      </c>
      <c r="GD28" s="185" t="inlineStr">
        <is>
          <t>2026-06-30</t>
        </is>
      </c>
      <c r="GE28" s="176" t="n">
        <v>-0.190146</v>
      </c>
      <c r="GF28" s="176" t="n">
        <v>-0.334292</v>
      </c>
      <c r="GG28" s="179" t="n">
        <v>2.26</v>
      </c>
      <c r="GH28" s="181" t="inlineStr">
        <is>
          <t>China International Capital Corporation / Sponsor-OC</t>
        </is>
      </c>
      <c r="GI28" s="183" t="n">
        <v>0</v>
      </c>
      <c r="GJ28" s="183" t="n">
        <v>0</v>
      </c>
      <c r="GK28" s="176" t="n">
        <v>0.025</v>
      </c>
      <c r="GL28" s="176" t="n">
        <v>0.01</v>
      </c>
      <c r="GM28" s="176" t="n">
        <v>0.035</v>
      </c>
      <c r="GN28" s="183" t="n">
        <v>4</v>
      </c>
      <c r="GO28" s="183" t="n">
        <v>0</v>
      </c>
      <c r="GP28" s="183" t="n">
        <v>0</v>
      </c>
      <c r="GQ28" s="183" t="n">
        <v>6</v>
      </c>
      <c r="GR28" s="183" t="n">
        <v>0</v>
      </c>
      <c r="GS28" s="181" t="inlineStr">
        <is>
          <t>POST_FINI</t>
        </is>
      </c>
      <c r="GT28" s="181" t="inlineStr">
        <is>
          <t>PRE_2025_REFORM</t>
        </is>
      </c>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Penny Cheung</dc:creator>
  <dcterms:created xsi:type="dcterms:W3CDTF">1998-12-03T07:18:48Z</dcterms:created>
  <dcterms:modified xsi:type="dcterms:W3CDTF">2026-10-17T01:46:23Z</dcterms:modified>
  <cp:lastModifiedBy>ZHU Jiaqi</cp:lastModifiedBy>
  <cp:lastPrinted>2013-12-11T03:06:09Z</cp:lastPrinted>
</cp:coreProperties>
</file>

<file path=docProps/custom.xml><?xml version="1.0" encoding="utf-8"?>
<Properties xmlns:vt="http://schemas.openxmlformats.org/officeDocument/2006/docPropsVTypes" xmlns="http://schemas.openxmlformats.org/officeDocument/2006/custom-properties">
  <property name="SV_QUERY_LIST_4F35BF76-6C0D-4D9B-82B2-816C12CF3733" fmtid="{D5CDD505-2E9C-101B-9397-08002B2CF9AE}" pid="2">
    <vt:lpwstr>empty_477D106A-C0D6-4607-AEBD-E2C9D60EA279</vt:lpwstr>
  </property>
  <property name="SV_HIDDEN_GRID_QUERY_LIST_4F35BF76-6C0D-4D9B-82B2-816C12CF3733" fmtid="{D5CDD505-2E9C-101B-9397-08002B2CF9AE}" pid="3">
    <vt:lpwstr>empty_477D106A-C0D6-4607-AEBD-E2C9D60EA279</vt:lpwstr>
  </property>
</Properties>
</file>