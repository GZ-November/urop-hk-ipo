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87</v>
      </c>
      <c r="B2" s="47" t="inlineStr">
        <is>
          <t>0668.HK</t>
        </is>
      </c>
      <c r="C2" s="44" t="inlineStr">
        <is>
          <t>Anker Innovations Technology Co., Ltd. - H Shares</t>
        </is>
      </c>
      <c r="D2" s="130" t="n">
        <v>46196</v>
      </c>
      <c r="E2" s="48" t="n">
        <v>46205</v>
      </c>
      <c r="F2" s="43" t="inlineStr">
        <is>
          <t>China International Capital Corporation Hong Kong Securities Limited /
Goldman Sachs (Asia) L.L.C. /
J.P. Morgan Securities (Far East) Limited</t>
        </is>
      </c>
      <c r="G2" s="43" t="inlineStr">
        <is>
          <t>KPMG</t>
        </is>
      </c>
      <c r="H2" s="43" t="n"/>
      <c r="I2" s="131" t="n">
        <v>463158956</v>
      </c>
      <c r="J2" s="132" t="n">
        <v>4510399296</v>
      </c>
      <c r="K2" s="133" t="n">
        <v>99.31999999999999</v>
      </c>
      <c r="L2" t="n">
        <v>582909162</v>
      </c>
      <c r="M2" s="67" t="n">
        <v>46632800</v>
      </c>
      <c r="N2" t="n">
        <v>536276362</v>
      </c>
      <c r="O2" t="n">
        <v>536276362</v>
      </c>
      <c r="P2" t="n">
        <v>0</v>
      </c>
      <c r="Q2" t="n">
        <v>46632800</v>
      </c>
      <c r="R2" s="67" t="n">
        <v>41969500</v>
      </c>
      <c r="S2" s="67" t="n">
        <v>4663300</v>
      </c>
      <c r="T2" s="134" t="n">
        <v>99.31999999999999</v>
      </c>
      <c r="U2" s="134" t="inlineStr">
        <is>
          <t>NaN</t>
        </is>
      </c>
      <c r="V2" s="169" t="n">
        <v>0</v>
      </c>
      <c r="W2" s="169" t="n">
        <v>0</v>
      </c>
      <c r="X2" s="170" t="inlineStr">
        <is>
          <t>Fixed price</t>
        </is>
      </c>
      <c r="Y2" s="26" t="inlineStr">
        <is>
          <t>RMB</t>
        </is>
      </c>
      <c r="Z2" s="117" t="n">
        <v>16603708000</v>
      </c>
      <c r="AA2" s="117" t="n">
        <v>20066893000</v>
      </c>
      <c r="AB2" s="117" t="n">
        <v>20228400000</v>
      </c>
      <c r="AC2" s="117" t="n">
        <v>9144520000</v>
      </c>
      <c r="AD2" s="117" t="n">
        <v>10711670000</v>
      </c>
      <c r="AE2" s="117" t="n">
        <v>11344197000</v>
      </c>
      <c r="AF2" s="117" t="n">
        <v>7459188000</v>
      </c>
      <c r="AG2" s="117" t="n">
        <v>9355223000</v>
      </c>
      <c r="AH2" s="117" t="n">
        <v>8884200000</v>
      </c>
      <c r="AI2" s="117" t="n">
        <v>24710080000</v>
      </c>
      <c r="AJ2" s="117" t="n">
        <v>30514403000</v>
      </c>
      <c r="AK2" s="117" t="n">
        <v>30430584000</v>
      </c>
      <c r="AL2" s="117" t="n">
        <v>2348349000</v>
      </c>
      <c r="AM2" s="117" t="n">
        <v>2922474000</v>
      </c>
      <c r="AN2" s="117" t="n">
        <v>2234896000</v>
      </c>
      <c r="AO2" s="117" t="n">
        <v>2211124000</v>
      </c>
      <c r="AP2" s="117" t="n">
        <v>2617194000</v>
      </c>
      <c r="AQ2" s="117" t="n">
        <v>1883688000</v>
      </c>
      <c r="AR2" s="135" t="n">
        <v>0.007</v>
      </c>
      <c r="AS2" s="135" t="n">
        <v>0.007</v>
      </c>
      <c r="AT2" s="70" t="n">
        <v>0.15</v>
      </c>
      <c r="AU2" s="51" t="inlineStr">
        <is>
          <t>Independent research and development, design and sales of consumer electronic products under own brands (smart charging and power storage, smart audio and video, smart home)</t>
        </is>
      </c>
      <c r="AV2" s="51" t="inlineStr">
        <is>
          <t>Chapter 19A of the Main Board Listing Rules (PRC issuer with other listed shares)</t>
        </is>
      </c>
      <c r="AW2" s="136" t="n">
        <v>46112</v>
      </c>
      <c r="AX2" s="137" t="n">
        <v>-450632000</v>
      </c>
      <c r="AY2" s="117" t="n">
        <v>2670127000</v>
      </c>
      <c r="AZ2" s="117" t="n">
        <v>805291000</v>
      </c>
      <c r="BA2" s="117" t="n">
        <v>0</v>
      </c>
      <c r="BB2" s="138" t="n">
        <v>0.08599999999999999</v>
      </c>
      <c r="BC2" s="139" t="n">
        <v>1</v>
      </c>
      <c r="BD2" s="80" t="n">
        <v>0</v>
      </c>
      <c r="BE2" s="161" t="n">
        <v>0</v>
      </c>
      <c r="BF2" s="161" t="n">
        <v>0</v>
      </c>
      <c r="BG2" s="161" t="n">
        <v>0</v>
      </c>
      <c r="BH2" s="161" t="n">
        <v>0</v>
      </c>
      <c r="BI2" s="161" t="n">
        <v>0</v>
      </c>
      <c r="BJ2" s="162" t="inlineStr">
        <is>
          <t>NA</t>
        </is>
      </c>
      <c r="BK2" s="163" t="n">
        <v>0</v>
      </c>
      <c r="BL2" s="161" t="n">
        <v>0</v>
      </c>
      <c r="BM2" s="164" t="inlineStr">
        <is>
          <t>NA</t>
        </is>
      </c>
      <c r="BN2" s="165" t="inlineStr">
        <is>
          <t>NaN</t>
        </is>
      </c>
      <c r="BO2" s="51" t="inlineStr">
        <is>
          <t>Individual natural person(s) acting in concert (Mr. Yang and Ms. He)</t>
        </is>
      </c>
      <c r="BP2" s="135" t="n">
        <v>0.4327</v>
      </c>
      <c r="BQ2" s="135" t="n">
        <v>0.4327</v>
      </c>
      <c r="BR2" s="137" t="n">
        <v>3108231000</v>
      </c>
      <c r="BS2" s="73" t="inlineStr">
        <is>
          <t>Commercialized (mass production and sales; revenue-generating)</t>
        </is>
      </c>
      <c r="BT2" s="138" t="n">
        <v>0</v>
      </c>
      <c r="BU2" s="60" t="inlineStr">
        <is>
          <t>Main Board</t>
        </is>
      </c>
      <c r="BV2" s="89" t="inlineStr">
        <is>
          <t>H Shares</t>
        </is>
      </c>
      <c r="BW2" s="61" t="n">
        <v>1</v>
      </c>
      <c r="BX2" s="77" t="n">
        <v>0</v>
      </c>
      <c r="BY2" s="77" t="n">
        <v>0</v>
      </c>
      <c r="BZ2" s="78" t="n">
        <v>0</v>
      </c>
      <c r="CA2" s="60" t="inlineStr">
        <is>
          <t>232020</t>
        </is>
      </c>
      <c r="CB2" s="76" t="inlineStr">
        <is>
          <t>HSICS (Hang Seng Industry Classification System) 2026</t>
        </is>
      </c>
      <c r="CC2" s="140" t="n">
        <v>40883</v>
      </c>
      <c r="CD2" s="171" t="n">
        <v>14.57</v>
      </c>
      <c r="CE2" s="76" t="inlineStr">
        <is>
          <t>PRC</t>
        </is>
      </c>
      <c r="CF2" s="89" t="inlineStr">
        <is>
          <t>Room 701, 7th Floor, Building 7, Phase I, Changsha Zhongdian Software Park Co., Ltd., Changsha, Hunan, PRC</t>
        </is>
      </c>
      <c r="CG2" s="91" t="n"/>
      <c r="CH2" s="60" t="inlineStr">
        <is>
          <t>IFRS Accounting Standards</t>
        </is>
      </c>
      <c r="CI2" s="141" t="n">
        <v>45017</v>
      </c>
      <c r="CJ2" s="141" t="n">
        <v>45382</v>
      </c>
      <c r="CK2" s="141" t="n">
        <v>45383</v>
      </c>
      <c r="CL2" s="141" t="n">
        <v>45747</v>
      </c>
      <c r="CM2" s="141" t="n">
        <v>45748</v>
      </c>
      <c r="CN2" s="92" t="n">
        <v>30430584000</v>
      </c>
      <c r="CO2" s="64" t="n">
        <v>2234896000</v>
      </c>
      <c r="CP2" s="64" t="n">
        <v>1883688000</v>
      </c>
      <c r="CQ2" s="141" t="n">
        <v>46196</v>
      </c>
      <c r="CR2" s="141" t="n">
        <v>46199</v>
      </c>
      <c r="CS2" s="63" t="n">
        <v>46632800</v>
      </c>
      <c r="CT2" s="64" t="n">
        <v>3253208000</v>
      </c>
      <c r="CU2" s="64" t="n">
        <v>25360000</v>
      </c>
      <c r="CV2" s="59" t="inlineStr">
        <is>
          <t>Unqualified (true and fair view)</t>
        </is>
      </c>
      <c r="CW2" s="64" t="inlineStr">
        <is>
          <t>NaN</t>
        </is>
      </c>
      <c r="CX2" s="51" t="inlineStr">
        <is>
          <t>Schroder Investment Management (Singapore) Ltd; Schroder Investment Management (Hong Kong) Limited; Aspex Master Fund; Principal Asset Management Company (Asia) Limited; Greenwoods Asset Management Hong Kong Limited; Shanghai Greenwoods Asset Management Co., Ltd.; Guotai Haitong Securities Co., Ltd.; HACF, L.P.; UBS Asset Management (Singapore) Ltd.; Franklin Templeton Sealand Fund Management Co., Ltd.; Jane Street Asia Trading Limited; Taikang Life Insurance Co., Ltd.; WT Asset Management Limited; Value Partners Hong Kong Limited; Value Partners Limited</t>
        </is>
      </c>
      <c r="CY2" s="142" t="n">
        <v>0.499</v>
      </c>
      <c r="CZ2" s="136" t="n">
        <v>46389</v>
      </c>
      <c r="DA2" s="143" t="n">
        <v>27.57</v>
      </c>
      <c r="DB2" s="63" t="n">
        <v>36424</v>
      </c>
      <c r="DC2" s="63" t="n">
        <v>128547100</v>
      </c>
      <c r="DD2" s="59" t="inlineStr">
        <is>
          <t>Subscription level 27.57 times</t>
        </is>
      </c>
      <c r="DE2" s="141" t="inlineStr">
        <is>
          <t>NA</t>
        </is>
      </c>
      <c r="DF2" s="141" t="n">
        <v>46203</v>
      </c>
      <c r="DG2" s="63" t="n">
        <v>46632800</v>
      </c>
      <c r="DH2" s="63" t="n">
        <v>4663300</v>
      </c>
      <c r="DI2" s="63" t="n">
        <v>41969500</v>
      </c>
      <c r="DJ2" s="63" t="n">
        <v>3443300</v>
      </c>
      <c r="DK2" s="169" t="n">
        <v>0.492257</v>
      </c>
      <c r="DL2" s="59" t="inlineStr">
        <is>
          <t>Claw-back triggered: N/A (no claw-back / no reallocation from the International Offering to the Hong Kong Public Offering)</t>
        </is>
      </c>
      <c r="DM2" s="144" t="n">
        <v>4522700000</v>
      </c>
      <c r="DN2" s="142" t="n">
        <v>0.08</v>
      </c>
      <c r="DO2" s="51" t="n">
        <v>582909162</v>
      </c>
      <c r="DP2" s="142" t="n">
        <v>0.0401</v>
      </c>
      <c r="DQ2" s="59" t="inlineStr">
        <is>
          <t>Free float = Offer Shares excluding Shares held by Cornerstone Investors (6-month lock-up) and other locked-up Shares; denominator = total issued Shares upon Listing (before exercise of the Over-allotment Option) = col_CZ</t>
        </is>
      </c>
      <c r="DR2" s="63" t="n">
        <v>582909162</v>
      </c>
      <c r="DS2" s="142" t="n">
        <v>-0.06373461</v>
      </c>
      <c r="DT2" s="80" t="n">
        <v>34</v>
      </c>
      <c r="DU2" s="142" t="n">
        <v>0.0294381</v>
      </c>
      <c r="DV2" s="144" t="n">
        <v>53885000000</v>
      </c>
      <c r="DW2" s="145" t="n">
        <v>113.973</v>
      </c>
      <c r="DX2" s="169" t="n">
        <v>0.147533</v>
      </c>
      <c r="DY2" s="172" t="n">
        <v>683310418.4</v>
      </c>
      <c r="DZ2" s="146" t="n">
        <v>98.373</v>
      </c>
      <c r="EA2" s="146" t="n">
        <v>113.973</v>
      </c>
      <c r="EB2" s="146" t="n">
        <v>89.07299999999999</v>
      </c>
      <c r="EC2" s="63" t="n">
        <v>10108780</v>
      </c>
      <c r="ED2" s="169" t="n">
        <v>0.216774</v>
      </c>
      <c r="EE2" s="64" t="n">
        <v>987240770</v>
      </c>
      <c r="EF2" s="60" t="inlineStr">
        <is>
          <t>Mechanism B</t>
        </is>
      </c>
      <c r="EG2" s="59" t="inlineStr">
        <is>
          <t>FINI (from 22/11/2023); 2025-08-04 pricing reform (Mechanism A/B; six-month cornerstone lock-up retained); this IPO: Mechanism B</t>
        </is>
      </c>
      <c r="EH2" t="inlineStr">
        <is>
          <t>安克创新科技股份有限公司</t>
        </is>
      </c>
      <c r="EI2" s="174" t="inlineStr">
        <is>
          <t>Active</t>
        </is>
      </c>
      <c r="EJ2" s="175" t="n">
        <v>106.373</v>
      </c>
      <c r="EK2" s="176" t="n">
        <v>-0.06668200000000001</v>
      </c>
      <c r="EL2" s="176" t="n">
        <v>0.07101300000000001</v>
      </c>
      <c r="EM2" s="176" t="n">
        <v>0.119405</v>
      </c>
      <c r="EN2" s="176" t="n">
        <v>0.09214700000000001</v>
      </c>
      <c r="EO2" s="179" t="n">
        <v>0.8338</v>
      </c>
      <c r="EP2" s="179" t="n">
        <v>0.8546</v>
      </c>
      <c r="EQ2" s="178" t="n">
        <v>106723479</v>
      </c>
      <c r="ER2" s="175" t="n"/>
      <c r="ES2" s="176" t="n"/>
      <c r="ET2" s="176" t="n"/>
      <c r="EU2" s="176" t="n"/>
      <c r="EV2" s="176" t="n"/>
      <c r="EW2" s="179" t="n"/>
      <c r="EX2" s="179" t="n"/>
      <c r="EY2" s="178" t="n"/>
      <c r="EZ2" s="176" t="n"/>
      <c r="FA2" s="176" t="n"/>
      <c r="FB2" s="179" t="n"/>
      <c r="FC2" s="176" t="n"/>
      <c r="FD2" s="179" t="n"/>
      <c r="FE2" s="174" t="inlineStr">
        <is>
          <t>Standard</t>
        </is>
      </c>
      <c r="FF2" s="181" t="inlineStr">
        <is>
          <t>China International Capital Corporation / Sponsor-OC</t>
        </is>
      </c>
      <c r="FG2" s="185" t="inlineStr">
        <is>
          <t>2026-08-01</t>
        </is>
      </c>
      <c r="FH2" s="183" t="n">
        <v>0</v>
      </c>
      <c r="FI2" s="178" t="n">
        <v>0</v>
      </c>
      <c r="FJ2" s="176" t="n">
        <v>0.15</v>
      </c>
      <c r="FK2" s="185" t="inlineStr">
        <is>
          <t>2026-08-01</t>
        </is>
      </c>
      <c r="FL2" s="178" t="n">
        <v>0</v>
      </c>
      <c r="FM2" s="176" t="n">
        <v>0</v>
      </c>
      <c r="FN2" s="176" t="n">
        <v>0.056107</v>
      </c>
      <c r="FO2" s="176" t="n">
        <v>0.110932</v>
      </c>
      <c r="FP2" s="176" t="n">
        <v>0.313173</v>
      </c>
      <c r="FQ2" s="176" t="n">
        <v>-0.08774</v>
      </c>
      <c r="FR2" s="179" t="n">
        <v>0.8691</v>
      </c>
      <c r="FS2" s="176" t="n">
        <v>-0.06668200000000001</v>
      </c>
      <c r="FT2" s="179" t="n">
        <v>0.8338</v>
      </c>
      <c r="FU2" s="176" t="n"/>
      <c r="FV2" s="179" t="n"/>
      <c r="FW2" s="179" t="n"/>
      <c r="FX2" s="178" t="n"/>
      <c r="FY2" s="186" t="n">
        <v>0.001408387096774194</v>
      </c>
      <c r="FZ2" s="183" t="n">
        <v>0</v>
      </c>
      <c r="GA2" s="176" t="n">
        <v>0.04865072473091167</v>
      </c>
      <c r="GB2" s="176" t="n">
        <v>0.190835</v>
      </c>
      <c r="GC2" s="185" t="inlineStr">
        <is>
          <t>2027-01-02</t>
        </is>
      </c>
      <c r="GD2" s="185" t="inlineStr">
        <is>
          <t>2027-07-02</t>
        </is>
      </c>
      <c r="GE2" s="176" t="n"/>
      <c r="GF2" s="176" t="n"/>
      <c r="GG2" s="179" t="n"/>
      <c r="GH2" s="181" t="inlineStr">
        <is>
          <t>CICC</t>
        </is>
      </c>
      <c r="GI2" s="183" t="n">
        <v>2</v>
      </c>
      <c r="GJ2" s="183" t="n">
        <v>0</v>
      </c>
      <c r="GK2" s="176" t="n">
        <v>0.025</v>
      </c>
      <c r="GL2" s="176" t="n">
        <v>0.01</v>
      </c>
      <c r="GM2" s="176" t="n">
        <v>0.035</v>
      </c>
      <c r="GN2" s="183" t="n">
        <v>4</v>
      </c>
      <c r="GO2" s="183" t="n">
        <v>0</v>
      </c>
      <c r="GP2" s="183" t="n">
        <v>0</v>
      </c>
      <c r="GQ2" s="183" t="n">
        <v>6</v>
      </c>
      <c r="GR2" s="183" t="n">
        <v>0</v>
      </c>
      <c r="GS2" s="181" t="inlineStr">
        <is>
          <t>POST_FINI</t>
        </is>
      </c>
      <c r="GT2" s="181" t="inlineStr">
        <is>
          <t>POST_2025_REFORM</t>
        </is>
      </c>
    </row>
    <row r="3" ht="51" customFormat="1" customHeight="1" s="12">
      <c r="A3" s="43" t="n">
        <v>88</v>
      </c>
      <c r="B3" s="47" t="inlineStr">
        <is>
          <t>2667.HK</t>
        </is>
      </c>
      <c r="C3" s="44" t="inlineStr">
        <is>
          <t>Beijing Tong Ren Tang Healthcare Investment Co., Ltd. - H Shares</t>
        </is>
      </c>
      <c r="D3" s="130" t="n">
        <v>46199</v>
      </c>
      <c r="E3" s="48" t="n">
        <v>46210</v>
      </c>
      <c r="F3" s="43" t="inlineStr">
        <is>
          <t>China International Capital Corporation Hong Kong Securities Limited</t>
        </is>
      </c>
      <c r="G3" s="43" t="inlineStr">
        <is>
          <t>Ernst &amp; Young</t>
        </is>
      </c>
      <c r="H3" s="43" t="inlineStr">
        <is>
          <t>Jones Lang LaSalle Corporate Appraisal and Advisory Limited</t>
        </is>
      </c>
      <c r="I3" s="131" t="n">
        <v>59485250</v>
      </c>
      <c r="J3" s="132" t="n">
        <v>535359000</v>
      </c>
      <c r="K3" s="133" t="n">
        <v>5.5</v>
      </c>
      <c r="L3" t="n">
        <v>465362049</v>
      </c>
      <c r="M3" s="67" t="n">
        <v>108153500</v>
      </c>
      <c r="N3" t="n">
        <v>357208549</v>
      </c>
      <c r="O3" t="n">
        <v>357208549</v>
      </c>
      <c r="P3" t="n">
        <v>0</v>
      </c>
      <c r="Q3" t="n">
        <v>108153500</v>
      </c>
      <c r="R3" s="67" t="n">
        <v>97338000</v>
      </c>
      <c r="S3" s="67" t="n">
        <v>10815500</v>
      </c>
      <c r="T3" s="134" t="n">
        <v>6.21</v>
      </c>
      <c r="U3" s="134" t="n">
        <v>5.48</v>
      </c>
      <c r="V3" s="169" t="n">
        <v>-0.059025</v>
      </c>
      <c r="W3" s="169" t="n">
        <v>0.124893</v>
      </c>
      <c r="X3" s="170" t="inlineStr">
        <is>
          <t>Within range</t>
        </is>
      </c>
      <c r="Y3" s="26" t="inlineStr">
        <is>
          <t>RMB</t>
        </is>
      </c>
      <c r="Z3" s="137" t="n">
        <v>1171185000</v>
      </c>
      <c r="AA3" s="137" t="n">
        <v>1370388000</v>
      </c>
      <c r="AB3" s="137" t="n">
        <v>1378102000</v>
      </c>
      <c r="AC3" s="137" t="n">
        <v>563337000</v>
      </c>
      <c r="AD3" s="137" t="n">
        <v>706574000</v>
      </c>
      <c r="AE3" s="137" t="n">
        <v>729085000</v>
      </c>
      <c r="AF3" s="137" t="n">
        <v>607848000</v>
      </c>
      <c r="AG3" s="137" t="n">
        <v>663814000</v>
      </c>
      <c r="AH3" s="137" t="n">
        <v>649017000</v>
      </c>
      <c r="AI3" s="137" t="n">
        <v>1153126000</v>
      </c>
      <c r="AJ3" s="137" t="n">
        <v>1175118000</v>
      </c>
      <c r="AK3" s="137" t="n">
        <v>1171315000</v>
      </c>
      <c r="AL3" s="137" t="n">
        <v>65481000</v>
      </c>
      <c r="AM3" s="137" t="n">
        <v>61375000</v>
      </c>
      <c r="AN3" s="137" t="n">
        <v>48249000</v>
      </c>
      <c r="AO3" s="137" t="n">
        <v>42634000</v>
      </c>
      <c r="AP3" s="137" t="n">
        <v>46197000</v>
      </c>
      <c r="AQ3" s="137" t="n">
        <v>33750000</v>
      </c>
      <c r="AR3" s="135" t="n">
        <v>0.025</v>
      </c>
      <c r="AS3" s="135" t="n">
        <v>0.025</v>
      </c>
      <c r="AT3" s="70" t="n">
        <v>0.15</v>
      </c>
      <c r="AU3" s="51" t="inlineStr">
        <is>
          <t>TCM healthcare services</t>
        </is>
      </c>
      <c r="AV3" s="51" t="inlineStr">
        <is>
          <t>Main Board - Rule 8.05(2) (market capitalisation/revenue/cash flow test)</t>
        </is>
      </c>
      <c r="AW3" s="136" t="n">
        <v>46022</v>
      </c>
      <c r="AX3" s="137" t="n">
        <v>119905000</v>
      </c>
      <c r="AY3" s="117" t="n">
        <v>287699000</v>
      </c>
      <c r="AZ3" s="117" t="inlineStr">
        <is>
          <t>NaN</t>
        </is>
      </c>
      <c r="BA3" s="117" t="n">
        <v>0</v>
      </c>
      <c r="BB3" s="138" t="n">
        <v>0.043</v>
      </c>
      <c r="BC3" s="139" t="n">
        <v>1</v>
      </c>
      <c r="BD3" s="80" t="n">
        <v>1</v>
      </c>
      <c r="BE3" s="161" t="n">
        <v>1</v>
      </c>
      <c r="BF3" s="161" t="n">
        <v>1</v>
      </c>
      <c r="BG3" s="161" t="n">
        <v>1</v>
      </c>
      <c r="BH3" s="161" t="n">
        <v>1</v>
      </c>
      <c r="BI3" s="161" t="n">
        <v>0</v>
      </c>
      <c r="BJ3" s="162" t="inlineStr">
        <is>
          <t>TRT Senior Care Fund; TRT Medical Fund; Tongqing Fund; Tongkang Fund; Mr. Zhu; Ms. Pan</t>
        </is>
      </c>
      <c r="BK3" s="163" t="n">
        <v>0.1214</v>
      </c>
      <c r="BL3" s="161" t="n">
        <v>1</v>
      </c>
      <c r="BM3" s="164" t="inlineStr">
        <is>
          <t>Pre-IPO Investment (March 2024)</t>
        </is>
      </c>
      <c r="BN3" s="165" t="n">
        <v>2.29</v>
      </c>
      <c r="BO3" s="51" t="inlineStr">
        <is>
          <t>State-owned enterprise (SOE)</t>
        </is>
      </c>
      <c r="BP3" s="135" t="n">
        <v>0.7203000000000001</v>
      </c>
      <c r="BQ3" s="135" t="n">
        <v>0.7203000000000001</v>
      </c>
      <c r="BR3" s="137" t="n">
        <v>355690000</v>
      </c>
      <c r="BS3" s="73" t="inlineStr">
        <is>
          <t>NA</t>
        </is>
      </c>
      <c r="BT3" s="142" t="n">
        <v>0.263</v>
      </c>
      <c r="BU3" s="60" t="inlineStr">
        <is>
          <t>Main Board</t>
        </is>
      </c>
      <c r="BV3" s="89" t="inlineStr">
        <is>
          <t>H Shares</t>
        </is>
      </c>
      <c r="BW3" s="61" t="n">
        <v>0</v>
      </c>
      <c r="BX3" s="77" t="n">
        <v>0</v>
      </c>
      <c r="BY3" s="77" t="n">
        <v>0</v>
      </c>
      <c r="BZ3" s="78" t="n">
        <v>0</v>
      </c>
      <c r="CA3" s="60" t="inlineStr">
        <is>
          <t>282020</t>
        </is>
      </c>
      <c r="CB3" s="76" t="inlineStr">
        <is>
          <t>HSICS (Hang Seng Industry Classification System) 2026</t>
        </is>
      </c>
      <c r="CC3" s="140" t="n">
        <v>42080</v>
      </c>
      <c r="CD3" s="171" t="n">
        <v>11.31</v>
      </c>
      <c r="CE3" s="76" t="inlineStr">
        <is>
          <t>PRC</t>
        </is>
      </c>
      <c r="CF3" s="89" t="inlineStr">
        <is>
          <t>5th Floor, Tower A, Yonggui Center, No. 47 Guangqumennei Street, Dongcheng District, Beijing, PRC</t>
        </is>
      </c>
      <c r="CG3" s="91" t="n">
        <v>1000</v>
      </c>
      <c r="CH3" s="60" t="inlineStr">
        <is>
          <t>HKFRS Accounting Standards</t>
        </is>
      </c>
      <c r="CI3" s="141" t="n">
        <v>44927</v>
      </c>
      <c r="CJ3" s="141" t="n">
        <v>45291</v>
      </c>
      <c r="CK3" s="141" t="n">
        <v>45292</v>
      </c>
      <c r="CL3" s="141" t="n">
        <v>45657</v>
      </c>
      <c r="CM3" s="141" t="n">
        <v>45658</v>
      </c>
      <c r="CN3" s="92" t="n">
        <v>1171315000</v>
      </c>
      <c r="CO3" s="64" t="n">
        <v>48249000</v>
      </c>
      <c r="CP3" s="64" t="n">
        <v>33750000</v>
      </c>
      <c r="CQ3" s="141" t="n">
        <v>46199</v>
      </c>
      <c r="CR3" s="141" t="n">
        <v>46205</v>
      </c>
      <c r="CS3" s="63" t="n">
        <v>218292524</v>
      </c>
      <c r="CT3" s="64" t="n">
        <v>221808000</v>
      </c>
      <c r="CU3" s="64" t="n">
        <v>22297000</v>
      </c>
      <c r="CV3" s="59" t="inlineStr">
        <is>
          <t>Unqualified opinion</t>
        </is>
      </c>
      <c r="CW3" s="64" t="n">
        <v>69700000</v>
      </c>
      <c r="CX3" s="51" t="inlineStr">
        <is>
          <t>Airport Technology Capital; Aurora SF; CICCFT (in connection with OTC Swaps)</t>
        </is>
      </c>
      <c r="CY3" s="142" t="n">
        <v>0.4977</v>
      </c>
      <c r="CZ3" s="136" t="n">
        <v>46394</v>
      </c>
      <c r="DA3" s="143" t="n">
        <v>251.74</v>
      </c>
      <c r="DB3" s="63" t="n">
        <v>66390</v>
      </c>
      <c r="DC3" s="63" t="n">
        <v>2722693970</v>
      </c>
      <c r="DD3" s="59" t="inlineStr">
        <is>
          <t>Subscription level 251.74 times</t>
        </is>
      </c>
      <c r="DE3" s="141" t="n">
        <v>46206</v>
      </c>
      <c r="DF3" s="141" t="n">
        <v>46209</v>
      </c>
      <c r="DG3" s="63" t="n">
        <v>108153500</v>
      </c>
      <c r="DH3" s="63" t="n">
        <v>10815500</v>
      </c>
      <c r="DI3" s="63" t="n">
        <v>97338000</v>
      </c>
      <c r="DJ3" s="63" t="n">
        <v>0</v>
      </c>
      <c r="DK3" s="169" t="n">
        <v>0</v>
      </c>
      <c r="DL3" s="59" t="inlineStr">
        <is>
          <t>Reallocation N/A; Final no. of Offer Shares under Hong Kong Public Offering 10,815,500 (10.00%)</t>
        </is>
      </c>
      <c r="DM3" s="144" t="n">
        <v>532400000</v>
      </c>
      <c r="DN3" s="142" t="n">
        <v>0.25</v>
      </c>
      <c r="DO3" s="51" t="n">
        <v>465362049</v>
      </c>
      <c r="DP3" s="142" t="n">
        <v>0.1167</v>
      </c>
      <c r="DQ3" s="59" t="inlineStr">
        <is>
          <t>Free float denominator = total issued shares upon listing (col_CZ); numerator = offer shares minus cornerstone allocation</t>
        </is>
      </c>
      <c r="DR3" s="63" t="n">
        <v>465362049</v>
      </c>
      <c r="DS3" s="142" t="n">
        <v>-0.08888583999999999</v>
      </c>
      <c r="DT3" s="80" t="n">
        <v>38</v>
      </c>
      <c r="DU3" s="142" t="n">
        <v>0.0296113</v>
      </c>
      <c r="DV3" s="144" t="n">
        <v>54001000000</v>
      </c>
      <c r="DW3" s="145" t="n">
        <v>3.35</v>
      </c>
      <c r="DX3" s="169" t="n">
        <v>-0.390909</v>
      </c>
      <c r="DY3" s="172" t="n">
        <v>-232530025</v>
      </c>
      <c r="DZ3" s="146" t="n">
        <v>4.76</v>
      </c>
      <c r="EA3" s="146" t="n">
        <v>4.79</v>
      </c>
      <c r="EB3" s="146" t="n">
        <v>3.01</v>
      </c>
      <c r="EC3" s="63" t="n">
        <v>43259960</v>
      </c>
      <c r="ED3" s="169" t="n">
        <v>0.399987</v>
      </c>
      <c r="EE3" s="64" t="n">
        <v>163015600</v>
      </c>
      <c r="EF3" s="60" t="inlineStr">
        <is>
          <t>Mechanism B</t>
        </is>
      </c>
      <c r="EG3" s="59" t="inlineStr">
        <is>
          <t>FINI (from 22/11/2023); 2025-08-04 pricing reform (Mechanism A/B; six-month cornerstone lock-up retained); this IPO: Mechanism B</t>
        </is>
      </c>
      <c r="EH3" t="inlineStr">
        <is>
          <t>北京同仁堂医养投资股份有限公司</t>
        </is>
      </c>
      <c r="EI3" s="174" t="inlineStr">
        <is>
          <t>Active</t>
        </is>
      </c>
      <c r="EJ3" s="175" t="n">
        <v>3</v>
      </c>
      <c r="EK3" s="176" t="n">
        <v>-0.104478</v>
      </c>
      <c r="EL3" s="176" t="n">
        <v>-0.454545</v>
      </c>
      <c r="EM3" s="176" t="n">
        <v>0.106929</v>
      </c>
      <c r="EN3" s="176" t="n">
        <v>0.081777</v>
      </c>
      <c r="EO3" s="179" t="n">
        <v>0.8090000000000001</v>
      </c>
      <c r="EP3" s="179" t="n">
        <v>0.8278</v>
      </c>
      <c r="EQ3" s="178" t="n">
        <v>12855415</v>
      </c>
      <c r="ER3" s="175" t="n"/>
      <c r="ES3" s="176" t="n"/>
      <c r="ET3" s="176" t="n"/>
      <c r="EU3" s="176" t="n"/>
      <c r="EV3" s="176" t="n"/>
      <c r="EW3" s="179" t="n"/>
      <c r="EX3" s="179" t="n"/>
      <c r="EY3" s="178" t="n"/>
      <c r="EZ3" s="176" t="n"/>
      <c r="FA3" s="176" t="n"/>
      <c r="FB3" s="179" t="n"/>
      <c r="FC3" s="176" t="n"/>
      <c r="FD3" s="179" t="n"/>
      <c r="FE3" s="174" t="inlineStr">
        <is>
          <t>Standard</t>
        </is>
      </c>
      <c r="FF3" s="181" t="inlineStr">
        <is>
          <t>China International Capital Corporation / Sponsor-OC</t>
        </is>
      </c>
      <c r="FG3" s="185" t="inlineStr">
        <is>
          <t>2026-08-06</t>
        </is>
      </c>
      <c r="FH3" s="183" t="n">
        <v>0</v>
      </c>
      <c r="FI3" s="178" t="n">
        <v>0</v>
      </c>
      <c r="FJ3" s="176" t="n">
        <v>0.15</v>
      </c>
      <c r="FK3" s="185" t="inlineStr">
        <is>
          <t>2026-08-06</t>
        </is>
      </c>
      <c r="FL3" s="178" t="n">
        <v>0</v>
      </c>
      <c r="FM3" s="176" t="n">
        <v>0</v>
      </c>
      <c r="FN3" s="176" t="n">
        <v>0.035316</v>
      </c>
      <c r="FO3" s="176" t="n">
        <v>-0.132007</v>
      </c>
      <c r="FP3" s="176" t="n">
        <v>0.049701</v>
      </c>
      <c r="FQ3" s="176" t="n">
        <v>-0.202985</v>
      </c>
      <c r="FR3" s="179" t="n">
        <v>0.7734</v>
      </c>
      <c r="FS3" s="176" t="n">
        <v>-0.104478</v>
      </c>
      <c r="FT3" s="179" t="n">
        <v>0.8090000000000001</v>
      </c>
      <c r="FU3" s="176" t="n"/>
      <c r="FV3" s="179" t="n"/>
      <c r="FW3" s="179" t="n"/>
      <c r="FX3" s="178" t="n"/>
      <c r="FY3" s="186" t="n">
        <v>0.04703323728813559</v>
      </c>
      <c r="FZ3" s="183" t="n">
        <v>0</v>
      </c>
      <c r="GA3" s="176" t="n">
        <v>0.06073773315225533</v>
      </c>
      <c r="GB3" s="176" t="n">
        <v>0.54071</v>
      </c>
      <c r="GC3" s="185" t="inlineStr">
        <is>
          <t>2027-01-07</t>
        </is>
      </c>
      <c r="GD3" s="185" t="inlineStr">
        <is>
          <t>2027-07-07</t>
        </is>
      </c>
      <c r="GE3" s="176" t="n"/>
      <c r="GF3" s="176" t="n"/>
      <c r="GG3" s="179" t="n"/>
      <c r="GH3" s="181" t="inlineStr">
        <is>
          <t>CICC</t>
        </is>
      </c>
      <c r="GI3" s="183" t="n">
        <v>2</v>
      </c>
      <c r="GJ3" s="183" t="n">
        <v>0</v>
      </c>
      <c r="GK3" s="176" t="n">
        <v>0.025</v>
      </c>
      <c r="GL3" s="176" t="n">
        <v>0.01</v>
      </c>
      <c r="GM3" s="176" t="n">
        <v>0.035</v>
      </c>
      <c r="GN3" s="183" t="n">
        <v>4</v>
      </c>
      <c r="GO3" s="183" t="n">
        <v>0</v>
      </c>
      <c r="GP3" s="183" t="n">
        <v>0</v>
      </c>
      <c r="GQ3" s="183" t="n">
        <v>6</v>
      </c>
      <c r="GR3" s="183" t="n">
        <v>0</v>
      </c>
      <c r="GS3" s="181" t="inlineStr">
        <is>
          <t>POST_FINI</t>
        </is>
      </c>
      <c r="GT3" s="181" t="inlineStr">
        <is>
          <t>POST_2025_REFORM</t>
        </is>
      </c>
    </row>
    <row r="4" ht="34" customFormat="1" customHeight="1" s="12">
      <c r="A4" s="43" t="n">
        <v>91</v>
      </c>
      <c r="B4" s="47" t="inlineStr">
        <is>
          <t>6880.HK</t>
        </is>
      </c>
      <c r="C4" s="44" t="inlineStr">
        <is>
          <t>MOMENTA GLOBAL LIMITED - W</t>
        </is>
      </c>
      <c r="D4" s="130" t="n">
        <v>46202</v>
      </c>
      <c r="E4" s="48" t="n">
        <v>46211</v>
      </c>
      <c r="F4" s="43" t="inlineStr">
        <is>
          <t>China International Capital Corporation Hong Kong Securities Limited /
Deutsche Securities Asia Limited</t>
        </is>
      </c>
      <c r="G4" s="43" t="inlineStr">
        <is>
          <t>Deloitte Touche Tohmatsu</t>
        </is>
      </c>
      <c r="H4" s="43" t="n"/>
      <c r="I4" s="131" t="n">
        <v>589379104</v>
      </c>
      <c r="J4" s="132" t="n">
        <v>5304382376</v>
      </c>
      <c r="K4" s="133" t="n">
        <v>295.6</v>
      </c>
      <c r="L4" s="81" t="n">
        <v>235538011</v>
      </c>
      <c r="M4" s="82" t="n">
        <v>19938300</v>
      </c>
      <c r="N4" s="81" t="n">
        <v>215599711</v>
      </c>
      <c r="O4" s="81" t="n">
        <v>215599711</v>
      </c>
      <c r="P4" s="81" t="n">
        <v>0</v>
      </c>
      <c r="Q4" s="81" t="n">
        <v>19938300</v>
      </c>
      <c r="R4" s="82" t="n">
        <v>17944460</v>
      </c>
      <c r="S4" s="82" t="n">
        <v>1993840</v>
      </c>
      <c r="T4" s="147" t="n">
        <v>295.6</v>
      </c>
      <c r="U4" s="147" t="n">
        <v>295.6</v>
      </c>
      <c r="V4" s="169" t="n">
        <v>0</v>
      </c>
      <c r="W4" s="169" t="n">
        <v>0</v>
      </c>
      <c r="X4" s="170" t="inlineStr">
        <is>
          <t>Fixed price</t>
        </is>
      </c>
      <c r="Y4" s="26" t="inlineStr">
        <is>
          <t>RMB</t>
        </is>
      </c>
      <c r="Z4" s="137" t="n">
        <v>4744508000</v>
      </c>
      <c r="AA4" s="137" t="n">
        <v>4543101000</v>
      </c>
      <c r="AB4" s="137" t="n">
        <v>12901113000</v>
      </c>
      <c r="AC4" s="137" t="n">
        <v>-11977557000</v>
      </c>
      <c r="AD4" s="137" t="n">
        <v>-15149172000</v>
      </c>
      <c r="AE4" s="137" t="n">
        <v>-17891206000</v>
      </c>
      <c r="AF4" s="137" t="n">
        <v>16722065000</v>
      </c>
      <c r="AG4" s="137" t="n">
        <v>19692273000</v>
      </c>
      <c r="AH4" s="137" t="n">
        <v>30792319000</v>
      </c>
      <c r="AI4" s="137" t="n">
        <v>742745000</v>
      </c>
      <c r="AJ4" s="137" t="n">
        <v>1324688000</v>
      </c>
      <c r="AK4" s="137" t="n">
        <v>2412523000</v>
      </c>
      <c r="AL4" s="137" t="n">
        <v>-2558870000</v>
      </c>
      <c r="AM4" s="137" t="n">
        <v>-3199143000</v>
      </c>
      <c r="AN4" s="137" t="n">
        <v>-3429308000</v>
      </c>
      <c r="AO4" s="137" t="n">
        <v>-2570342000</v>
      </c>
      <c r="AP4" s="137" t="n">
        <v>-3205730000</v>
      </c>
      <c r="AQ4" s="137" t="n">
        <v>-3457912000</v>
      </c>
      <c r="AR4" s="135" t="n">
        <v>0.02</v>
      </c>
      <c r="AS4" s="135" t="n">
        <v>0.02</v>
      </c>
      <c r="AT4" s="84" t="n">
        <v>0.15</v>
      </c>
      <c r="AU4" s="51" t="inlineStr">
        <is>
          <t>Autonomous driving (driving automation) solutions — software solutions for mass-produced vehicles and scalable robotaxi services</t>
        </is>
      </c>
      <c r="AV4" s="51" t="inlineStr">
        <is>
          <t>Main Board of the Stock Exchange — Rule 8.05(3) market capitalisation/revenue test, with WVR under Chapter 8A (Rule 8A.06(2))</t>
        </is>
      </c>
      <c r="AW4" s="136" t="n">
        <v>46022</v>
      </c>
      <c r="AX4" s="137" t="n">
        <v>-281382000</v>
      </c>
      <c r="AY4" s="117" t="n">
        <v>1306776000</v>
      </c>
      <c r="AZ4" s="117" t="n">
        <v>1868906000</v>
      </c>
      <c r="BA4" s="117" t="n">
        <v>0</v>
      </c>
      <c r="BB4" s="138" t="n">
        <v>0.626</v>
      </c>
      <c r="BC4" s="139" t="n">
        <v>1</v>
      </c>
      <c r="BD4" s="80" t="n">
        <v>1</v>
      </c>
      <c r="BE4" s="161" t="n">
        <v>1</v>
      </c>
      <c r="BF4" s="161" t="n">
        <v>1</v>
      </c>
      <c r="BG4" s="161" t="n">
        <v>1</v>
      </c>
      <c r="BH4" s="161" t="n">
        <v>1</v>
      </c>
      <c r="BI4" s="161" t="n">
        <v>1</v>
      </c>
      <c r="BJ4" s="162" t="inlineStr">
        <is>
          <t>SAIC (ZJSmart Holdings Limited); General Motors Holdings LLC; Mercedes-Benz AG; Temasek (Anderson Investments Pte. Ltd.); Shunwei Capital (Talented Ventures Limited, Astrend Opportunity III Alpha Limited); EV Ventures L.L.C-FZ; NIO Capital (Nio Momentum LLC, Nio Momentum II LLC, Andante Symphony Limited); YF Momenta Limited (Yunfeng); Blue Lake Capital; Ant Group (Accelerator XVI Ltd., ANTFIN Singapore Holding Pte. Ltd.); Tencent (Image Frame Investment (HK) Limited); E-Town Capital; Toyota Motor Corporation; Granite Asia (GGV Capital VI L.P., GGV Capital VI Entrepreneurs Fund L.P., GGV Capital VI Plus L.P., Granite Asia IX VCC); Aldrich Bay Limited; Sinovation Fund III, L.P.; CT Prime MMT Limited; Grower International Limited; GCBM Holdings Limited; CDH Investments (Cognitive Dynamics Limited, OG Blaze Dynamics Limited); Zhen Partners Fund IV, L.P.</t>
        </is>
      </c>
      <c r="BK4" s="163" t="n">
        <v>0.8374</v>
      </c>
      <c r="BL4" s="161" t="n">
        <v>1</v>
      </c>
      <c r="BM4" s="164" t="inlineStr">
        <is>
          <t>Series A financing (agreement dated January 16, 2017)</t>
        </is>
      </c>
      <c r="BN4" s="165" t="n">
        <v>9.449999999999999</v>
      </c>
      <c r="BO4" s="51" t="inlineStr">
        <is>
          <t>Natural persons acting in concert (Mr. Cao and the concert party group of Controlling Shareholders)</t>
        </is>
      </c>
      <c r="BP4" s="135" t="n">
        <v>0.1485</v>
      </c>
      <c r="BQ4" s="135" t="n">
        <v>0.5985</v>
      </c>
      <c r="BR4" s="137" t="n">
        <v>29862900000</v>
      </c>
      <c r="BS4" s="73" t="inlineStr">
        <is>
          <t>Commercialized mass-production of L2/L3 Urban NOA solutions for OEMs; early stage of L3/L4 deployment (Robotaxi commercial operations in limited PRC cities)</t>
        </is>
      </c>
      <c r="BT4" s="142" t="n">
        <v>0</v>
      </c>
      <c r="BU4" s="60" t="inlineStr">
        <is>
          <t>Main Board</t>
        </is>
      </c>
      <c r="BV4" s="89" t="inlineStr">
        <is>
          <t>Class A Ordinary Shares</t>
        </is>
      </c>
      <c r="BW4" s="61" t="n">
        <v>0</v>
      </c>
      <c r="BX4" s="77" t="n">
        <v>1</v>
      </c>
      <c r="BY4" s="77" t="n">
        <v>0</v>
      </c>
      <c r="BZ4" s="78" t="n">
        <v>0</v>
      </c>
      <c r="CA4" s="60" t="inlineStr">
        <is>
          <t>702015</t>
        </is>
      </c>
      <c r="CB4" s="76" t="inlineStr">
        <is>
          <t>HSICS (Hang Seng Industry Classification System) 2026</t>
        </is>
      </c>
      <c r="CC4" s="140" t="n">
        <v>42632</v>
      </c>
      <c r="CD4" s="171" t="n">
        <v>9.800000000000001</v>
      </c>
      <c r="CE4" s="76" t="inlineStr">
        <is>
          <t>Cayman Islands</t>
        </is>
      </c>
      <c r="CF4" s="89" t="inlineStr">
        <is>
          <t>23/F, Tiancheng Times Business Square, No. 58 Qinglonggang Road, Xiangcheng District, Suzhou, Jiangsu, PRC</t>
        </is>
      </c>
      <c r="CG4" s="91" t="n">
        <v>1000</v>
      </c>
      <c r="CH4" s="60" t="inlineStr">
        <is>
          <t>IFRS Accounting Standards</t>
        </is>
      </c>
      <c r="CI4" s="141" t="n">
        <v>44927</v>
      </c>
      <c r="CJ4" s="141" t="n">
        <v>45291</v>
      </c>
      <c r="CK4" s="141" t="n">
        <v>45292</v>
      </c>
      <c r="CL4" s="141" t="n">
        <v>45657</v>
      </c>
      <c r="CM4" s="141" t="n">
        <v>45658</v>
      </c>
      <c r="CN4" s="64" t="n">
        <v>2412523000</v>
      </c>
      <c r="CO4" s="64" t="n">
        <v>-3429308000</v>
      </c>
      <c r="CP4" s="64" t="n">
        <v>-3457912000</v>
      </c>
      <c r="CQ4" s="141" t="n">
        <v>46202</v>
      </c>
      <c r="CR4" s="141" t="n">
        <v>46206</v>
      </c>
      <c r="CS4" s="63" t="n">
        <v>235538011</v>
      </c>
      <c r="CT4" s="64" t="n">
        <v>1726767000</v>
      </c>
      <c r="CU4" s="64" t="n">
        <v>91000000</v>
      </c>
      <c r="CV4" s="59" t="inlineStr">
        <is>
          <t>Unqualified — true and fair view</t>
        </is>
      </c>
      <c r="CW4" s="64" t="n">
        <v>279200000</v>
      </c>
      <c r="CX4" s="51" t="inlineStr">
        <is>
          <t>GIC; Fidelity International; BlackRock; Mercedes-Benz AG; Oaktree; Golden Link; Franklin Templeton; Boyu; Gaoyi Entities; CPIC; GF Fund; ChinaAMC (HK); Suzhou Mosu; GigaDevice</t>
        </is>
      </c>
      <c r="CY4" s="142" t="n">
        <v>0.4995</v>
      </c>
      <c r="CZ4" s="136" t="n">
        <v>46395</v>
      </c>
      <c r="DA4" s="143" t="n">
        <v>413.63</v>
      </c>
      <c r="DB4" s="63" t="n">
        <v>209045</v>
      </c>
      <c r="DC4" s="63" t="n">
        <v>824712149</v>
      </c>
      <c r="DD4" s="59" t="inlineStr">
        <is>
          <t>Subscription level 413.63 times</t>
        </is>
      </c>
      <c r="DE4" s="141" t="inlineStr">
        <is>
          <t>NA</t>
        </is>
      </c>
      <c r="DF4" s="141" t="n">
        <v>46210</v>
      </c>
      <c r="DG4" s="63" t="n">
        <v>19938300</v>
      </c>
      <c r="DH4" s="63" t="n">
        <v>1993840</v>
      </c>
      <c r="DI4" s="63" t="n">
        <v>17944460</v>
      </c>
      <c r="DJ4" s="63" t="n">
        <v>0</v>
      </c>
      <c r="DK4" s="169" t="n">
        <v>0</v>
      </c>
      <c r="DL4" s="59" t="inlineStr">
        <is>
          <t>Claw-back triggered N/A; Final number of Offer Shares under Hong Kong Public Offering 1,993,840 (10.00%)</t>
        </is>
      </c>
      <c r="DM4" s="144" t="n">
        <v>5655900000</v>
      </c>
      <c r="DN4" s="142" t="n">
        <v>0.9727</v>
      </c>
      <c r="DO4" s="51" t="n">
        <v>235538011</v>
      </c>
      <c r="DP4" s="142" t="n">
        <v>0.0424</v>
      </c>
      <c r="DQ4" s="59" t="inlineStr">
        <is>
          <t>Free float denominator = total issued shares upon listing (col_CZ); numerator = offer shares minus cornerstone allocation</t>
        </is>
      </c>
      <c r="DR4" s="63" t="n">
        <v>235538011</v>
      </c>
      <c r="DS4" s="142" t="n">
        <v>-0.09334903999999999</v>
      </c>
      <c r="DT4" s="80" t="n">
        <v>40</v>
      </c>
      <c r="DU4" s="142" t="n">
        <v>0.0295929</v>
      </c>
      <c r="DV4" s="144" t="n">
        <v>53981000000</v>
      </c>
      <c r="DW4" s="145" t="n">
        <v>295.6</v>
      </c>
      <c r="DX4" s="169" t="n">
        <v>0</v>
      </c>
      <c r="DY4" s="172" t="n">
        <v>0</v>
      </c>
      <c r="DZ4" s="146" t="n">
        <v>301</v>
      </c>
      <c r="EA4" s="146" t="n">
        <v>314.8</v>
      </c>
      <c r="EB4" s="146" t="n">
        <v>293.4</v>
      </c>
      <c r="EC4" s="63" t="n">
        <v>4749164</v>
      </c>
      <c r="ED4" s="169" t="n">
        <v>0.238193</v>
      </c>
      <c r="EE4" s="64" t="n">
        <v>1419911690</v>
      </c>
      <c r="EF4" s="60" t="inlineStr">
        <is>
          <t>Mechanism B</t>
        </is>
      </c>
      <c r="EG4" s="59" t="inlineStr">
        <is>
          <t>FINI (from 22/11/2023); 2025-08-04 pricing reform (Mechanism A/B; six-month cornerstone lock-up retained); this IPO: Mechanism B</t>
        </is>
      </c>
      <c r="EH4" t="inlineStr">
        <is>
          <t>NA</t>
        </is>
      </c>
      <c r="EI4" s="174" t="inlineStr">
        <is>
          <t>Active</t>
        </is>
      </c>
      <c r="EJ4" s="175" t="n">
        <v>254.2</v>
      </c>
      <c r="EK4" s="176" t="n">
        <v>-0.140054</v>
      </c>
      <c r="EL4" s="176" t="n">
        <v>-0.140054</v>
      </c>
      <c r="EM4" s="176" t="n">
        <v>0.068326</v>
      </c>
      <c r="EN4" s="176" t="n">
        <v>0.032676</v>
      </c>
      <c r="EO4" s="179" t="n">
        <v>0.8048999999999999</v>
      </c>
      <c r="EP4" s="179" t="n">
        <v>0.8327</v>
      </c>
      <c r="EQ4" s="178" t="n">
        <v>151145346</v>
      </c>
      <c r="ER4" s="175" t="n"/>
      <c r="ES4" s="176" t="n"/>
      <c r="ET4" s="176" t="n"/>
      <c r="EU4" s="176" t="n"/>
      <c r="EV4" s="176" t="n"/>
      <c r="EW4" s="179" t="n"/>
      <c r="EX4" s="179" t="n"/>
      <c r="EY4" s="178" t="n"/>
      <c r="EZ4" s="176" t="n"/>
      <c r="FA4" s="176" t="n"/>
      <c r="FB4" s="179" t="n"/>
      <c r="FC4" s="176" t="n"/>
      <c r="FD4" s="179" t="n"/>
      <c r="FE4" s="174" t="inlineStr">
        <is>
          <t>Standard</t>
        </is>
      </c>
      <c r="FF4" s="181" t="inlineStr">
        <is>
          <t>China International Capital Corporation / Sponsor-OC</t>
        </is>
      </c>
      <c r="FG4" s="185" t="inlineStr">
        <is>
          <t>2026-08-07</t>
        </is>
      </c>
      <c r="FH4" s="183" t="n">
        <v>0</v>
      </c>
      <c r="FI4" s="178" t="n">
        <v>0</v>
      </c>
      <c r="FJ4" s="176" t="n">
        <v>0.15</v>
      </c>
      <c r="FK4" s="185" t="inlineStr">
        <is>
          <t>2026-08-07</t>
        </is>
      </c>
      <c r="FL4" s="178" t="n">
        <v>0</v>
      </c>
      <c r="FM4" s="176" t="n">
        <v>0</v>
      </c>
      <c r="FN4" s="176" t="n">
        <v>0.019011</v>
      </c>
      <c r="FO4" s="176" t="n">
        <v>-0.283892</v>
      </c>
      <c r="FP4" s="176" t="n">
        <v>0.223833</v>
      </c>
      <c r="FQ4" s="176" t="n">
        <v>0</v>
      </c>
      <c r="FR4" s="179" t="n">
        <v>0.9942</v>
      </c>
      <c r="FS4" s="176" t="n">
        <v>-0.140054</v>
      </c>
      <c r="FT4" s="179" t="n">
        <v>0.8048999999999999</v>
      </c>
      <c r="FU4" s="176" t="n"/>
      <c r="FV4" s="179" t="n"/>
      <c r="FW4" s="179" t="n"/>
      <c r="FX4" s="178" t="n"/>
      <c r="FY4" s="186" t="n">
        <v>0.001471293103448276</v>
      </c>
      <c r="FZ4" s="183" t="n">
        <v>0</v>
      </c>
      <c r="GA4" s="176" t="n">
        <v>0.05203510939865279</v>
      </c>
      <c r="GB4" s="176" t="n">
        <v>0.489835</v>
      </c>
      <c r="GC4" s="185" t="inlineStr">
        <is>
          <t>2027-01-08</t>
        </is>
      </c>
      <c r="GD4" s="185" t="inlineStr">
        <is>
          <t>2027-07-08</t>
        </is>
      </c>
      <c r="GE4" s="176" t="n"/>
      <c r="GF4" s="176" t="n"/>
      <c r="GG4" s="179" t="n"/>
      <c r="GH4" s="181" t="inlineStr">
        <is>
          <t>CICC</t>
        </is>
      </c>
      <c r="GI4" s="183" t="n">
        <v>2</v>
      </c>
      <c r="GJ4" s="183" t="n">
        <v>0</v>
      </c>
      <c r="GK4" s="176" t="n">
        <v>0.025</v>
      </c>
      <c r="GL4" s="176" t="n">
        <v>0.01</v>
      </c>
      <c r="GM4" s="176" t="n">
        <v>0.035</v>
      </c>
      <c r="GN4" s="183" t="n">
        <v>4</v>
      </c>
      <c r="GO4" s="183" t="n">
        <v>0</v>
      </c>
      <c r="GP4" s="183" t="n">
        <v>0</v>
      </c>
      <c r="GQ4" s="183" t="n">
        <v>6</v>
      </c>
      <c r="GR4" s="183" t="n">
        <v>0</v>
      </c>
      <c r="GS4" s="181" t="inlineStr">
        <is>
          <t>POST_FINI</t>
        </is>
      </c>
      <c r="GT4" s="181" t="inlineStr">
        <is>
          <t>POST_2025_REFORM</t>
        </is>
      </c>
    </row>
    <row r="5" ht="51" customFormat="1" customHeight="1" s="12">
      <c r="A5" s="43" t="n">
        <v>89</v>
      </c>
      <c r="B5" s="47" t="inlineStr">
        <is>
          <t>7656.HK</t>
        </is>
      </c>
      <c r="C5" s="44" t="inlineStr">
        <is>
          <t>Reconova Technologies Co., Ltd. - H Shares</t>
        </is>
      </c>
      <c r="D5" s="130" t="n">
        <v>46202</v>
      </c>
      <c r="E5" s="48" t="n">
        <v>46211</v>
      </c>
      <c r="F5" s="43" t="inlineStr">
        <is>
          <t>Huatai Financial Holdings (Hong Kong) Limited /
CCB International Capital Limited /
ABCI Capital Limited</t>
        </is>
      </c>
      <c r="G5" s="43" t="inlineStr">
        <is>
          <t>Ernst &amp; Young</t>
        </is>
      </c>
      <c r="H5" s="43" t="n"/>
      <c r="I5" s="131" t="n">
        <v>121672884</v>
      </c>
      <c r="J5" s="132" t="n">
        <v>486691536</v>
      </c>
      <c r="K5" s="133" t="n">
        <v>21.66</v>
      </c>
      <c r="L5" s="81" t="n">
        <v>305292905</v>
      </c>
      <c r="M5" s="82" t="n">
        <v>28087000</v>
      </c>
      <c r="N5" s="81" t="n">
        <v>277205905</v>
      </c>
      <c r="O5" s="81" t="n">
        <v>277205905</v>
      </c>
      <c r="P5" s="81" t="n">
        <v>0</v>
      </c>
      <c r="Q5" s="81" t="n">
        <v>28087000</v>
      </c>
      <c r="R5" s="82" t="n">
        <v>26682600</v>
      </c>
      <c r="S5" s="82" t="n">
        <v>1404400</v>
      </c>
      <c r="T5" s="147" t="n">
        <v>21.66</v>
      </c>
      <c r="U5" s="147" t="n">
        <v>21.66</v>
      </c>
      <c r="V5" s="169" t="n">
        <v>0</v>
      </c>
      <c r="W5" s="169" t="n">
        <v>0</v>
      </c>
      <c r="X5" s="170" t="inlineStr">
        <is>
          <t>Fixed price</t>
        </is>
      </c>
      <c r="Y5" s="26" t="inlineStr">
        <is>
          <t>RMB</t>
        </is>
      </c>
      <c r="Z5" s="137" t="n">
        <v>256817000</v>
      </c>
      <c r="AA5" s="137" t="n">
        <v>418801000</v>
      </c>
      <c r="AB5" s="137" t="n">
        <v>681849000</v>
      </c>
      <c r="AC5" s="137" t="n">
        <v>113598000</v>
      </c>
      <c r="AD5" s="137" t="n">
        <v>121886000</v>
      </c>
      <c r="AE5" s="137" t="n">
        <v>107559000</v>
      </c>
      <c r="AF5" s="137" t="n">
        <v>143219000</v>
      </c>
      <c r="AG5" s="137" t="n">
        <v>296915000</v>
      </c>
      <c r="AH5" s="137" t="n">
        <v>574290000</v>
      </c>
      <c r="AI5" s="137" t="n">
        <v>242375000</v>
      </c>
      <c r="AJ5" s="137" t="n">
        <v>395182000</v>
      </c>
      <c r="AK5" s="137" t="n">
        <v>442955000</v>
      </c>
      <c r="AL5" s="137" t="n">
        <v>-32577000</v>
      </c>
      <c r="AM5" s="137" t="n">
        <v>8288000</v>
      </c>
      <c r="AN5" s="137" t="n">
        <v>-68149000</v>
      </c>
      <c r="AO5" s="137" t="n">
        <v>-32577000</v>
      </c>
      <c r="AP5" s="137" t="n">
        <v>8288000</v>
      </c>
      <c r="AQ5" s="137" t="n">
        <v>-68149000</v>
      </c>
      <c r="AR5" s="135" t="n">
        <v>0.03</v>
      </c>
      <c r="AS5" s="135" t="n">
        <v>0.03</v>
      </c>
      <c r="AT5" s="84" t="n">
        <v>0</v>
      </c>
      <c r="AU5" s="51" t="inlineStr">
        <is>
          <t>Enterprise visual AI products (AI / computer vision) - intelligent civil aviation, intelligent commerce and intelligent driving safety</t>
        </is>
      </c>
      <c r="AV5" s="51" t="inlineStr">
        <is>
          <t>Main Board of the Stock Exchange under Chapter 18C of the Listing Rules (Specialist Technology Company)</t>
        </is>
      </c>
      <c r="AW5" s="136" t="n">
        <v>46022</v>
      </c>
      <c r="AX5" s="137" t="n">
        <v>-125217000</v>
      </c>
      <c r="AY5" s="117" t="n">
        <v>38136000</v>
      </c>
      <c r="AZ5" s="117" t="n">
        <v>71898000</v>
      </c>
      <c r="BA5" s="117" t="n">
        <v>0</v>
      </c>
      <c r="BB5" s="138" t="n">
        <v>0.603</v>
      </c>
      <c r="BC5" s="139" t="n">
        <v>1</v>
      </c>
      <c r="BD5" s="80" t="n">
        <v>1</v>
      </c>
      <c r="BE5" s="161" t="n">
        <v>1</v>
      </c>
      <c r="BF5" s="161" t="n">
        <v>1</v>
      </c>
      <c r="BG5" s="161" t="n">
        <v>1</v>
      </c>
      <c r="BH5" s="161" t="n">
        <v>1</v>
      </c>
      <c r="BI5" s="161" t="n">
        <v>1</v>
      </c>
      <c r="BJ5" s="162" t="inlineStr">
        <is>
          <t>Greenland Financial Holdings Group; SWLVC; TSREIC (L.P.); Intel; Hon Universe Aviation Industry Fund; Nantong Jianghai Fund</t>
        </is>
      </c>
      <c r="BK5" s="163" t="n">
        <v>0.5533</v>
      </c>
      <c r="BL5" s="161" t="n">
        <v>1</v>
      </c>
      <c r="BM5" s="164" t="inlineStr">
        <is>
          <t>Early Investment Equity Transfers</t>
        </is>
      </c>
      <c r="BN5" s="165" t="n">
        <v>11.47</v>
      </c>
      <c r="BO5" s="51" t="inlineStr">
        <is>
          <t>Natural persons acting in concert (group of Controlling Shareholders: Mr. Zhan, Mr. Su Xiaosheng, Ms. Chi Chang, Mr. Han Songguang, Ruiyuan Technology Partnership, Shenzhen Ruiyuan Technology Partnership and Ruiyitong Technology Partnership)</t>
        </is>
      </c>
      <c r="BP5" s="135" t="n">
        <v>0.396</v>
      </c>
      <c r="BQ5" s="135" t="n">
        <v>0.396</v>
      </c>
      <c r="BR5" s="137" t="n">
        <v>164262000</v>
      </c>
      <c r="BS5" s="73" t="inlineStr">
        <is>
          <t>Commercialised (revenue-generating; visual AI products deployed across intelligent civil aviation, intelligent commerce and intelligent driving safety)</t>
        </is>
      </c>
      <c r="BT5" s="142" t="n">
        <v>0</v>
      </c>
      <c r="BU5" s="60" t="inlineStr">
        <is>
          <t>Main Board</t>
        </is>
      </c>
      <c r="BV5" s="89" t="inlineStr">
        <is>
          <t>H Shares</t>
        </is>
      </c>
      <c r="BW5" s="61" t="n">
        <v>0</v>
      </c>
      <c r="BX5" s="77" t="n">
        <v>0</v>
      </c>
      <c r="BY5" s="77" t="n">
        <v>0</v>
      </c>
      <c r="BZ5" s="78" t="n">
        <v>1</v>
      </c>
      <c r="CA5" s="60" t="inlineStr">
        <is>
          <t>702015</t>
        </is>
      </c>
      <c r="CB5" s="76" t="inlineStr">
        <is>
          <t>HSICS (Hang Seng Industry Classification System) 2026</t>
        </is>
      </c>
      <c r="CC5" s="140" t="n">
        <v>40973</v>
      </c>
      <c r="CD5" s="171" t="n">
        <v>14.34</v>
      </c>
      <c r="CE5" s="76" t="inlineStr">
        <is>
          <t>PRC</t>
        </is>
      </c>
      <c r="CF5" s="89" t="inlineStr">
        <is>
          <t>Floor 4-5, Block F, Nanshan Zhi Gu Industry Park, No. 3185 Sha He West Road, Xi Li Road, Nanshan District, Shenzhen, Guangdong Province, the PRC</t>
        </is>
      </c>
      <c r="CG5" s="91" t="n">
        <v>1000</v>
      </c>
      <c r="CH5" s="60" t="inlineStr">
        <is>
          <t>IFRS Accounting Standards</t>
        </is>
      </c>
      <c r="CI5" s="141" t="n">
        <v>44927</v>
      </c>
      <c r="CJ5" s="141" t="n">
        <v>45291</v>
      </c>
      <c r="CK5" s="141" t="n">
        <v>45292</v>
      </c>
      <c r="CL5" s="141" t="n">
        <v>45657</v>
      </c>
      <c r="CM5" s="141" t="n">
        <v>45658</v>
      </c>
      <c r="CN5" s="64" t="n">
        <v>442955000</v>
      </c>
      <c r="CO5" s="64" t="n">
        <v>-68149000</v>
      </c>
      <c r="CP5" s="64" t="n">
        <v>-68149000</v>
      </c>
      <c r="CQ5" s="141" t="n">
        <v>46202</v>
      </c>
      <c r="CR5" s="141" t="n">
        <v>46206</v>
      </c>
      <c r="CS5" s="63" t="n">
        <v>273727616</v>
      </c>
      <c r="CT5" s="64" t="n">
        <v>167091000</v>
      </c>
      <c r="CU5" s="64" t="n">
        <v>1400000</v>
      </c>
      <c r="CV5" s="59" t="inlineStr">
        <is>
          <t>Unqualified opinion (true and fair view)</t>
        </is>
      </c>
      <c r="CW5" s="64" t="n">
        <v>79300000</v>
      </c>
      <c r="CX5" s="51" t="inlineStr">
        <is>
          <t>NA</t>
        </is>
      </c>
      <c r="CY5" s="142" t="n">
        <v>0</v>
      </c>
      <c r="CZ5" s="136" t="inlineStr">
        <is>
          <t>NA</t>
        </is>
      </c>
      <c r="DA5" s="143" t="n">
        <v>3646.06</v>
      </c>
      <c r="DB5" s="63" t="n">
        <v>169551</v>
      </c>
      <c r="DC5" s="63" t="n">
        <v>5120526664</v>
      </c>
      <c r="DD5" s="59" t="inlineStr">
        <is>
          <t>Subscription level 3,646.06 times</t>
        </is>
      </c>
      <c r="DE5" s="141" t="inlineStr">
        <is>
          <t>NA</t>
        </is>
      </c>
      <c r="DF5" s="141" t="n">
        <v>46210</v>
      </c>
      <c r="DG5" s="63" t="n">
        <v>28087000</v>
      </c>
      <c r="DH5" s="63" t="n">
        <v>5617400</v>
      </c>
      <c r="DI5" s="63" t="n">
        <v>22469600</v>
      </c>
      <c r="DJ5" s="63" t="n">
        <v>0</v>
      </c>
      <c r="DK5" s="169" t="n">
        <v>0</v>
      </c>
      <c r="DL5" s="59" t="inlineStr">
        <is>
          <t>Claw-back triggered Yes; Number of Offer Shares initially available under HK Public Offering 1,404,400; Final number 5,617,400 (after reallocation)</t>
        </is>
      </c>
      <c r="DM5" s="144" t="n">
        <v>529100000</v>
      </c>
      <c r="DN5" s="142" t="n">
        <v>0.5006</v>
      </c>
      <c r="DO5" s="51" t="n">
        <v>305292905</v>
      </c>
      <c r="DP5" s="142" t="n">
        <v>0.092</v>
      </c>
      <c r="DQ5" s="59" t="inlineStr">
        <is>
          <t>Free float denominator = total issued shares upon listing (col_CZ); numerator = offer shares minus cornerstone allocation</t>
        </is>
      </c>
      <c r="DR5" s="63" t="n">
        <v>305292905</v>
      </c>
      <c r="DS5" s="142" t="n">
        <v>-0.09334903999999999</v>
      </c>
      <c r="DT5" s="80" t="n">
        <v>40</v>
      </c>
      <c r="DU5" s="142" t="n">
        <v>0.0295929</v>
      </c>
      <c r="DV5" s="144" t="n">
        <v>53981000000</v>
      </c>
      <c r="DW5" s="145" t="n">
        <v>21</v>
      </c>
      <c r="DX5" s="169" t="n">
        <v>-0.030471</v>
      </c>
      <c r="DY5" s="172" t="n">
        <v>-18537420</v>
      </c>
      <c r="DZ5" s="146" t="n">
        <v>18</v>
      </c>
      <c r="EA5" s="146" t="n">
        <v>22.98</v>
      </c>
      <c r="EB5" s="146" t="n">
        <v>15.6</v>
      </c>
      <c r="EC5" s="63" t="n">
        <v>12063516</v>
      </c>
      <c r="ED5" s="169" t="n">
        <v>0.429505</v>
      </c>
      <c r="EE5" s="64" t="n">
        <v>234365800</v>
      </c>
      <c r="EF5" s="60" t="inlineStr">
        <is>
          <t>Mechanism A</t>
        </is>
      </c>
      <c r="EG5" s="59" t="inlineStr">
        <is>
          <t>FINI (from 22/11/2023); 2025-08-04 pricing reform (Mechanism A/B; six-month cornerstone lock-up retained); this IPO: Mechanism A</t>
        </is>
      </c>
      <c r="EH5" t="inlineStr">
        <is>
          <t>厦门瑞为信息技术股份有限公司</t>
        </is>
      </c>
      <c r="EI5" s="174" t="inlineStr">
        <is>
          <t>Active</t>
        </is>
      </c>
      <c r="EJ5" s="175" t="n">
        <v>30.06</v>
      </c>
      <c r="EK5" s="176" t="n">
        <v>0.431429</v>
      </c>
      <c r="EL5" s="176" t="n">
        <v>0.387812</v>
      </c>
      <c r="EM5" s="176" t="n">
        <v>0.068326</v>
      </c>
      <c r="EN5" s="176" t="n">
        <v>0.032676</v>
      </c>
      <c r="EO5" s="179" t="n">
        <v>1.3399</v>
      </c>
      <c r="EP5" s="179" t="n">
        <v>1.3861</v>
      </c>
      <c r="EQ5" s="178" t="n">
        <v>41392410</v>
      </c>
      <c r="ER5" s="175" t="n"/>
      <c r="ES5" s="176" t="n"/>
      <c r="ET5" s="176" t="n"/>
      <c r="EU5" s="176" t="n"/>
      <c r="EV5" s="176" t="n"/>
      <c r="EW5" s="179" t="n"/>
      <c r="EX5" s="179" t="n"/>
      <c r="EY5" s="178" t="n"/>
      <c r="EZ5" s="176" t="n"/>
      <c r="FA5" s="176" t="n"/>
      <c r="FB5" s="179" t="n"/>
      <c r="FC5" s="176" t="n"/>
      <c r="FD5" s="179" t="n"/>
      <c r="FE5" s="174" t="inlineStr">
        <is>
          <t>18C (Specialist Tech)</t>
        </is>
      </c>
      <c r="FF5" s="181" t="inlineStr">
        <is>
          <t>China International Capital Corporation / Sponsor-OC</t>
        </is>
      </c>
      <c r="FG5" s="185" t="inlineStr">
        <is>
          <t>2026-08-07</t>
        </is>
      </c>
      <c r="FH5" s="183" t="n">
        <v>0</v>
      </c>
      <c r="FI5" s="178" t="n">
        <v>0</v>
      </c>
      <c r="FJ5" s="176" t="n">
        <v>0.15</v>
      </c>
      <c r="FK5" s="185" t="inlineStr">
        <is>
          <t>2026-08-07</t>
        </is>
      </c>
      <c r="FL5" s="178" t="n">
        <v>0</v>
      </c>
      <c r="FM5" s="176" t="n">
        <v>0</v>
      </c>
      <c r="FN5" s="176" t="n">
        <v>0.212167</v>
      </c>
      <c r="FO5" s="176" t="n">
        <v>-0.46518</v>
      </c>
      <c r="FP5" s="176" t="n">
        <v>0.296616</v>
      </c>
      <c r="FQ5" s="176" t="n">
        <v>0.375238</v>
      </c>
      <c r="FR5" s="179" t="n">
        <v>1.3673</v>
      </c>
      <c r="FS5" s="176" t="n">
        <v>0.431429</v>
      </c>
      <c r="FT5" s="179" t="n">
        <v>1.3399</v>
      </c>
      <c r="FU5" s="176" t="n"/>
      <c r="FV5" s="179" t="n"/>
      <c r="FW5" s="179" t="n"/>
      <c r="FX5" s="178" t="n"/>
      <c r="FY5" s="186" t="n">
        <v>0.005378155172413793</v>
      </c>
      <c r="FZ5" s="183" t="n">
        <v>0</v>
      </c>
      <c r="GA5" s="176" t="n">
        <v>0.06691498780008513</v>
      </c>
      <c r="GB5" s="176" t="n">
        <v>0.561756</v>
      </c>
      <c r="GC5" s="185" t="inlineStr">
        <is>
          <t>2027-01-08</t>
        </is>
      </c>
      <c r="GD5" s="185" t="inlineStr">
        <is>
          <t>2027-07-08</t>
        </is>
      </c>
      <c r="GE5" s="176" t="n"/>
      <c r="GF5" s="176" t="n"/>
      <c r="GG5" s="179" t="n"/>
      <c r="GH5" s="181" t="inlineStr">
        <is>
          <t>CICC</t>
        </is>
      </c>
      <c r="GI5" s="183" t="n">
        <v>2</v>
      </c>
      <c r="GJ5" s="183" t="n">
        <v>0</v>
      </c>
      <c r="GK5" s="176" t="n">
        <v>0.025</v>
      </c>
      <c r="GL5" s="176" t="n">
        <v>0.01</v>
      </c>
      <c r="GM5" s="176" t="n">
        <v>0.035</v>
      </c>
      <c r="GN5" s="183" t="n">
        <v>4</v>
      </c>
      <c r="GO5" s="183" t="n">
        <v>0</v>
      </c>
      <c r="GP5" s="183" t="n">
        <v>0</v>
      </c>
      <c r="GQ5" s="183" t="n">
        <v>6</v>
      </c>
      <c r="GR5" s="183" t="n">
        <v>0</v>
      </c>
      <c r="GS5" s="181" t="inlineStr">
        <is>
          <t>POST_FINI</t>
        </is>
      </c>
      <c r="GT5" s="181" t="inlineStr">
        <is>
          <t>POST_2025_REFORM</t>
        </is>
      </c>
    </row>
    <row r="6" ht="68" customFormat="1" customHeight="1" s="12">
      <c r="A6" s="43" t="n">
        <v>92</v>
      </c>
      <c r="B6" s="47" t="inlineStr">
        <is>
          <t>7687.HK</t>
        </is>
      </c>
      <c r="C6" s="44" t="inlineStr">
        <is>
          <t>EACON Group Co., Ltd - H Shares</t>
        </is>
      </c>
      <c r="D6" s="130" t="n">
        <v>46202</v>
      </c>
      <c r="E6" s="48" t="n">
        <v>46211</v>
      </c>
      <c r="F6" s="43" t="inlineStr">
        <is>
          <t>Haitong International Capital Limited</t>
        </is>
      </c>
      <c r="G6" s="43" t="inlineStr">
        <is>
          <t>Deloitte Touche Tohmatsu</t>
        </is>
      </c>
      <c r="H6" s="43" t="n"/>
      <c r="I6" s="131" t="n">
        <v>229752544</v>
      </c>
      <c r="J6" s="132" t="n">
        <v>2311403612</v>
      </c>
      <c r="K6" s="133" t="n">
        <v>87.92</v>
      </c>
      <c r="L6" s="81" t="n">
        <v>147869769</v>
      </c>
      <c r="M6" s="82" t="n">
        <v>26132000</v>
      </c>
      <c r="N6" s="81" t="n">
        <v>121737769</v>
      </c>
      <c r="O6" s="81" t="n">
        <v>121737769</v>
      </c>
      <c r="P6" s="81" t="n">
        <v>0</v>
      </c>
      <c r="Q6" s="81" t="n">
        <v>26132000</v>
      </c>
      <c r="R6" s="82" t="n">
        <v>23518800</v>
      </c>
      <c r="S6" s="82" t="n">
        <v>2613200</v>
      </c>
      <c r="T6" s="147" t="n">
        <v>87.92</v>
      </c>
      <c r="U6" s="147" t="n">
        <v>81.16</v>
      </c>
      <c r="V6" s="169" t="n">
        <v>0.039981</v>
      </c>
      <c r="W6" s="169" t="n">
        <v>0.07996200000000001</v>
      </c>
      <c r="X6" s="170" t="inlineStr">
        <is>
          <t>At high</t>
        </is>
      </c>
      <c r="Y6" s="26" t="inlineStr">
        <is>
          <t>RMB</t>
        </is>
      </c>
      <c r="Z6" s="137" t="n">
        <v>710300000</v>
      </c>
      <c r="AA6" s="137" t="n">
        <v>1875055000</v>
      </c>
      <c r="AB6" s="137" t="n">
        <v>2992375000</v>
      </c>
      <c r="AC6" s="137" t="n">
        <v>-812452000</v>
      </c>
      <c r="AD6" s="137" t="n">
        <v>259962000</v>
      </c>
      <c r="AE6" s="137" t="n">
        <v>1027886000</v>
      </c>
      <c r="AF6" s="137" t="n">
        <v>1522752000</v>
      </c>
      <c r="AG6" s="137" t="n">
        <v>1615093000</v>
      </c>
      <c r="AH6" s="137" t="n">
        <v>1964489000</v>
      </c>
      <c r="AI6" s="137" t="n">
        <v>270915000</v>
      </c>
      <c r="AJ6" s="137" t="n">
        <v>986234000</v>
      </c>
      <c r="AK6" s="137" t="n">
        <v>1435299000</v>
      </c>
      <c r="AL6" s="137" t="n">
        <v>-333667000</v>
      </c>
      <c r="AM6" s="137" t="n">
        <v>-390055000</v>
      </c>
      <c r="AN6" s="137" t="n">
        <v>-515403000</v>
      </c>
      <c r="AO6" s="137" t="n">
        <v>-333667000</v>
      </c>
      <c r="AP6" s="137" t="n">
        <v>-390055000</v>
      </c>
      <c r="AQ6" s="137" t="n">
        <v>-515557000</v>
      </c>
      <c r="AR6" s="135" t="n">
        <v>0.024</v>
      </c>
      <c r="AS6" s="135" t="n">
        <v>0.024</v>
      </c>
      <c r="AT6" s="84" t="n">
        <v>0.15</v>
      </c>
      <c r="AU6" s="51" t="inlineStr">
        <is>
          <t>Commercially deploying autonomous driving solutions for mining transportation and production (Closed-Environment Autonomous Mining Trucks Products and Solutions ORCASTRA; Mining Digitalization Solutions Conductor Plus)</t>
        </is>
      </c>
      <c r="AV6" s="51" t="inlineStr">
        <is>
          <t>Main Board of the Stock Exchange, Rule 8.05(3) market capitalisation/revenue test</t>
        </is>
      </c>
      <c r="AW6" s="136" t="n">
        <v>46022</v>
      </c>
      <c r="AX6" s="137" t="n">
        <v>-394406000</v>
      </c>
      <c r="AY6" s="117" t="n">
        <v>245447000</v>
      </c>
      <c r="AZ6" s="117" t="n">
        <v>270542000</v>
      </c>
      <c r="BA6" s="117" t="n">
        <v>0</v>
      </c>
      <c r="BB6" s="138" t="n">
        <v>0.663</v>
      </c>
      <c r="BC6" s="139" t="n">
        <v>1</v>
      </c>
      <c r="BD6" s="80" t="n">
        <v>1</v>
      </c>
      <c r="BE6" s="161" t="n">
        <v>1</v>
      </c>
      <c r="BF6" s="161" t="n">
        <v>1</v>
      </c>
      <c r="BG6" s="161" t="n">
        <v>1</v>
      </c>
      <c r="BH6" s="161" t="n">
        <v>1</v>
      </c>
      <c r="BI6" s="161" t="n">
        <v>1</v>
      </c>
      <c r="BJ6" s="162" t="inlineStr">
        <is>
          <t>Minxi Xinghang; Shanghai Chentao; Zijin Mining; Eight Roads; NIO Capital; Xihe Investment; Wuxi Xingqi; Zhengzhou Hi-Tech Fund; CATL Capital; CATL; Yankuang Capital; Tonly; Desay SV; Gaocheng Capital; Hony Investment</t>
        </is>
      </c>
      <c r="BK6" s="163" t="n">
        <v>28.52</v>
      </c>
      <c r="BL6" s="161" t="n">
        <v>1</v>
      </c>
      <c r="BM6" s="164" t="inlineStr">
        <is>
          <t>Series Pre-A</t>
        </is>
      </c>
      <c r="BN6" s="165" t="n">
        <v>6.05</v>
      </c>
      <c r="BO6" s="51" t="inlineStr">
        <is>
          <t>Natural persons (Mr. Lan Shuisheng, Mr. Zhang Lei and Ms. Liu Dongmei) and their controlled shareholding platforms</t>
        </is>
      </c>
      <c r="BP6" s="135" t="n">
        <v>0.3519</v>
      </c>
      <c r="BQ6" s="135" t="n">
        <v>0.3519</v>
      </c>
      <c r="BR6" s="137" t="n">
        <v>1369303000</v>
      </c>
      <c r="BS6" s="73" t="inlineStr">
        <is>
          <t>Commercial deployment at scale — solutions deployed in the field for over six years; 2,580 active autonomous mining trucks as of December 31, 2025</t>
        </is>
      </c>
      <c r="BT6" s="142" t="n">
        <v>0</v>
      </c>
      <c r="BU6" s="60" t="inlineStr">
        <is>
          <t>Main Board</t>
        </is>
      </c>
      <c r="BV6" s="89" t="inlineStr">
        <is>
          <t>H Shares</t>
        </is>
      </c>
      <c r="BW6" s="61" t="n">
        <v>0</v>
      </c>
      <c r="BX6" s="77" t="n">
        <v>0</v>
      </c>
      <c r="BY6" s="77" t="n">
        <v>0</v>
      </c>
      <c r="BZ6" s="78" t="n">
        <v>0</v>
      </c>
      <c r="CA6" s="60" t="inlineStr">
        <is>
          <t>702015</t>
        </is>
      </c>
      <c r="CB6" s="76" t="inlineStr">
        <is>
          <t>HSICS (Hang Seng Industry Classification System) 2026</t>
        </is>
      </c>
      <c r="CC6" s="140" t="n">
        <v>43231</v>
      </c>
      <c r="CD6" s="171" t="n">
        <v>8.16</v>
      </c>
      <c r="CE6" s="76" t="inlineStr">
        <is>
          <t>PRC</t>
        </is>
      </c>
      <c r="CF6" s="89" t="inlineStr">
        <is>
          <t>8th Floor, Zijin Mining Headquarters Building, No. 1 Sanhuan North Road, Shanghang County, Fujian Province, PRC</t>
        </is>
      </c>
      <c r="CG6" s="91" t="n">
        <v>1000</v>
      </c>
      <c r="CH6" s="60" t="inlineStr">
        <is>
          <t>HKFRS Accounting Standards</t>
        </is>
      </c>
      <c r="CI6" s="141" t="n">
        <v>44927</v>
      </c>
      <c r="CJ6" s="141" t="n">
        <v>45291</v>
      </c>
      <c r="CK6" s="141" t="n">
        <v>45292</v>
      </c>
      <c r="CL6" s="141" t="n">
        <v>45657</v>
      </c>
      <c r="CM6" s="141" t="n">
        <v>45658</v>
      </c>
      <c r="CN6" s="64" t="n">
        <v>1435299000</v>
      </c>
      <c r="CO6" s="64" t="n">
        <v>-515403000</v>
      </c>
      <c r="CP6" s="64" t="n">
        <v>-515557000</v>
      </c>
      <c r="CQ6" s="141" t="n">
        <v>46202</v>
      </c>
      <c r="CR6" s="141" t="n">
        <v>46206</v>
      </c>
      <c r="CS6" s="63" t="n">
        <v>147869769</v>
      </c>
      <c r="CT6" s="64" t="n">
        <v>145353000</v>
      </c>
      <c r="CU6" s="64" t="n">
        <v>636034000</v>
      </c>
      <c r="CV6" s="59" t="inlineStr">
        <is>
          <t>Unqualified opinion (true and fair view)</t>
        </is>
      </c>
      <c r="CW6" s="64" t="n">
        <v>137600000</v>
      </c>
      <c r="CX6" s="51" t="inlineStr">
        <is>
          <t>ZIJINNING; Aurora SF (in connection with the Arrangement); Fidelity International; JPMAMAPL; Barings; Indus Funds; Jain Global; REGAL; GF Fund; CDH; Seven Grand</t>
        </is>
      </c>
      <c r="CY6" s="142" t="n">
        <v>0.4979</v>
      </c>
      <c r="CZ6" s="136" t="n">
        <v>46395</v>
      </c>
      <c r="DA6" s="143" t="n">
        <v>157.82</v>
      </c>
      <c r="DB6" s="63" t="n">
        <v>110386</v>
      </c>
      <c r="DC6" s="63" t="n">
        <v>412415224</v>
      </c>
      <c r="DD6" s="59" t="inlineStr">
        <is>
          <t>Subscription level 157.82 times</t>
        </is>
      </c>
      <c r="DE6" s="141" t="n">
        <v>46209</v>
      </c>
      <c r="DF6" s="141" t="n">
        <v>46210</v>
      </c>
      <c r="DG6" s="63" t="n">
        <v>26132000</v>
      </c>
      <c r="DH6" s="63" t="n">
        <v>2613200</v>
      </c>
      <c r="DI6" s="63" t="n">
        <v>23518800</v>
      </c>
      <c r="DJ6" s="63" t="n">
        <v>2771050</v>
      </c>
      <c r="DK6" s="169" t="n">
        <v>0.706937</v>
      </c>
      <c r="DL6" s="59" t="inlineStr">
        <is>
          <t>Claw-back triggered N/A; Final no. of Offer Shares under Hong Kong Public Offering 2,613,200 (10.00%)</t>
        </is>
      </c>
      <c r="DM6" s="144" t="n">
        <v>2174810000</v>
      </c>
      <c r="DN6" s="142" t="n">
        <v>0.4488</v>
      </c>
      <c r="DO6" s="51" t="n">
        <v>147869769</v>
      </c>
      <c r="DP6" s="142" t="n">
        <v>0.0887</v>
      </c>
      <c r="DQ6" s="59" t="inlineStr">
        <is>
          <t>Free float denominator = total issued shares upon listing (col_CZ); numerator = offer shares minus cornerstone allocation</t>
        </is>
      </c>
      <c r="DR6" s="63" t="n">
        <v>147869769</v>
      </c>
      <c r="DS6" s="142" t="n">
        <v>-0.09334903999999999</v>
      </c>
      <c r="DT6" s="80" t="n">
        <v>40</v>
      </c>
      <c r="DU6" s="142" t="n">
        <v>0.0295929</v>
      </c>
      <c r="DV6" s="144" t="n">
        <v>53981000000</v>
      </c>
      <c r="DW6" s="145" t="n">
        <v>96.7</v>
      </c>
      <c r="DX6" s="169" t="n">
        <v>0.09986399999999999</v>
      </c>
      <c r="DY6" s="172" t="n">
        <v>229438960</v>
      </c>
      <c r="DZ6" s="146" t="n">
        <v>91</v>
      </c>
      <c r="EA6" s="146" t="n">
        <v>101.2</v>
      </c>
      <c r="EB6" s="146" t="n">
        <v>88.05</v>
      </c>
      <c r="EC6" s="63" t="n">
        <v>7337172</v>
      </c>
      <c r="ED6" s="169" t="n">
        <v>0.280773</v>
      </c>
      <c r="EE6" s="64" t="n">
        <v>683083100</v>
      </c>
      <c r="EF6" s="60" t="inlineStr">
        <is>
          <t>Mechanism B</t>
        </is>
      </c>
      <c r="EG6" s="59" t="inlineStr">
        <is>
          <t>FINI (from 22/11/2023); 2025-08-04 pricing reform (Mechanism A/B; six-month cornerstone lock-up retained); this IPO: Mechanism B</t>
        </is>
      </c>
      <c r="EH6" t="inlineStr">
        <is>
          <t>易控智驾科技股份有限公司</t>
        </is>
      </c>
      <c r="EI6" s="174" t="inlineStr">
        <is>
          <t>Active</t>
        </is>
      </c>
      <c r="EJ6" s="175" t="n">
        <v>83.09999999999999</v>
      </c>
      <c r="EK6" s="176" t="n">
        <v>-0.140641</v>
      </c>
      <c r="EL6" s="176" t="n">
        <v>-0.054823</v>
      </c>
      <c r="EM6" s="176" t="n">
        <v>0.068326</v>
      </c>
      <c r="EN6" s="176" t="n">
        <v>0.032676</v>
      </c>
      <c r="EO6" s="179" t="n">
        <v>0.8044</v>
      </c>
      <c r="EP6" s="179" t="n">
        <v>0.8322000000000001</v>
      </c>
      <c r="EQ6" s="178" t="n">
        <v>58000705</v>
      </c>
      <c r="ER6" s="175" t="n"/>
      <c r="ES6" s="176" t="n"/>
      <c r="ET6" s="176" t="n"/>
      <c r="EU6" s="176" t="n"/>
      <c r="EV6" s="176" t="n"/>
      <c r="EW6" s="179" t="n"/>
      <c r="EX6" s="179" t="n"/>
      <c r="EY6" s="178" t="n"/>
      <c r="EZ6" s="176" t="n"/>
      <c r="FA6" s="176" t="n"/>
      <c r="FB6" s="179" t="n"/>
      <c r="FC6" s="176" t="n"/>
      <c r="FD6" s="179" t="n"/>
      <c r="FE6" s="174" t="inlineStr">
        <is>
          <t>Standard</t>
        </is>
      </c>
      <c r="FF6" s="181" t="inlineStr">
        <is>
          <t>China International Capital Corporation / Sponsor-OC</t>
        </is>
      </c>
      <c r="FG6" s="185" t="inlineStr">
        <is>
          <t>2026-08-07</t>
        </is>
      </c>
      <c r="FH6" s="183" t="n">
        <v>0</v>
      </c>
      <c r="FI6" s="178" t="n">
        <v>0</v>
      </c>
      <c r="FJ6" s="176" t="n">
        <v>0.15</v>
      </c>
      <c r="FK6" s="185" t="inlineStr">
        <is>
          <t>2026-08-07</t>
        </is>
      </c>
      <c r="FL6" s="178" t="n">
        <v>0</v>
      </c>
      <c r="FM6" s="176" t="n">
        <v>0</v>
      </c>
      <c r="FN6" s="176" t="n">
        <v>-0.07378</v>
      </c>
      <c r="FO6" s="176" t="n">
        <v>-0.1375</v>
      </c>
      <c r="FP6" s="176" t="n">
        <v>0.147396</v>
      </c>
      <c r="FQ6" s="176" t="n">
        <v>-0.07600800000000001</v>
      </c>
      <c r="FR6" s="179" t="n">
        <v>0.9186</v>
      </c>
      <c r="FS6" s="176" t="n">
        <v>-0.140641</v>
      </c>
      <c r="FT6" s="179" t="n">
        <v>0.8044</v>
      </c>
      <c r="FU6" s="176" t="n"/>
      <c r="FV6" s="179" t="n"/>
      <c r="FW6" s="179" t="n"/>
      <c r="FX6" s="178" t="n"/>
      <c r="FY6" s="186" t="n">
        <v>0.004297465517241379</v>
      </c>
      <c r="FZ6" s="183" t="n">
        <v>0</v>
      </c>
      <c r="GA6" s="176" t="n">
        <v>0.0418941194767476</v>
      </c>
      <c r="GB6" s="176" t="n">
        <v>0.344862</v>
      </c>
      <c r="GC6" s="185" t="inlineStr">
        <is>
          <t>2027-01-08</t>
        </is>
      </c>
      <c r="GD6" s="185" t="inlineStr">
        <is>
          <t>2027-07-08</t>
        </is>
      </c>
      <c r="GE6" s="176" t="n"/>
      <c r="GF6" s="176" t="n"/>
      <c r="GG6" s="179" t="n"/>
      <c r="GH6" s="181" t="inlineStr">
        <is>
          <t>CICC</t>
        </is>
      </c>
      <c r="GI6" s="183" t="n">
        <v>2</v>
      </c>
      <c r="GJ6" s="183" t="n">
        <v>0</v>
      </c>
      <c r="GK6" s="176" t="n">
        <v>0.025</v>
      </c>
      <c r="GL6" s="176" t="n">
        <v>0.01</v>
      </c>
      <c r="GM6" s="176" t="n">
        <v>0.035</v>
      </c>
      <c r="GN6" s="183" t="n">
        <v>4</v>
      </c>
      <c r="GO6" s="183" t="n">
        <v>0</v>
      </c>
      <c r="GP6" s="183" t="n">
        <v>0</v>
      </c>
      <c r="GQ6" s="183" t="n">
        <v>6</v>
      </c>
      <c r="GR6" s="183" t="n">
        <v>0</v>
      </c>
      <c r="GS6" s="181" t="inlineStr">
        <is>
          <t>POST_FINI</t>
        </is>
      </c>
      <c r="GT6" s="181" t="inlineStr">
        <is>
          <t>POST_2025_REFORM</t>
        </is>
      </c>
    </row>
    <row r="7" ht="68" customFormat="1" customHeight="1" s="12">
      <c r="A7" s="43" t="n">
        <v>90</v>
      </c>
      <c r="B7" s="47" t="inlineStr">
        <is>
          <t>9971.HK</t>
        </is>
      </c>
      <c r="C7" s="44" t="inlineStr">
        <is>
          <t>BASiC Semiconductor Co., Ltd. - H Shares</t>
        </is>
      </c>
      <c r="D7" s="130" t="n">
        <v>46202</v>
      </c>
      <c r="E7" s="48" t="n">
        <v>46211</v>
      </c>
      <c r="F7" s="43" t="inlineStr">
        <is>
          <t>Sinolink Securities (Hong Kong) Company Limited /
BOCI Asia Limited</t>
        </is>
      </c>
      <c r="G7" s="43" t="inlineStr">
        <is>
          <t>Ernst &amp; Young</t>
        </is>
      </c>
      <c r="H7" s="43" t="n"/>
      <c r="I7" s="131" t="n">
        <v>173195388</v>
      </c>
      <c r="J7" s="132" t="n">
        <v>692756256</v>
      </c>
      <c r="K7" s="133" t="n">
        <v>31.62</v>
      </c>
      <c r="L7" s="81" t="n">
        <v>304289725</v>
      </c>
      <c r="M7" s="82" t="n">
        <v>27386200</v>
      </c>
      <c r="N7" s="81" t="n">
        <v>276903525</v>
      </c>
      <c r="O7" s="81" t="n">
        <v>276903525</v>
      </c>
      <c r="P7" s="81" t="n">
        <v>0</v>
      </c>
      <c r="Q7" s="81" t="n">
        <v>27386200</v>
      </c>
      <c r="R7" s="82" t="n">
        <v>26016800</v>
      </c>
      <c r="S7" s="82" t="n">
        <v>1369400</v>
      </c>
      <c r="T7" s="147" t="n">
        <v>31.62</v>
      </c>
      <c r="U7" s="147" t="n">
        <v>27.49</v>
      </c>
      <c r="V7" s="169" t="n">
        <v>0.06987</v>
      </c>
      <c r="W7" s="169" t="n">
        <v>0.139739</v>
      </c>
      <c r="X7" s="170" t="inlineStr">
        <is>
          <t>At high</t>
        </is>
      </c>
      <c r="Y7" s="26" t="inlineStr">
        <is>
          <t>RMB</t>
        </is>
      </c>
      <c r="Z7" s="137" t="n">
        <v>901618000</v>
      </c>
      <c r="AA7" s="137" t="n">
        <v>941848000</v>
      </c>
      <c r="AB7" s="137" t="n">
        <v>1014683000</v>
      </c>
      <c r="AC7" s="137" t="n">
        <v>338764000</v>
      </c>
      <c r="AD7" s="137" t="n">
        <v>143242000</v>
      </c>
      <c r="AE7" s="137" t="n">
        <v>13791000</v>
      </c>
      <c r="AF7" s="137" t="n">
        <v>562854000</v>
      </c>
      <c r="AG7" s="137" t="n">
        <v>798606000</v>
      </c>
      <c r="AH7" s="137" t="n">
        <v>1000892000</v>
      </c>
      <c r="AI7" s="137" t="n">
        <v>220586000</v>
      </c>
      <c r="AJ7" s="137" t="n">
        <v>299015000</v>
      </c>
      <c r="AK7" s="137" t="n">
        <v>311165000</v>
      </c>
      <c r="AL7" s="137" t="n">
        <v>-342194000</v>
      </c>
      <c r="AM7" s="137" t="n">
        <v>-237102000</v>
      </c>
      <c r="AN7" s="137" t="n">
        <v>-334684000</v>
      </c>
      <c r="AO7" s="137" t="n">
        <v>-342195000</v>
      </c>
      <c r="AP7" s="137" t="n">
        <v>-237102000</v>
      </c>
      <c r="AQ7" s="137" t="n">
        <v>-335217000</v>
      </c>
      <c r="AR7" s="135" t="n">
        <v>0.03</v>
      </c>
      <c r="AS7" s="135" t="n">
        <v>0.03</v>
      </c>
      <c r="AT7" s="84" t="n">
        <v>0.15</v>
      </c>
      <c r="AU7" s="51" t="inlineStr">
        <is>
          <t>SiC power devices (research, development, manufacturing and sales of silicon carbide power modules, discrete devices and gate drivers)</t>
        </is>
      </c>
      <c r="AV7" s="51" t="inlineStr">
        <is>
          <t>Chapter 18C of the Main Board Listing Rules (Specialist Technology Company - Commercial Company)</t>
        </is>
      </c>
      <c r="AW7" s="136" t="n">
        <v>46022</v>
      </c>
      <c r="AX7" s="137" t="n">
        <v>-111506000</v>
      </c>
      <c r="AY7" s="117" t="n">
        <v>98676000</v>
      </c>
      <c r="AZ7" s="117" t="n">
        <v>109734000</v>
      </c>
      <c r="BA7" s="117" t="n">
        <v>0</v>
      </c>
      <c r="BB7" s="138" t="n">
        <v>0.404</v>
      </c>
      <c r="BC7" s="139" t="n">
        <v>1</v>
      </c>
      <c r="BD7" s="80" t="n">
        <v>1</v>
      </c>
      <c r="BE7" s="161" t="n">
        <v>1</v>
      </c>
      <c r="BF7" s="161" t="n">
        <v>1</v>
      </c>
      <c r="BG7" s="161" t="n">
        <v>1</v>
      </c>
      <c r="BH7" s="161" t="n">
        <v>1</v>
      </c>
      <c r="BI7" s="161" t="n">
        <v>0</v>
      </c>
      <c r="BJ7" s="162" t="inlineStr">
        <is>
          <t>Leaguer SIIs; Wingtech Technology; InteBridge Fund LP</t>
        </is>
      </c>
      <c r="BK7" s="163" t="n">
        <v>0.2221</v>
      </c>
      <c r="BL7" s="161" t="n">
        <v>1</v>
      </c>
      <c r="BM7" s="164" t="inlineStr">
        <is>
          <t>Angel Investments (March 1, 2017; pre-money valuation RMB35,000,000)</t>
        </is>
      </c>
      <c r="BN7" s="165" t="n">
        <v>9.33</v>
      </c>
      <c r="BO7" s="51" t="inlineStr">
        <is>
          <t>Natural person (Dr. Wang Zhihan, founder and chairman)</t>
        </is>
      </c>
      <c r="BP7" s="135" t="n">
        <v>0.4184</v>
      </c>
      <c r="BQ7" s="135" t="n">
        <v>0.3669</v>
      </c>
      <c r="BR7" s="137" t="n">
        <v>588316000</v>
      </c>
      <c r="BS7" s="73" t="inlineStr">
        <is>
          <t>Commercialized (mass production and sales; revenue-generating)</t>
        </is>
      </c>
      <c r="BT7" s="142" t="n">
        <v>0</v>
      </c>
      <c r="BU7" s="60" t="inlineStr">
        <is>
          <t>Main Board</t>
        </is>
      </c>
      <c r="BV7" s="89" t="inlineStr">
        <is>
          <t>H Shares</t>
        </is>
      </c>
      <c r="BW7" s="61" t="n">
        <v>0</v>
      </c>
      <c r="BX7" s="77" t="n">
        <v>0</v>
      </c>
      <c r="BY7" s="77" t="n">
        <v>0</v>
      </c>
      <c r="BZ7" s="78" t="n">
        <v>1</v>
      </c>
      <c r="CA7" s="60" t="inlineStr">
        <is>
          <t>703010</t>
        </is>
      </c>
      <c r="CB7" s="76" t="inlineStr">
        <is>
          <t>HSICS (Hang Seng Industry Classification System) 2026</t>
        </is>
      </c>
      <c r="CC7" s="140" t="n">
        <v>42528</v>
      </c>
      <c r="CD7" s="171" t="n">
        <v>10.08</v>
      </c>
      <c r="CE7" s="76" t="inlineStr">
        <is>
          <t>PRC</t>
        </is>
      </c>
      <c r="CF7" s="89" t="inlineStr">
        <is>
          <t>Shenzhen, PRC</t>
        </is>
      </c>
      <c r="CG7" s="91" t="n">
        <v>1000</v>
      </c>
      <c r="CH7" s="60" t="inlineStr">
        <is>
          <t>IFRS Accounting Standards</t>
        </is>
      </c>
      <c r="CI7" s="141" t="n">
        <v>44927</v>
      </c>
      <c r="CJ7" s="141" t="n">
        <v>45291</v>
      </c>
      <c r="CK7" s="141" t="n">
        <v>45292</v>
      </c>
      <c r="CL7" s="141" t="n">
        <v>45657</v>
      </c>
      <c r="CM7" s="141" t="n">
        <v>45658</v>
      </c>
      <c r="CN7" s="64" t="n">
        <v>311165000</v>
      </c>
      <c r="CO7" s="64" t="n">
        <v>-334684000</v>
      </c>
      <c r="CP7" s="64" t="n">
        <v>-335217000</v>
      </c>
      <c r="CQ7" s="141" t="n">
        <v>46202</v>
      </c>
      <c r="CR7" s="141" t="n">
        <v>46206</v>
      </c>
      <c r="CS7" s="63" t="n">
        <v>287534442</v>
      </c>
      <c r="CT7" s="64" t="n">
        <v>-33860000</v>
      </c>
      <c r="CU7" s="64" t="n">
        <v>112471000</v>
      </c>
      <c r="CV7" s="59" t="inlineStr">
        <is>
          <t>Unqualified opinion (true and fair view)</t>
        </is>
      </c>
      <c r="CW7" s="64" t="n">
        <v>97000000</v>
      </c>
      <c r="CX7" s="51" t="inlineStr">
        <is>
          <t>NA</t>
        </is>
      </c>
      <c r="CY7" s="142" t="n">
        <v>0</v>
      </c>
      <c r="CZ7" s="136" t="inlineStr">
        <is>
          <t>NA</t>
        </is>
      </c>
      <c r="DA7" s="143" t="n">
        <v>4812.72</v>
      </c>
      <c r="DB7" s="63" t="n">
        <v>207706</v>
      </c>
      <c r="DC7" s="63" t="n">
        <v>6590538768</v>
      </c>
      <c r="DD7" s="59" t="inlineStr">
        <is>
          <t>Subscription level 4,812.72 times</t>
        </is>
      </c>
      <c r="DE7" s="141" t="n">
        <v>46209</v>
      </c>
      <c r="DF7" s="141" t="n">
        <v>46210</v>
      </c>
      <c r="DG7" s="63" t="n">
        <v>27386200</v>
      </c>
      <c r="DH7" s="63" t="n">
        <v>5477400</v>
      </c>
      <c r="DI7" s="63" t="n">
        <v>21908800</v>
      </c>
      <c r="DJ7" s="63" t="n">
        <v>0</v>
      </c>
      <c r="DK7" s="169" t="n">
        <v>0</v>
      </c>
      <c r="DL7" s="59" t="inlineStr">
        <is>
          <t>Claw-back triggered Yes; No. of Offer Shares reallocated to Public Offer (claw-back) 4,108,000; Final Public Offer 5,477,400 (after reallocation)</t>
        </is>
      </c>
      <c r="DM7" s="144" t="n">
        <v>766130000</v>
      </c>
      <c r="DN7" s="142" t="n">
        <v>0.3665</v>
      </c>
      <c r="DO7" s="51" t="n">
        <v>304289725</v>
      </c>
      <c r="DP7" s="142" t="n">
        <v>0.09</v>
      </c>
      <c r="DQ7" s="59" t="inlineStr">
        <is>
          <t>Free float denominator = total issued shares upon listing (col_CZ); numerator = offer shares minus cornerstone allocation</t>
        </is>
      </c>
      <c r="DR7" s="63" t="n">
        <v>304289725</v>
      </c>
      <c r="DS7" s="142" t="n">
        <v>-0.09334903999999999</v>
      </c>
      <c r="DT7" s="80" t="n">
        <v>40</v>
      </c>
      <c r="DU7" s="142" t="n">
        <v>0.0295929</v>
      </c>
      <c r="DV7" s="144" t="n">
        <v>53981000000</v>
      </c>
      <c r="DW7" s="145" t="n">
        <v>33.22</v>
      </c>
      <c r="DX7" s="169" t="n">
        <v>0.050601</v>
      </c>
      <c r="DY7" s="172" t="n">
        <v>43817920</v>
      </c>
      <c r="DZ7" s="146" t="n">
        <v>34.12</v>
      </c>
      <c r="EA7" s="146" t="n">
        <v>37.38</v>
      </c>
      <c r="EB7" s="146" t="n">
        <v>33</v>
      </c>
      <c r="EC7" s="63" t="n">
        <v>11270830</v>
      </c>
      <c r="ED7" s="169" t="n">
        <v>0.411551</v>
      </c>
      <c r="EE7" s="64" t="n">
        <v>394319200</v>
      </c>
      <c r="EF7" s="60" t="inlineStr">
        <is>
          <t>Mechanism A</t>
        </is>
      </c>
      <c r="EG7" s="59" t="inlineStr">
        <is>
          <t>FINI (from 22/11/2023); 2025-08-04 pricing reform (Mechanism A/B; six-month cornerstone lock-up retained); this IPO: Mechanism A</t>
        </is>
      </c>
      <c r="EH7" t="inlineStr">
        <is>
          <t>深圳基本半导体股份有限公司</t>
        </is>
      </c>
      <c r="EI7" s="174" t="inlineStr">
        <is>
          <t>Active</t>
        </is>
      </c>
      <c r="EJ7" s="175" t="n">
        <v>51.85</v>
      </c>
      <c r="EK7" s="176" t="n">
        <v>0.5608070000000001</v>
      </c>
      <c r="EL7" s="176" t="n">
        <v>0.639785</v>
      </c>
      <c r="EM7" s="176" t="n">
        <v>0.068326</v>
      </c>
      <c r="EN7" s="176" t="n">
        <v>0.032676</v>
      </c>
      <c r="EO7" s="179" t="n">
        <v>1.461</v>
      </c>
      <c r="EP7" s="179" t="n">
        <v>1.5114</v>
      </c>
      <c r="EQ7" s="178" t="n">
        <v>61961705</v>
      </c>
      <c r="ER7" s="175" t="n"/>
      <c r="ES7" s="176" t="n"/>
      <c r="ET7" s="176" t="n"/>
      <c r="EU7" s="176" t="n"/>
      <c r="EV7" s="176" t="n"/>
      <c r="EW7" s="179" t="n"/>
      <c r="EX7" s="179" t="n"/>
      <c r="EY7" s="178" t="n"/>
      <c r="EZ7" s="176" t="n"/>
      <c r="FA7" s="176" t="n"/>
      <c r="FB7" s="179" t="n"/>
      <c r="FC7" s="176" t="n"/>
      <c r="FD7" s="179" t="n"/>
      <c r="FE7" s="174" t="inlineStr">
        <is>
          <t>18C (Specialist Tech)</t>
        </is>
      </c>
      <c r="FF7" s="181" t="inlineStr">
        <is>
          <t>China International Capital Corporation / Sponsor-OC</t>
        </is>
      </c>
      <c r="FG7" s="185" t="inlineStr">
        <is>
          <t>2026-08-07</t>
        </is>
      </c>
      <c r="FH7" s="183" t="n">
        <v>0</v>
      </c>
      <c r="FI7" s="178" t="n">
        <v>0</v>
      </c>
      <c r="FJ7" s="176" t="n">
        <v>0.15</v>
      </c>
      <c r="FK7" s="185" t="inlineStr">
        <is>
          <t>2026-08-07</t>
        </is>
      </c>
      <c r="FL7" s="178" t="n">
        <v>0</v>
      </c>
      <c r="FM7" s="176" t="n">
        <v>0</v>
      </c>
      <c r="FN7" s="176" t="n">
        <v>0.497332</v>
      </c>
      <c r="FO7" s="176" t="n">
        <v>-0.254386</v>
      </c>
      <c r="FP7" s="176" t="n">
        <v>0.611348</v>
      </c>
      <c r="FQ7" s="176" t="n">
        <v>0.270319</v>
      </c>
      <c r="FR7" s="179" t="n">
        <v>1.2629</v>
      </c>
      <c r="FS7" s="176" t="n">
        <v>0.5608070000000001</v>
      </c>
      <c r="FT7" s="179" t="n">
        <v>1.461</v>
      </c>
      <c r="FU7" s="176" t="n"/>
      <c r="FV7" s="179" t="n"/>
      <c r="FW7" s="179" t="n"/>
      <c r="FX7" s="178" t="n"/>
      <c r="FY7" s="186" t="n">
        <v>0.002298741379310345</v>
      </c>
      <c r="FZ7" s="183" t="n">
        <v>0</v>
      </c>
      <c r="GA7" s="176" t="n">
        <v>0.07419107144512567</v>
      </c>
      <c r="GB7" s="176" t="n">
        <v>0.457143</v>
      </c>
      <c r="GC7" s="185" t="inlineStr">
        <is>
          <t>2027-01-08</t>
        </is>
      </c>
      <c r="GD7" s="185" t="inlineStr">
        <is>
          <t>2027-07-08</t>
        </is>
      </c>
      <c r="GE7" s="176" t="n"/>
      <c r="GF7" s="176" t="n"/>
      <c r="GG7" s="179" t="n"/>
      <c r="GH7" s="181" t="inlineStr">
        <is>
          <t>CICC</t>
        </is>
      </c>
      <c r="GI7" s="183" t="n">
        <v>2</v>
      </c>
      <c r="GJ7" s="183" t="n">
        <v>0</v>
      </c>
      <c r="GK7" s="176" t="n">
        <v>0.025</v>
      </c>
      <c r="GL7" s="176" t="n">
        <v>0.01</v>
      </c>
      <c r="GM7" s="176" t="n">
        <v>0.035</v>
      </c>
      <c r="GN7" s="183" t="n">
        <v>4</v>
      </c>
      <c r="GO7" s="183" t="n">
        <v>0</v>
      </c>
      <c r="GP7" s="183" t="n">
        <v>0</v>
      </c>
      <c r="GQ7" s="183" t="n">
        <v>6</v>
      </c>
      <c r="GR7" s="183" t="n">
        <v>0</v>
      </c>
      <c r="GS7" s="181" t="inlineStr">
        <is>
          <t>POST_FINI</t>
        </is>
      </c>
      <c r="GT7" s="181" t="inlineStr">
        <is>
          <t>POST_2025_REFORM</t>
        </is>
      </c>
    </row>
    <row r="8" ht="34" customFormat="1" customHeight="1" s="12">
      <c r="A8" s="43" t="n">
        <v>94</v>
      </c>
      <c r="B8" s="47" t="inlineStr">
        <is>
          <t>0537.HK</t>
        </is>
      </c>
      <c r="C8" s="44" t="inlineStr">
        <is>
          <t>RIGOL Technologies Co., Ltd. - H Shares</t>
        </is>
      </c>
      <c r="D8" s="130" t="n">
        <v>46203</v>
      </c>
      <c r="E8" s="48" t="n">
        <v>46212</v>
      </c>
      <c r="F8" s="43" t="inlineStr">
        <is>
          <t>CITIC Securities (Hong Kong) Limited</t>
        </is>
      </c>
      <c r="G8" s="43" t="inlineStr">
        <is>
          <t>Deloitte Touche Tohmatsu</t>
        </is>
      </c>
      <c r="H8" s="43" t="n"/>
      <c r="I8" s="131" t="n">
        <v>114044194</v>
      </c>
      <c r="J8" s="148" t="n">
        <v>1026360962</v>
      </c>
      <c r="K8" s="133" t="n">
        <v>45.98</v>
      </c>
      <c r="L8" t="n">
        <v>218676617</v>
      </c>
      <c r="M8" s="67" t="n">
        <v>24802200</v>
      </c>
      <c r="N8" t="n">
        <v>193874417</v>
      </c>
      <c r="O8" t="n">
        <v>193874417</v>
      </c>
      <c r="P8" t="n">
        <v>0</v>
      </c>
      <c r="Q8" t="n">
        <v>24802200</v>
      </c>
      <c r="R8" s="67" t="n">
        <v>22321900</v>
      </c>
      <c r="S8" s="67" t="n">
        <v>2480300</v>
      </c>
      <c r="T8" s="147" t="n">
        <v>45.98</v>
      </c>
      <c r="U8" s="147" t="inlineStr">
        <is>
          <t>NaN</t>
        </is>
      </c>
      <c r="V8" s="169" t="n">
        <v>0</v>
      </c>
      <c r="W8" s="169" t="n">
        <v>0</v>
      </c>
      <c r="X8" s="170" t="inlineStr">
        <is>
          <t>Fixed price</t>
        </is>
      </c>
      <c r="Y8" s="26" t="inlineStr">
        <is>
          <t>RMB</t>
        </is>
      </c>
      <c r="Z8" s="137" t="n">
        <v>3852922000</v>
      </c>
      <c r="AA8" s="137" t="n">
        <v>3584586000</v>
      </c>
      <c r="AB8" s="137" t="n">
        <v>3550966000</v>
      </c>
      <c r="AC8" s="137" t="n">
        <v>3167740000</v>
      </c>
      <c r="AD8" s="137" t="n">
        <v>3160818000</v>
      </c>
      <c r="AE8" s="137" t="n">
        <v>3179584000</v>
      </c>
      <c r="AF8" s="137" t="n">
        <v>685182000</v>
      </c>
      <c r="AG8" s="137" t="n">
        <v>423768000</v>
      </c>
      <c r="AH8" s="137" t="n">
        <v>371382000</v>
      </c>
      <c r="AI8" s="137" t="n">
        <v>775826000</v>
      </c>
      <c r="AJ8" s="137" t="n">
        <v>900234000</v>
      </c>
      <c r="AK8" s="137" t="n">
        <v>926256000</v>
      </c>
      <c r="AL8" s="137" t="n">
        <v>76818000</v>
      </c>
      <c r="AM8" s="137" t="n">
        <v>91053000</v>
      </c>
      <c r="AN8" s="137" t="n">
        <v>108724000</v>
      </c>
      <c r="AO8" s="137" t="n">
        <v>92303000</v>
      </c>
      <c r="AP8" s="137" t="n">
        <v>86083000</v>
      </c>
      <c r="AQ8" s="137" t="n">
        <v>92600000</v>
      </c>
      <c r="AR8" s="142" t="n">
        <v>0.04</v>
      </c>
      <c r="AS8" s="142" t="n">
        <v>0.04</v>
      </c>
      <c r="AT8" s="84" t="n">
        <v>0</v>
      </c>
      <c r="AU8" s="51" t="inlineStr">
        <is>
          <t>Electronic test and measurement instruments (design, development, manufacturing and sales)</t>
        </is>
      </c>
      <c r="AV8" s="51" t="inlineStr">
        <is>
          <t>Main Board - Rule 8.05(3) (market capitalisation/revenue test)</t>
        </is>
      </c>
      <c r="AW8" s="136" t="n">
        <v>46112</v>
      </c>
      <c r="AX8" s="137" t="n">
        <v>-5271000</v>
      </c>
      <c r="AY8" s="117" t="n">
        <v>300303000</v>
      </c>
      <c r="AZ8" s="117" t="n">
        <v>56119000</v>
      </c>
      <c r="BA8" s="117" t="n">
        <v>0</v>
      </c>
      <c r="BB8" s="138" t="n">
        <v>0.306</v>
      </c>
      <c r="BC8" s="139" t="n">
        <v>1</v>
      </c>
      <c r="BD8" s="80" t="n">
        <v>1</v>
      </c>
      <c r="BE8" s="161" t="n">
        <v>1</v>
      </c>
      <c r="BF8" s="161" t="n">
        <v>1</v>
      </c>
      <c r="BG8" s="161" t="n">
        <v>0</v>
      </c>
      <c r="BH8" s="161" t="n">
        <v>1</v>
      </c>
      <c r="BI8" s="161" t="n">
        <v>1</v>
      </c>
      <c r="BJ8" s="162" t="inlineStr">
        <is>
          <t>Hillhouse Yaoheng; Yuanhe Chongyuan No.2; Tanying Investment; Jiangsu Zhaoyin; Huiqi Venture; Nanjing Zhaoyin; Qiangang Investment</t>
        </is>
      </c>
      <c r="BK8" s="163" t="n">
        <v>9.039999999999999</v>
      </c>
      <c r="BL8" s="161" t="n">
        <v>0</v>
      </c>
      <c r="BM8" s="164" t="inlineStr">
        <is>
          <t>June 2020 Capital Increase (RMB40.25 per share)</t>
        </is>
      </c>
      <c r="BN8" s="165" t="n">
        <v>6.02</v>
      </c>
      <c r="BO8" s="51" t="inlineStr">
        <is>
          <t>Natural person (individual)</t>
        </is>
      </c>
      <c r="BP8" s="135" t="n">
        <v>0.5414</v>
      </c>
      <c r="BQ8" s="135" t="n">
        <v>0.5414</v>
      </c>
      <c r="BR8" s="137" t="n">
        <v>58378000</v>
      </c>
      <c r="BS8" s="51" t="inlineStr">
        <is>
          <t>Commercialized (mass production and sales; revenue-generating)</t>
        </is>
      </c>
      <c r="BT8" s="142" t="n">
        <v>0</v>
      </c>
      <c r="BU8" s="60" t="inlineStr">
        <is>
          <t>Main Board</t>
        </is>
      </c>
      <c r="BV8" s="89" t="inlineStr">
        <is>
          <t>H Shares</t>
        </is>
      </c>
      <c r="BW8" s="61" t="n">
        <v>0</v>
      </c>
      <c r="BX8" s="77" t="n">
        <v>0</v>
      </c>
      <c r="BY8" s="77" t="n">
        <v>0</v>
      </c>
      <c r="BZ8" s="78" t="n">
        <v>0</v>
      </c>
      <c r="CA8" s="60" t="inlineStr">
        <is>
          <t>101020</t>
        </is>
      </c>
      <c r="CB8" s="76" t="inlineStr">
        <is>
          <t>HSICS (Hang Seng Industry Classification System) 2026</t>
        </is>
      </c>
      <c r="CC8" s="140" t="n">
        <v>39930</v>
      </c>
      <c r="CD8" s="171" t="n">
        <v>17.2</v>
      </c>
      <c r="CE8" s="76" t="inlineStr">
        <is>
          <t>PRC</t>
        </is>
      </c>
      <c r="CF8" s="89" t="inlineStr">
        <is>
          <t>No. 8 Keling Road, Suzhou High-Tech Zone, Suzhou, Jiangsu Province, PRC</t>
        </is>
      </c>
      <c r="CG8" s="91" t="n"/>
      <c r="CH8" s="60" t="inlineStr">
        <is>
          <t>IFRS Accounting Standards</t>
        </is>
      </c>
      <c r="CI8" s="141" t="n">
        <v>45017</v>
      </c>
      <c r="CJ8" s="141" t="n">
        <v>45382</v>
      </c>
      <c r="CK8" s="141" t="n">
        <v>45383</v>
      </c>
      <c r="CL8" s="141" t="n">
        <v>45747</v>
      </c>
      <c r="CM8" s="141" t="n">
        <v>45748</v>
      </c>
      <c r="CN8" s="64" t="n">
        <v>926256000</v>
      </c>
      <c r="CO8" s="64" t="n">
        <v>108724000</v>
      </c>
      <c r="CP8" s="64" t="n">
        <v>92600000</v>
      </c>
      <c r="CQ8" s="141" t="n">
        <v>46203</v>
      </c>
      <c r="CR8" s="141" t="n">
        <v>46209</v>
      </c>
      <c r="CS8" s="63" t="n">
        <v>24802200</v>
      </c>
      <c r="CT8" s="64" t="n">
        <v>128551000</v>
      </c>
      <c r="CU8" s="64" t="n">
        <v>1318000</v>
      </c>
      <c r="CV8" s="59" t="inlineStr">
        <is>
          <t>Unmodified opinion (true and fair view)</t>
        </is>
      </c>
      <c r="CW8" s="64" t="n">
        <v>99585000</v>
      </c>
      <c r="CX8" s="51" t="inlineStr">
        <is>
          <t>HHLR Advisors, Ltd.; CPE Hemlock; Suzhou High-tech Zone; Hua Yuan; Sungrow Power HK; CITIC Prudential Fund; Panglin Group</t>
        </is>
      </c>
      <c r="CY8" s="142" t="n">
        <v>0.4211</v>
      </c>
      <c r="CZ8" s="136" t="n">
        <v>46396</v>
      </c>
      <c r="DA8" s="143" t="n">
        <v>356.86</v>
      </c>
      <c r="DB8" s="63" t="n">
        <v>92738</v>
      </c>
      <c r="DC8" s="63" t="n">
        <v>885112600</v>
      </c>
      <c r="DD8" s="59" t="inlineStr">
        <is>
          <t>Subscription level 356.86 times</t>
        </is>
      </c>
      <c r="DE8" s="141" t="n">
        <v>46210</v>
      </c>
      <c r="DF8" s="141" t="n">
        <v>46211</v>
      </c>
      <c r="DG8" s="63" t="n">
        <v>24802200</v>
      </c>
      <c r="DH8" s="63" t="n">
        <v>2480300</v>
      </c>
      <c r="DI8" s="63" t="n">
        <v>22321900</v>
      </c>
      <c r="DJ8" s="63" t="n">
        <v>0</v>
      </c>
      <c r="DK8" s="169" t="n">
        <v>0</v>
      </c>
      <c r="DL8" s="59" t="inlineStr">
        <is>
          <t>Claw-back triggered N/A; Number of Offer Shares reallocated from International Offering 0; final HK Public Offering 2,480,300 (10.00%)</t>
        </is>
      </c>
      <c r="DM8" s="144" t="n">
        <v>1040800000</v>
      </c>
      <c r="DN8" s="142" t="n">
        <v>0.1134</v>
      </c>
      <c r="DO8" s="51" t="n">
        <v>218676617</v>
      </c>
      <c r="DP8" s="142" t="n">
        <v>0.06569999999999999</v>
      </c>
      <c r="DQ8" s="59" t="inlineStr">
        <is>
          <t>Free float denominator = total issued shares upon listing (col_CZ); numerator = offer shares minus cornerstone allocation</t>
        </is>
      </c>
      <c r="DR8" s="63" t="n">
        <v>218676617</v>
      </c>
      <c r="DS8" s="142" t="n">
        <v>-0.0856039</v>
      </c>
      <c r="DT8" s="80" t="n">
        <v>41</v>
      </c>
      <c r="DU8" s="142" t="n">
        <v>0.0294839</v>
      </c>
      <c r="DV8" s="144" t="n">
        <v>53981000000</v>
      </c>
      <c r="DW8" s="145" t="n">
        <v>28.8</v>
      </c>
      <c r="DX8" s="169" t="n">
        <v>-0.373641</v>
      </c>
      <c r="DY8" s="172" t="n">
        <v>-426101796</v>
      </c>
      <c r="DZ8" s="146" t="n">
        <v>37.36</v>
      </c>
      <c r="EA8" s="146" t="n">
        <v>38</v>
      </c>
      <c r="EB8" s="146" t="n">
        <v>28.74</v>
      </c>
      <c r="EC8" s="63" t="n">
        <v>9404500</v>
      </c>
      <c r="ED8" s="169" t="n">
        <v>0.37918</v>
      </c>
      <c r="EE8" s="64" t="n">
        <v>305640100</v>
      </c>
      <c r="EF8" s="60" t="inlineStr">
        <is>
          <t>Mechanism B</t>
        </is>
      </c>
      <c r="EG8" s="59" t="inlineStr">
        <is>
          <t>FINI (from 22/11/2023); 2025-08-04 pricing reform (Mechanism A/B; six-month cornerstone lock-up retained); this IPO: Mechanism B</t>
        </is>
      </c>
      <c r="EH8" t="inlineStr">
        <is>
          <t>普源精电科技股份有限公司</t>
        </is>
      </c>
      <c r="EI8" s="174" t="inlineStr">
        <is>
          <t>Active</t>
        </is>
      </c>
      <c r="EJ8" s="175" t="n">
        <v>25.72</v>
      </c>
      <c r="EK8" s="176" t="n">
        <v>-0.106944</v>
      </c>
      <c r="EL8" s="176" t="n">
        <v>-0.440626</v>
      </c>
      <c r="EM8" s="176" t="n">
        <v>0.07847</v>
      </c>
      <c r="EN8" s="176" t="n">
        <v>0.042588</v>
      </c>
      <c r="EO8" s="179" t="n">
        <v>0.8280999999999999</v>
      </c>
      <c r="EP8" s="179" t="n">
        <v>0.8566</v>
      </c>
      <c r="EQ8" s="178" t="n">
        <v>45386985</v>
      </c>
      <c r="ER8" s="175" t="n"/>
      <c r="ES8" s="176" t="n"/>
      <c r="ET8" s="176" t="n"/>
      <c r="EU8" s="176" t="n"/>
      <c r="EV8" s="176" t="n"/>
      <c r="EW8" s="179" t="n"/>
      <c r="EX8" s="179" t="n"/>
      <c r="EY8" s="178" t="n"/>
      <c r="EZ8" s="176" t="n"/>
      <c r="FA8" s="176" t="n"/>
      <c r="FB8" s="179" t="n"/>
      <c r="FC8" s="176" t="n"/>
      <c r="FD8" s="179" t="n"/>
      <c r="FE8" s="174" t="inlineStr">
        <is>
          <t>Standard</t>
        </is>
      </c>
      <c r="FF8" s="181" t="inlineStr">
        <is>
          <t>China International Capital Corporation / Sponsor-OC</t>
        </is>
      </c>
      <c r="FG8" s="185" t="inlineStr">
        <is>
          <t>2026-08-08</t>
        </is>
      </c>
      <c r="FH8" s="183" t="n">
        <v>0</v>
      </c>
      <c r="FI8" s="178" t="n">
        <v>0</v>
      </c>
      <c r="FJ8" s="176" t="n">
        <v>0.15</v>
      </c>
      <c r="FK8" s="185" t="inlineStr">
        <is>
          <t>2026-08-08</t>
        </is>
      </c>
      <c r="FL8" s="178" t="n">
        <v>0</v>
      </c>
      <c r="FM8" s="176" t="n">
        <v>0</v>
      </c>
      <c r="FN8" s="176" t="n">
        <v>0.171674</v>
      </c>
      <c r="FO8" s="176" t="n">
        <v>-0.095582</v>
      </c>
      <c r="FP8" s="176" t="n">
        <v>0.205962</v>
      </c>
      <c r="FQ8" s="176" t="n">
        <v>-0.061806</v>
      </c>
      <c r="FR8" s="179" t="n">
        <v>0.9135</v>
      </c>
      <c r="FS8" s="176" t="n">
        <v>-0.106944</v>
      </c>
      <c r="FT8" s="179" t="n">
        <v>0.8280999999999999</v>
      </c>
      <c r="FU8" s="176" t="n"/>
      <c r="FV8" s="179" t="n"/>
      <c r="FW8" s="179" t="n"/>
      <c r="FX8" s="178" t="n"/>
      <c r="FY8" s="186" t="n">
        <v>0.002468929824561403</v>
      </c>
      <c r="FZ8" s="183" t="n">
        <v>0</v>
      </c>
      <c r="GA8" s="176" t="n">
        <v>0.06995051752004453</v>
      </c>
      <c r="GB8" s="176" t="n">
        <v>0.462105</v>
      </c>
      <c r="GC8" s="185" t="inlineStr">
        <is>
          <t>2027-01-09</t>
        </is>
      </c>
      <c r="GD8" s="185" t="inlineStr">
        <is>
          <t>2027-07-09</t>
        </is>
      </c>
      <c r="GE8" s="176" t="n"/>
      <c r="GF8" s="176" t="n"/>
      <c r="GG8" s="179" t="n"/>
      <c r="GH8" s="181" t="inlineStr">
        <is>
          <t>CICC</t>
        </is>
      </c>
      <c r="GI8" s="183" t="n">
        <v>2</v>
      </c>
      <c r="GJ8" s="183" t="n">
        <v>0</v>
      </c>
      <c r="GK8" s="176" t="n">
        <v>0.025</v>
      </c>
      <c r="GL8" s="176" t="n">
        <v>0.01</v>
      </c>
      <c r="GM8" s="176" t="n">
        <v>0.035</v>
      </c>
      <c r="GN8" s="183" t="n">
        <v>4</v>
      </c>
      <c r="GO8" s="183" t="n">
        <v>0</v>
      </c>
      <c r="GP8" s="183" t="n">
        <v>0</v>
      </c>
      <c r="GQ8" s="183" t="n">
        <v>6</v>
      </c>
      <c r="GR8" s="183" t="n">
        <v>0</v>
      </c>
      <c r="GS8" s="181" t="inlineStr">
        <is>
          <t>POST_FINI</t>
        </is>
      </c>
      <c r="GT8" s="181" t="inlineStr">
        <is>
          <t>POST_2025_REFORM</t>
        </is>
      </c>
    </row>
    <row r="9" ht="119" customFormat="1" customHeight="1" s="12">
      <c r="A9" s="43" t="n">
        <v>95</v>
      </c>
      <c r="B9" s="47" t="inlineStr">
        <is>
          <t>1377.HK</t>
        </is>
      </c>
      <c r="C9" s="44" t="inlineStr">
        <is>
          <t>Guangdong Dtech Technology Co., Ltd. - H Shares</t>
        </is>
      </c>
      <c r="D9" s="130" t="n">
        <v>46203</v>
      </c>
      <c r="E9" s="48" t="n">
        <v>46212</v>
      </c>
      <c r="F9" s="43" t="inlineStr">
        <is>
          <t>CITIC Securities (Hong Kong) Limited /
HSBC Corporate Finance (Hong Kong) Limited</t>
        </is>
      </c>
      <c r="G9" s="43" t="inlineStr">
        <is>
          <t>Rongcheng (Hong Kong) CPA Limited</t>
        </is>
      </c>
      <c r="H9" s="43" t="n"/>
      <c r="I9" s="131" t="n">
        <v>480016000</v>
      </c>
      <c r="J9" s="148" t="n">
        <v>4320144000</v>
      </c>
      <c r="K9" s="133" t="n">
        <v>380</v>
      </c>
      <c r="L9" t="n">
        <v>424044934</v>
      </c>
      <c r="M9" s="67" t="n">
        <v>12632000</v>
      </c>
      <c r="N9" t="n">
        <v>411412934</v>
      </c>
      <c r="O9" t="n">
        <v>411412934</v>
      </c>
      <c r="P9" t="n">
        <v>0</v>
      </c>
      <c r="Q9" t="n">
        <v>12632000</v>
      </c>
      <c r="R9" s="67" t="n">
        <v>11368800</v>
      </c>
      <c r="S9" s="67" t="n">
        <v>1263200</v>
      </c>
      <c r="T9" s="147" t="n">
        <v>380</v>
      </c>
      <c r="U9" s="147" t="inlineStr">
        <is>
          <t>NaN</t>
        </is>
      </c>
      <c r="V9" s="169" t="n">
        <v>0</v>
      </c>
      <c r="W9" s="169" t="n">
        <v>0</v>
      </c>
      <c r="X9" s="170" t="inlineStr">
        <is>
          <t>Fixed price</t>
        </is>
      </c>
      <c r="Y9" s="26" t="inlineStr">
        <is>
          <t>RMB</t>
        </is>
      </c>
      <c r="Z9" s="137" t="n">
        <v>3520596000</v>
      </c>
      <c r="AA9" s="137" t="n">
        <v>4538074000</v>
      </c>
      <c r="AB9" s="137" t="n">
        <v>5328243000</v>
      </c>
      <c r="AC9" s="137" t="n">
        <v>2479467000</v>
      </c>
      <c r="AD9" s="137" t="n">
        <v>2648954000</v>
      </c>
      <c r="AE9" s="137" t="n">
        <v>2901986000</v>
      </c>
      <c r="AF9" s="137" t="n">
        <v>1041129000</v>
      </c>
      <c r="AG9" s="137" t="n">
        <v>1889120000</v>
      </c>
      <c r="AH9" s="137" t="n">
        <v>2426257000</v>
      </c>
      <c r="AI9" s="137" t="n">
        <v>1552635000</v>
      </c>
      <c r="AJ9" s="137" t="n">
        <v>2084177000</v>
      </c>
      <c r="AK9" s="137" t="n">
        <v>3024268000</v>
      </c>
      <c r="AL9" s="137" t="n">
        <v>257779000</v>
      </c>
      <c r="AM9" s="137" t="n">
        <v>491750000</v>
      </c>
      <c r="AN9" s="137" t="n">
        <v>1207584000</v>
      </c>
      <c r="AO9" s="137" t="n">
        <v>227306000</v>
      </c>
      <c r="AP9" s="137" t="n">
        <v>431641000</v>
      </c>
      <c r="AQ9" s="137" t="n">
        <v>1040772000</v>
      </c>
      <c r="AR9" s="142" t="n">
        <v>0.01</v>
      </c>
      <c r="AS9" s="142" t="n">
        <v>0.01</v>
      </c>
      <c r="AT9" s="84" t="n">
        <v>0.15</v>
      </c>
      <c r="AU9" s="51" t="inlineStr">
        <is>
          <t>Integrated precision manufacturing solutions for the PCB fabrication value chain (precision cutting tools, grinding and polishing materials, functional film materials and intelligent CNC equipment)</t>
        </is>
      </c>
      <c r="AV9" s="51" t="inlineStr">
        <is>
          <t>Main Board of the Stock Exchange — Chapter 19A of the Listing Rules (PRC issuer with other listed shares)</t>
        </is>
      </c>
      <c r="AW9" s="136" t="n">
        <v>46112</v>
      </c>
      <c r="AX9" s="137" t="n">
        <v>-47761000</v>
      </c>
      <c r="AY9" s="117" t="n">
        <v>451362000</v>
      </c>
      <c r="AZ9" s="117" t="n">
        <v>40645000</v>
      </c>
      <c r="BA9" s="117" t="n">
        <v>0</v>
      </c>
      <c r="BB9" s="138" t="inlineStr">
        <is>
          <t>NaN</t>
        </is>
      </c>
      <c r="BC9" s="139" t="n">
        <v>1</v>
      </c>
      <c r="BD9" s="80" t="n">
        <v>1</v>
      </c>
      <c r="BE9" s="161" t="n">
        <v>1</v>
      </c>
      <c r="BF9" s="161" t="n">
        <v>1</v>
      </c>
      <c r="BG9" s="161" t="n">
        <v>0</v>
      </c>
      <c r="BH9" s="161" t="n">
        <v>0</v>
      </c>
      <c r="BI9" s="161" t="n">
        <v>0</v>
      </c>
      <c r="BJ9" s="162" t="inlineStr">
        <is>
          <t>Dongguan Sci Tech Innovation Boxin Equity Investment Partnership Enterprise (Limited Partnership); Jinshi Kunxiang Equity Investment (Hangzhou) Partnership (Limited Partnership)</t>
        </is>
      </c>
      <c r="BK9" s="163" t="n">
        <v>1.74</v>
      </c>
      <c r="BL9" s="161" t="n">
        <v>0</v>
      </c>
      <c r="BM9" s="164" t="inlineStr">
        <is>
          <t>NA</t>
        </is>
      </c>
      <c r="BN9" s="165" t="inlineStr">
        <is>
          <t>NaN</t>
        </is>
      </c>
      <c r="BO9" s="51" t="inlineStr">
        <is>
          <t>Natural persons (family group acting in concert led by Ms. WANG Xin)</t>
        </is>
      </c>
      <c r="BP9" s="135" t="n">
        <v>0.7751</v>
      </c>
      <c r="BQ9" s="135" t="n">
        <v>0.7751</v>
      </c>
      <c r="BR9" s="137" t="n">
        <v>1167459000</v>
      </c>
      <c r="BS9" s="51" t="inlineStr">
        <is>
          <t>Commercialised / mass production stage</t>
        </is>
      </c>
      <c r="BT9" s="142" t="n">
        <v>0</v>
      </c>
      <c r="BU9" s="60" t="inlineStr">
        <is>
          <t>Main Board</t>
        </is>
      </c>
      <c r="BV9" s="89" t="inlineStr">
        <is>
          <t>H Shares</t>
        </is>
      </c>
      <c r="BW9" s="61" t="n">
        <v>1</v>
      </c>
      <c r="BX9" s="77" t="n">
        <v>0</v>
      </c>
      <c r="BY9" s="77" t="n">
        <v>0</v>
      </c>
      <c r="BZ9" s="78" t="n">
        <v>0</v>
      </c>
      <c r="CA9" s="60" t="inlineStr">
        <is>
          <t>101020</t>
        </is>
      </c>
      <c r="CB9" s="76" t="inlineStr">
        <is>
          <t>HSICS (Hang Seng Industry Classification System) 2026</t>
        </is>
      </c>
      <c r="CC9" s="140" t="n">
        <v>41494</v>
      </c>
      <c r="CD9" s="171" t="n">
        <v>12.92</v>
      </c>
      <c r="CE9" s="76" t="inlineStr">
        <is>
          <t>PRC</t>
        </is>
      </c>
      <c r="CF9" s="89" t="inlineStr">
        <is>
          <t>Room 201, Building 1, No. 39 Zhuyuan Road, Liaoxia, Houjie Town, Dongguan City, Guangdong Province, the PRC</t>
        </is>
      </c>
      <c r="CG9" s="91" t="n"/>
      <c r="CH9" s="60" t="inlineStr">
        <is>
          <t>IFRS</t>
        </is>
      </c>
      <c r="CI9" s="141" t="n">
        <v>45017</v>
      </c>
      <c r="CJ9" s="141" t="n">
        <v>45382</v>
      </c>
      <c r="CK9" s="141" t="n">
        <v>45383</v>
      </c>
      <c r="CL9" s="141" t="n">
        <v>45747</v>
      </c>
      <c r="CM9" s="141" t="n">
        <v>45748</v>
      </c>
      <c r="CN9" s="64" t="n">
        <v>3024268000</v>
      </c>
      <c r="CO9" s="64" t="n">
        <v>1207584000</v>
      </c>
      <c r="CP9" s="64" t="n">
        <v>1040772000</v>
      </c>
      <c r="CQ9" s="141" t="n">
        <v>46203</v>
      </c>
      <c r="CR9" s="141" t="n">
        <v>46209</v>
      </c>
      <c r="CS9" s="63" t="n">
        <v>12632000</v>
      </c>
      <c r="CT9" s="64" t="n">
        <v>375696000</v>
      </c>
      <c r="CU9" s="64" t="n">
        <v>271565000</v>
      </c>
      <c r="CV9" s="59" t="inlineStr">
        <is>
          <t>Unqualified opinion (true and fair view)</t>
        </is>
      </c>
      <c r="CW9" s="64" t="n">
        <v>135400000</v>
      </c>
      <c r="CX9" s="51" t="inlineStr">
        <is>
          <t>VICTORY GIANT TECHNOLOGY HOLDINGS (HONG KONG) LIMITED; HHLR ADVISORS, LTD.; ASPEX MASTER FUND; KINGBOARD INVESTMENTS LIMITED; CPE INVESTMENT XV LIMITED; CloudAlpha Capital Management Limited; E FUND MANAGEMENT CO., LTD.; E FUND MANAGEMENT (HONG KONG) CO., LTD.; VERITION MULTI-STRATEGY MASTER FUND LTD.; TAIKANG LIFE INSURANCE CO., LTD; ATHOS CAPITAL LIMITED; HEL VED MASTER FUND; MILLENNIUM; IFUND SPC — Vision IX SP; BARING ASSET MANAGEMENT (ASIA) LIMITED; Martis Fund, L.P.; DYNAMIC HOLDING CO., LTD.</t>
        </is>
      </c>
      <c r="CY9" s="142" t="n">
        <v>0.4145</v>
      </c>
      <c r="CZ9" s="136" t="n">
        <v>46396</v>
      </c>
      <c r="DA9" s="143" t="n">
        <v>354.64</v>
      </c>
      <c r="DB9" s="63" t="n">
        <v>118991</v>
      </c>
      <c r="DC9" s="63" t="n">
        <v>403190216</v>
      </c>
      <c r="DD9" s="59" t="inlineStr">
        <is>
          <t>Subscription level 354.64 times</t>
        </is>
      </c>
      <c r="DE9" s="141" t="n">
        <v>46210</v>
      </c>
      <c r="DF9" s="141" t="n">
        <v>46211</v>
      </c>
      <c r="DG9" s="63" t="n">
        <v>12632000</v>
      </c>
      <c r="DH9" s="63" t="n">
        <v>1263200</v>
      </c>
      <c r="DI9" s="63" t="n">
        <v>11368800</v>
      </c>
      <c r="DJ9" s="63" t="n">
        <v>0</v>
      </c>
      <c r="DK9" s="169" t="n">
        <v>0</v>
      </c>
      <c r="DL9" s="59" t="inlineStr">
        <is>
          <t>Claw-back triggered N/A; 66,000 under-subscribed Overseas Employee Reserved Shares reallocated to HK Public Offering</t>
        </is>
      </c>
      <c r="DM9" s="144" t="n">
        <v>4664800000</v>
      </c>
      <c r="DN9" s="142" t="n">
        <v>0.0298</v>
      </c>
      <c r="DO9" s="51" t="n">
        <v>424044934</v>
      </c>
      <c r="DP9" s="142" t="n">
        <v>0.0174</v>
      </c>
      <c r="DQ9" s="59" t="inlineStr">
        <is>
          <t>Free float denominator = total issued shares upon listing (col_CZ); numerator = offer shares minus cornerstone allocation</t>
        </is>
      </c>
      <c r="DR9" s="63" t="n">
        <v>424044934</v>
      </c>
      <c r="DS9" s="142" t="n">
        <v>-0.0856039</v>
      </c>
      <c r="DT9" s="80" t="n">
        <v>41</v>
      </c>
      <c r="DU9" s="142" t="n">
        <v>0.0294839</v>
      </c>
      <c r="DV9" s="144" t="n">
        <v>53981000000</v>
      </c>
      <c r="DW9" s="145" t="n">
        <v>372.043</v>
      </c>
      <c r="DX9" s="169" t="n">
        <v>-0.020939</v>
      </c>
      <c r="DY9" s="172" t="n">
        <v>-100512824</v>
      </c>
      <c r="DZ9" s="146" t="n">
        <v>328.843</v>
      </c>
      <c r="EA9" s="146" t="n">
        <v>386.843</v>
      </c>
      <c r="EB9" s="146" t="n">
        <v>328.843</v>
      </c>
      <c r="EC9" s="63" t="n">
        <v>1992113</v>
      </c>
      <c r="ED9" s="169" t="n">
        <v>0.157704</v>
      </c>
      <c r="EE9" s="64" t="n">
        <v>727952170</v>
      </c>
      <c r="EF9" s="60" t="inlineStr">
        <is>
          <t>Mechanism B</t>
        </is>
      </c>
      <c r="EG9" s="59" t="inlineStr">
        <is>
          <t>FINI (from 22/11/2023); 2025-08-04 pricing reform (Mechanism A/B; six-month cornerstone lock-up retained); this IPO: Mechanism B</t>
        </is>
      </c>
      <c r="EH9" t="inlineStr">
        <is>
          <t>广东鼎泰高科技术股份有限公司</t>
        </is>
      </c>
      <c r="EI9" s="174" t="inlineStr">
        <is>
          <t>Active</t>
        </is>
      </c>
      <c r="EJ9" s="175" t="n">
        <v>364.843</v>
      </c>
      <c r="EK9" s="176" t="n">
        <v>-0.019353</v>
      </c>
      <c r="EL9" s="176" t="n">
        <v>-0.039887</v>
      </c>
      <c r="EM9" s="176" t="n">
        <v>0.07847</v>
      </c>
      <c r="EN9" s="176" t="n">
        <v>0.042588</v>
      </c>
      <c r="EO9" s="179" t="n">
        <v>0.9093</v>
      </c>
      <c r="EP9" s="179" t="n">
        <v>0.9406</v>
      </c>
      <c r="EQ9" s="178" t="n">
        <v>180900371</v>
      </c>
      <c r="ER9" s="175" t="n"/>
      <c r="ES9" s="176" t="n"/>
      <c r="ET9" s="176" t="n"/>
      <c r="EU9" s="176" t="n"/>
      <c r="EV9" s="176" t="n"/>
      <c r="EW9" s="179" t="n"/>
      <c r="EX9" s="179" t="n"/>
      <c r="EY9" s="178" t="n"/>
      <c r="EZ9" s="176" t="n"/>
      <c r="FA9" s="176" t="n"/>
      <c r="FB9" s="179" t="n"/>
      <c r="FC9" s="176" t="n"/>
      <c r="FD9" s="179" t="n"/>
      <c r="FE9" s="174" t="inlineStr">
        <is>
          <t>Standard</t>
        </is>
      </c>
      <c r="FF9" s="181" t="inlineStr">
        <is>
          <t>China International Capital Corporation / Sponsor-OC</t>
        </is>
      </c>
      <c r="FG9" s="185" t="inlineStr">
        <is>
          <t>2026-08-08</t>
        </is>
      </c>
      <c r="FH9" s="183" t="n">
        <v>0</v>
      </c>
      <c r="FI9" s="178" t="n">
        <v>0</v>
      </c>
      <c r="FJ9" s="176" t="n">
        <v>0.15</v>
      </c>
      <c r="FK9" s="185" t="inlineStr">
        <is>
          <t>2026-08-08</t>
        </is>
      </c>
      <c r="FL9" s="178" t="n">
        <v>0</v>
      </c>
      <c r="FM9" s="176" t="n">
        <v>0</v>
      </c>
      <c r="FN9" s="176" t="n">
        <v>0.218966</v>
      </c>
      <c r="FO9" s="176" t="n">
        <v>-0.042077</v>
      </c>
      <c r="FP9" s="176" t="n">
        <v>0.184518</v>
      </c>
      <c r="FQ9" s="176" t="n">
        <v>0.116653</v>
      </c>
      <c r="FR9" s="179" t="n">
        <v>1.0872</v>
      </c>
      <c r="FS9" s="176" t="n">
        <v>-0.019353</v>
      </c>
      <c r="FT9" s="179" t="n">
        <v>0.9093</v>
      </c>
      <c r="FU9" s="176" t="n"/>
      <c r="FV9" s="179" t="n"/>
      <c r="FW9" s="179" t="n"/>
      <c r="FX9" s="178" t="n"/>
      <c r="FY9" s="186" t="n">
        <v>0.0009825263157894736</v>
      </c>
      <c r="FZ9" s="183" t="n">
        <v>0</v>
      </c>
      <c r="GA9" s="176" t="n">
        <v>0.05702623706554633</v>
      </c>
      <c r="GB9" s="176" t="n">
        <v>0.409732</v>
      </c>
      <c r="GC9" s="185" t="inlineStr">
        <is>
          <t>2027-01-09</t>
        </is>
      </c>
      <c r="GD9" s="185" t="inlineStr">
        <is>
          <t>2027-07-09</t>
        </is>
      </c>
      <c r="GE9" s="176" t="n"/>
      <c r="GF9" s="176" t="n"/>
      <c r="GG9" s="179" t="n"/>
      <c r="GH9" s="181" t="inlineStr">
        <is>
          <t>CICC</t>
        </is>
      </c>
      <c r="GI9" s="183" t="n">
        <v>2</v>
      </c>
      <c r="GJ9" s="183" t="n">
        <v>0</v>
      </c>
      <c r="GK9" s="176" t="n">
        <v>0.025</v>
      </c>
      <c r="GL9" s="176" t="n">
        <v>0.01</v>
      </c>
      <c r="GM9" s="176" t="n">
        <v>0.035</v>
      </c>
      <c r="GN9" s="183" t="n">
        <v>4</v>
      </c>
      <c r="GO9" s="183" t="n">
        <v>0</v>
      </c>
      <c r="GP9" s="183" t="n">
        <v>0</v>
      </c>
      <c r="GQ9" s="183" t="n">
        <v>6</v>
      </c>
      <c r="GR9" s="183" t="n">
        <v>0</v>
      </c>
      <c r="GS9" s="181" t="inlineStr">
        <is>
          <t>POST_FINI</t>
        </is>
      </c>
      <c r="GT9" s="181" t="inlineStr">
        <is>
          <t>POST_2025_REFORM</t>
        </is>
      </c>
    </row>
    <row r="10" ht="85" customFormat="1" customHeight="1" s="12">
      <c r="A10" s="43" t="n">
        <v>93</v>
      </c>
      <c r="B10" s="47" t="inlineStr">
        <is>
          <t>1770.HK</t>
        </is>
      </c>
      <c r="C10" s="44" t="inlineStr">
        <is>
          <t>DKE Holding Company Limited - H Shares</t>
        </is>
      </c>
      <c r="D10" s="130" t="n">
        <v>46202</v>
      </c>
      <c r="E10" s="48" t="n">
        <v>46212</v>
      </c>
      <c r="F10" s="43" t="inlineStr">
        <is>
          <t>CITIC Securities (Hong Kong) Limited</t>
        </is>
      </c>
      <c r="G10" s="43" t="inlineStr">
        <is>
          <t>Confucius International CPA Limited</t>
        </is>
      </c>
      <c r="H10" s="43" t="n"/>
      <c r="I10" s="131" t="n">
        <v>40255816</v>
      </c>
      <c r="J10" s="148" t="n">
        <v>362270888</v>
      </c>
      <c r="K10" s="133" t="n">
        <v>78.64</v>
      </c>
      <c r="L10" t="n">
        <v>51185739</v>
      </c>
      <c r="M10" s="67" t="n">
        <v>5118600</v>
      </c>
      <c r="N10" t="n">
        <v>46067139</v>
      </c>
      <c r="O10" t="n">
        <v>46067139</v>
      </c>
      <c r="P10" t="n">
        <v>0</v>
      </c>
      <c r="Q10" t="n">
        <v>5118600</v>
      </c>
      <c r="R10" s="67" t="n">
        <v>4606700</v>
      </c>
      <c r="S10" s="67" t="n">
        <v>511900</v>
      </c>
      <c r="T10" s="147" t="n">
        <v>101.11</v>
      </c>
      <c r="U10" s="147" t="n">
        <v>78.64</v>
      </c>
      <c r="V10" s="169" t="n">
        <v>-0.125007</v>
      </c>
      <c r="W10" s="169" t="n">
        <v>0.250014</v>
      </c>
      <c r="X10" s="170" t="inlineStr">
        <is>
          <t>At low</t>
        </is>
      </c>
      <c r="Y10" s="26" t="inlineStr">
        <is>
          <t>RMB</t>
        </is>
      </c>
      <c r="Z10" s="137" t="n">
        <v>1127902000</v>
      </c>
      <c r="AA10" s="137" t="n">
        <v>1307195000</v>
      </c>
      <c r="AB10" s="137" t="n">
        <v>1733740000</v>
      </c>
      <c r="AC10" s="137" t="n">
        <v>739533000</v>
      </c>
      <c r="AD10" s="137" t="n">
        <v>772247000</v>
      </c>
      <c r="AE10" s="137" t="n">
        <v>857810000</v>
      </c>
      <c r="AF10" s="137" t="n">
        <v>388369000</v>
      </c>
      <c r="AG10" s="137" t="n">
        <v>534948000</v>
      </c>
      <c r="AH10" s="137" t="n">
        <v>875930000</v>
      </c>
      <c r="AI10" s="137" t="n">
        <v>1024198000</v>
      </c>
      <c r="AJ10" s="137" t="n">
        <v>1151556000</v>
      </c>
      <c r="AK10" s="137" t="n">
        <v>1712981000</v>
      </c>
      <c r="AL10" s="137" t="n">
        <v>57789000</v>
      </c>
      <c r="AM10" s="137" t="n">
        <v>54673000</v>
      </c>
      <c r="AN10" s="137" t="n">
        <v>97095000</v>
      </c>
      <c r="AO10" s="137" t="n">
        <v>50739000</v>
      </c>
      <c r="AP10" s="137" t="n">
        <v>53404000</v>
      </c>
      <c r="AQ10" s="137" t="n">
        <v>80228000</v>
      </c>
      <c r="AR10" s="142" t="n">
        <v>0.03</v>
      </c>
      <c r="AS10" s="142" t="n">
        <v>0.03</v>
      </c>
      <c r="AT10" s="84" t="n">
        <v>0.15</v>
      </c>
      <c r="AU10" s="51" t="inlineStr">
        <is>
          <t>Electronic paper (e-paper) display modules — R&amp;D, production and sales</t>
        </is>
      </c>
      <c r="AV10" s="51" t="inlineStr">
        <is>
          <t>Chapter 19A of the Listing Rules (PRC issuer — primary listing on the Main Board)</t>
        </is>
      </c>
      <c r="AW10" s="136" t="n">
        <v>46022</v>
      </c>
      <c r="AX10" s="137" t="n">
        <v>-135512000</v>
      </c>
      <c r="AY10" s="117" t="n">
        <v>143796000</v>
      </c>
      <c r="AZ10" s="117" t="n">
        <v>59045000</v>
      </c>
      <c r="BA10" s="117" t="n">
        <v>0</v>
      </c>
      <c r="BB10" s="138" t="n">
        <v>0.908</v>
      </c>
      <c r="BC10" s="139" t="n">
        <v>1</v>
      </c>
      <c r="BD10" s="80" t="n">
        <v>1</v>
      </c>
      <c r="BE10" s="161" t="n">
        <v>1</v>
      </c>
      <c r="BF10" s="161" t="n">
        <v>1</v>
      </c>
      <c r="BG10" s="161" t="n">
        <v>1</v>
      </c>
      <c r="BH10" s="161" t="n">
        <v>1</v>
      </c>
      <c r="BI10" s="161" t="n">
        <v>0</v>
      </c>
      <c r="BJ10" s="162" t="inlineStr">
        <is>
          <t>Redbanyan Venture Capital; Fuzhou Zhuiyuan; Huang Tao; Shenzhen Xinrui; Pingyang Kunyi; Chuanqi Optoelectronics; Shanghai Chaoyue Moore; Dalian Peninsula; Jiaxing Honghai; Fuzhou Zijing; Dalian Junhao; Ningbo Gongshang Huifu; Tianjin Junxian; Lishui Shanrong Haina; Zhuhai Hengzhen Tianxing; Beijing Yitang Changhou; Hainan Chaoyue Moore</t>
        </is>
      </c>
      <c r="BK10" s="163" t="n">
        <v>0.438</v>
      </c>
      <c r="BL10" s="161" t="n">
        <v>1</v>
      </c>
      <c r="BM10" s="164" t="inlineStr">
        <is>
          <t>April 18, 2008 (Mr. Lv)</t>
        </is>
      </c>
      <c r="BN10" s="165" t="n">
        <v>18.2</v>
      </c>
      <c r="BO10" s="51" t="inlineStr">
        <is>
          <t>Natural person (Mr. Zhou Aijun) — ultimate controlling shareholder</t>
        </is>
      </c>
      <c r="BP10" s="135" t="n">
        <v>0.2691</v>
      </c>
      <c r="BQ10" s="135" t="n">
        <v>0.2691</v>
      </c>
      <c r="BR10" s="137" t="n">
        <v>424619000</v>
      </c>
      <c r="BS10" s="51" t="inlineStr">
        <is>
          <t>Commercialized — mass production (e-paper display modules; OTFT flexible products)</t>
        </is>
      </c>
      <c r="BT10" s="142" t="n">
        <v>0</v>
      </c>
      <c r="BU10" s="60" t="inlineStr">
        <is>
          <t>Main Board</t>
        </is>
      </c>
      <c r="BV10" s="89" t="inlineStr">
        <is>
          <t>H Shares</t>
        </is>
      </c>
      <c r="BW10" s="61" t="n">
        <v>0</v>
      </c>
      <c r="BX10" s="77" t="n">
        <v>0</v>
      </c>
      <c r="BY10" s="77" t="n">
        <v>0</v>
      </c>
      <c r="BZ10" s="78" t="n">
        <v>0</v>
      </c>
      <c r="CA10" s="60" t="inlineStr">
        <is>
          <t>101025</t>
        </is>
      </c>
      <c r="CB10" s="76" t="inlineStr">
        <is>
          <t>HSICS (Hang Seng Industry Classification System) 2026</t>
        </is>
      </c>
      <c r="CC10" s="140" t="n">
        <v>38653</v>
      </c>
      <c r="CD10" s="171" t="n">
        <v>20.7</v>
      </c>
      <c r="CE10" s="76" t="inlineStr">
        <is>
          <t>PRC</t>
        </is>
      </c>
      <c r="CF10" s="89" t="inlineStr">
        <is>
          <t>No. 1999 Xihan Road, Xitang Town, Jiashan County, Jiaxing, Zhejiang, PRC</t>
        </is>
      </c>
      <c r="CG10" s="91" t="n">
        <v>1000</v>
      </c>
      <c r="CH10" s="60" t="inlineStr">
        <is>
          <t>IFRS Accounting Standards</t>
        </is>
      </c>
      <c r="CI10" s="141" t="n">
        <v>44927</v>
      </c>
      <c r="CJ10" s="141" t="n">
        <v>45291</v>
      </c>
      <c r="CK10" s="141" t="n">
        <v>45292</v>
      </c>
      <c r="CL10" s="141" t="n">
        <v>45657</v>
      </c>
      <c r="CM10" s="141" t="n">
        <v>45658</v>
      </c>
      <c r="CN10" s="64" t="n">
        <v>1712981000</v>
      </c>
      <c r="CO10" s="64" t="n">
        <v>97095000</v>
      </c>
      <c r="CP10" s="64" t="n">
        <v>80228000</v>
      </c>
      <c r="CQ10" s="141" t="n">
        <v>46202</v>
      </c>
      <c r="CR10" s="141" t="n">
        <v>46206</v>
      </c>
      <c r="CS10" s="63" t="n">
        <v>51185739</v>
      </c>
      <c r="CT10" s="64" t="n">
        <v>280171000</v>
      </c>
      <c r="CU10" s="64" t="n">
        <v>132400000</v>
      </c>
      <c r="CV10" s="59" t="inlineStr">
        <is>
          <t>Unqualified (true and fair view)</t>
        </is>
      </c>
      <c r="CW10" s="64" t="n">
        <v>49500000</v>
      </c>
      <c r="CX10" s="51" t="inlineStr">
        <is>
          <t>NA</t>
        </is>
      </c>
      <c r="CY10" s="142" t="n">
        <v>0</v>
      </c>
      <c r="CZ10" s="136" t="inlineStr">
        <is>
          <t>NA</t>
        </is>
      </c>
      <c r="DA10" s="143" t="n">
        <v>1067.54</v>
      </c>
      <c r="DB10" s="63" t="n">
        <v>126957</v>
      </c>
      <c r="DC10" s="63" t="n">
        <v>546473726</v>
      </c>
      <c r="DD10" s="59" t="inlineStr">
        <is>
          <t>Subscription level 1,067.54 times</t>
        </is>
      </c>
      <c r="DE10" s="141" t="n">
        <v>46209</v>
      </c>
      <c r="DF10" s="141" t="n">
        <v>46211</v>
      </c>
      <c r="DG10" s="63" t="n">
        <v>5118600</v>
      </c>
      <c r="DH10" s="63" t="n">
        <v>511900</v>
      </c>
      <c r="DI10" s="63" t="n">
        <v>4606700</v>
      </c>
      <c r="DJ10" s="63" t="n">
        <v>0</v>
      </c>
      <c r="DK10" s="169" t="n">
        <v>0</v>
      </c>
      <c r="DL10" s="59" t="inlineStr">
        <is>
          <t>Reallocation N/A; No. of Offer Shares initially available under HK Public Offering 511,900; Final no. 511,900 (10%)</t>
        </is>
      </c>
      <c r="DM10" s="144" t="n">
        <v>355360000</v>
      </c>
      <c r="DN10" s="142" t="n">
        <v>0.5326</v>
      </c>
      <c r="DO10" s="51" t="n">
        <v>51185739</v>
      </c>
      <c r="DP10" s="142" t="n">
        <v>0.1</v>
      </c>
      <c r="DQ10" s="59" t="inlineStr">
        <is>
          <t>Free float denominator = total issued shares upon listing (col_CZ); numerator = offer shares minus cornerstone allocation</t>
        </is>
      </c>
      <c r="DR10" s="63" t="n">
        <v>51185739</v>
      </c>
      <c r="DS10" s="142" t="n">
        <v>-0.09334903999999999</v>
      </c>
      <c r="DT10" s="80" t="n">
        <v>40</v>
      </c>
      <c r="DU10" s="142" t="n">
        <v>0.0295929</v>
      </c>
      <c r="DV10" s="144" t="n">
        <v>53981000000</v>
      </c>
      <c r="DW10" s="145" t="n">
        <v>80</v>
      </c>
      <c r="DX10" s="169" t="n">
        <v>0.017294</v>
      </c>
      <c r="DY10" s="172" t="n">
        <v>6961296</v>
      </c>
      <c r="DZ10" s="146" t="n">
        <v>77.15000000000001</v>
      </c>
      <c r="EA10" s="146" t="n">
        <v>86.8</v>
      </c>
      <c r="EB10" s="146" t="n">
        <v>77</v>
      </c>
      <c r="EC10" s="63" t="n">
        <v>914450</v>
      </c>
      <c r="ED10" s="169" t="n">
        <v>0.178652</v>
      </c>
      <c r="EE10" s="64" t="n">
        <v>76553800</v>
      </c>
      <c r="EF10" s="60" t="inlineStr">
        <is>
          <t>Mechanism B</t>
        </is>
      </c>
      <c r="EG10" s="59" t="inlineStr">
        <is>
          <t>FINI (from 22/11/2023); 2025-08-04 pricing reform (Mechanism A/B; six-month cornerstone lock-up retained); this IPO: Mechanism B</t>
        </is>
      </c>
      <c r="EH10" t="inlineStr">
        <is>
          <t>浙江东方科脉电子股份有限公司</t>
        </is>
      </c>
      <c r="EI10" s="174" t="inlineStr">
        <is>
          <t>Active</t>
        </is>
      </c>
      <c r="EJ10" s="175" t="n">
        <v>100.1</v>
      </c>
      <c r="EK10" s="176" t="n">
        <v>0.25125</v>
      </c>
      <c r="EL10" s="176" t="n">
        <v>0.272889</v>
      </c>
      <c r="EM10" s="176" t="n">
        <v>0.07847</v>
      </c>
      <c r="EN10" s="176" t="n">
        <v>0.042588</v>
      </c>
      <c r="EO10" s="179" t="n">
        <v>1.1602</v>
      </c>
      <c r="EP10" s="179" t="n">
        <v>1.2001</v>
      </c>
      <c r="EQ10" s="178" t="n">
        <v>12210555</v>
      </c>
      <c r="ER10" s="175" t="n"/>
      <c r="ES10" s="176" t="n"/>
      <c r="ET10" s="176" t="n"/>
      <c r="EU10" s="176" t="n"/>
      <c r="EV10" s="176" t="n"/>
      <c r="EW10" s="179" t="n"/>
      <c r="EX10" s="179" t="n"/>
      <c r="EY10" s="178" t="n"/>
      <c r="EZ10" s="176" t="n"/>
      <c r="FA10" s="176" t="n"/>
      <c r="FB10" s="179" t="n"/>
      <c r="FC10" s="176" t="n"/>
      <c r="FD10" s="179" t="n"/>
      <c r="FE10" s="174" t="inlineStr">
        <is>
          <t>Standard</t>
        </is>
      </c>
      <c r="FF10" s="181" t="inlineStr">
        <is>
          <t>China International Capital Corporation / Sponsor-OC</t>
        </is>
      </c>
      <c r="FG10" s="185" t="inlineStr">
        <is>
          <t>2026-08-08</t>
        </is>
      </c>
      <c r="FH10" s="183" t="n">
        <v>0</v>
      </c>
      <c r="FI10" s="178" t="n">
        <v>0</v>
      </c>
      <c r="FJ10" s="176" t="n">
        <v>0.15</v>
      </c>
      <c r="FK10" s="185" t="inlineStr">
        <is>
          <t>2026-08-08</t>
        </is>
      </c>
      <c r="FL10" s="178" t="n">
        <v>0</v>
      </c>
      <c r="FM10" s="176" t="n">
        <v>0</v>
      </c>
      <c r="FN10" s="176" t="n">
        <v>0.103171</v>
      </c>
      <c r="FO10" s="176" t="n">
        <v>-0.353578</v>
      </c>
      <c r="FP10" s="176" t="n">
        <v>0.30286</v>
      </c>
      <c r="FQ10" s="176" t="n">
        <v>-0.034375</v>
      </c>
      <c r="FR10" s="179" t="n">
        <v>0.9402</v>
      </c>
      <c r="FS10" s="176" t="n">
        <v>0.25125</v>
      </c>
      <c r="FT10" s="179" t="n">
        <v>1.1602</v>
      </c>
      <c r="FU10" s="176" t="n"/>
      <c r="FV10" s="179" t="n"/>
      <c r="FW10" s="179" t="n"/>
      <c r="FX10" s="178" t="n"/>
      <c r="FY10" s="186" t="n">
        <v>0.03889233333333333</v>
      </c>
      <c r="FZ10" s="183" t="n">
        <v>0</v>
      </c>
      <c r="GA10" s="176" t="n">
        <v>0.07424128594033064</v>
      </c>
      <c r="GB10" s="176" t="n">
        <v>0.476987</v>
      </c>
      <c r="GC10" s="185" t="inlineStr">
        <is>
          <t>2027-01-09</t>
        </is>
      </c>
      <c r="GD10" s="185" t="inlineStr">
        <is>
          <t>2027-07-09</t>
        </is>
      </c>
      <c r="GE10" s="176" t="n"/>
      <c r="GF10" s="176" t="n"/>
      <c r="GG10" s="179" t="n"/>
      <c r="GH10" s="181" t="inlineStr">
        <is>
          <t>CICC</t>
        </is>
      </c>
      <c r="GI10" s="183" t="n">
        <v>2</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POST_2025_REFORM</t>
        </is>
      </c>
    </row>
    <row r="11" ht="68" customFormat="1" customHeight="1" s="12">
      <c r="A11" s="43" t="n">
        <v>96</v>
      </c>
      <c r="B11" s="47" t="inlineStr">
        <is>
          <t>2475.HK</t>
        </is>
      </c>
      <c r="C11" s="44" t="inlineStr">
        <is>
          <t>Luxshare Precision Industry Co., Ltd. - H Shares</t>
        </is>
      </c>
      <c r="D11" s="130" t="n">
        <v>46203</v>
      </c>
      <c r="E11" s="48" t="n">
        <v>46212</v>
      </c>
      <c r="F11" s="43" t="inlineStr">
        <is>
          <t>CITIC Securities (Hong Kong) Limited /
Goldman Sachs (Asia) L.L.C. /
China International Capital Corporation Hong Kong Securities Limited</t>
        </is>
      </c>
      <c r="G11" s="43" t="inlineStr">
        <is>
          <t>BDO Limited</t>
        </is>
      </c>
      <c r="H11" s="43" t="n"/>
      <c r="I11" s="131" t="n">
        <v>2426617144</v>
      </c>
      <c r="J11" s="148" t="n">
        <v>22633193072</v>
      </c>
      <c r="K11" s="133" t="n">
        <v>63.28</v>
      </c>
      <c r="L11" t="n">
        <v>7701730624</v>
      </c>
      <c r="M11" s="67" t="n">
        <v>383472800</v>
      </c>
      <c r="N11" t="n">
        <v>7318257824</v>
      </c>
      <c r="O11" t="n">
        <v>7318257824</v>
      </c>
      <c r="P11" t="n">
        <v>0</v>
      </c>
      <c r="Q11" t="n">
        <v>383472800</v>
      </c>
      <c r="R11" s="67" t="n">
        <v>345125500</v>
      </c>
      <c r="S11" s="67" t="n">
        <v>38347300</v>
      </c>
      <c r="T11" s="147" t="n">
        <v>63.28</v>
      </c>
      <c r="U11" s="147" t="inlineStr">
        <is>
          <t>NaN</t>
        </is>
      </c>
      <c r="V11" s="169" t="n">
        <v>0</v>
      </c>
      <c r="W11" s="169" t="n">
        <v>0</v>
      </c>
      <c r="X11" s="170" t="inlineStr">
        <is>
          <t>Fixed price</t>
        </is>
      </c>
      <c r="Y11" s="26" t="inlineStr">
        <is>
          <t>RMB</t>
        </is>
      </c>
      <c r="Z11" s="137" t="n">
        <v>223827586000</v>
      </c>
      <c r="AA11" s="137" t="n">
        <v>306537675000</v>
      </c>
      <c r="AB11" s="137" t="n">
        <v>325616587000</v>
      </c>
      <c r="AC11" s="137" t="n">
        <v>84687125000</v>
      </c>
      <c r="AD11" s="137" t="n">
        <v>104020233000</v>
      </c>
      <c r="AE11" s="137" t="n">
        <v>108978157000</v>
      </c>
      <c r="AF11" s="137" t="n">
        <v>139140461000</v>
      </c>
      <c r="AG11" s="137" t="n">
        <v>202517442000</v>
      </c>
      <c r="AH11" s="137" t="n">
        <v>216638430000</v>
      </c>
      <c r="AI11" s="137" t="n">
        <v>268794738000</v>
      </c>
      <c r="AJ11" s="137" t="n">
        <v>332344443000</v>
      </c>
      <c r="AK11" s="137" t="n">
        <v>335553968000</v>
      </c>
      <c r="AL11" s="137" t="n">
        <v>16108739000</v>
      </c>
      <c r="AM11" s="137" t="n">
        <v>19549858000</v>
      </c>
      <c r="AN11" s="137" t="n">
        <v>17163816000</v>
      </c>
      <c r="AO11" s="137" t="n">
        <v>14579044000</v>
      </c>
      <c r="AP11" s="137" t="n">
        <v>18170237000</v>
      </c>
      <c r="AQ11" s="137" t="n">
        <v>15870540000</v>
      </c>
      <c r="AR11" s="142" t="n">
        <v>0.003</v>
      </c>
      <c r="AS11" s="142" t="n">
        <v>0.003</v>
      </c>
      <c r="AT11" s="84" t="n">
        <v>0.15</v>
      </c>
      <c r="AU11" s="51" t="inlineStr">
        <is>
          <t>Precision intelligent manufacturing solutions (PIMS)</t>
        </is>
      </c>
      <c r="AV11" s="51" t="inlineStr">
        <is>
          <t>Main Board of the Stock Exchange — H Shares of a PRC issuer (Chapter 19A)</t>
        </is>
      </c>
      <c r="AW11" s="136" t="n">
        <v>46112</v>
      </c>
      <c r="AX11" s="137" t="n">
        <v>-7068301000</v>
      </c>
      <c r="AY11" s="117" t="n">
        <v>67320137000</v>
      </c>
      <c r="AZ11" s="117" t="n">
        <v>3021085000</v>
      </c>
      <c r="BA11" s="117" t="n">
        <v>0</v>
      </c>
      <c r="BB11" s="138" t="n">
        <v>0.65</v>
      </c>
      <c r="BC11" s="139" t="n">
        <v>1</v>
      </c>
      <c r="BD11" s="80" t="n">
        <v>0</v>
      </c>
      <c r="BE11" s="161" t="n">
        <v>0</v>
      </c>
      <c r="BF11" s="161" t="n">
        <v>0</v>
      </c>
      <c r="BG11" s="161" t="n">
        <v>0</v>
      </c>
      <c r="BH11" s="161" t="n">
        <v>0</v>
      </c>
      <c r="BI11" s="161" t="n">
        <v>0</v>
      </c>
      <c r="BJ11" s="162" t="inlineStr">
        <is>
          <t>NA</t>
        </is>
      </c>
      <c r="BK11" s="163" t="n">
        <v>0</v>
      </c>
      <c r="BL11" s="161" t="n">
        <v>0</v>
      </c>
      <c r="BM11" s="164" t="inlineStr">
        <is>
          <t>NA</t>
        </is>
      </c>
      <c r="BN11" s="165" t="inlineStr">
        <is>
          <t>NaN</t>
        </is>
      </c>
      <c r="BO11" s="51" t="inlineStr">
        <is>
          <t>Natural person (co-founders under joint control)</t>
        </is>
      </c>
      <c r="BP11" s="135" t="n">
        <v>0.3573</v>
      </c>
      <c r="BQ11" s="135" t="n">
        <v>0.3573</v>
      </c>
      <c r="BR11" s="137" t="n">
        <v>102113321000</v>
      </c>
      <c r="BS11" s="51" t="inlineStr">
        <is>
          <t>Mass production and commercialization</t>
        </is>
      </c>
      <c r="BT11" s="142" t="n">
        <v>0.1</v>
      </c>
      <c r="BU11" s="60" t="inlineStr">
        <is>
          <t>Main Board</t>
        </is>
      </c>
      <c r="BV11" s="89" t="inlineStr">
        <is>
          <t>H Shares</t>
        </is>
      </c>
      <c r="BW11" s="61" t="n">
        <v>0</v>
      </c>
      <c r="BX11" s="77" t="n">
        <v>0</v>
      </c>
      <c r="BY11" s="77" t="n">
        <v>0</v>
      </c>
      <c r="BZ11" s="78" t="n">
        <v>0</v>
      </c>
      <c r="CA11" s="60" t="inlineStr">
        <is>
          <t>701010</t>
        </is>
      </c>
      <c r="CB11" s="76" t="inlineStr">
        <is>
          <t>HSICS (Hang Seng Industry Classification System) 2026</t>
        </is>
      </c>
      <c r="CC11" s="140" t="n">
        <v>38131</v>
      </c>
      <c r="CD11" s="171" t="n">
        <v>22.12</v>
      </c>
      <c r="CE11" s="76" t="inlineStr">
        <is>
          <t>PRC</t>
        </is>
      </c>
      <c r="CF11" s="89" t="inlineStr">
        <is>
          <t>No. 313 North Ring Road, Qingxi Town, Dongguan City, Guangdong Province, PRC</t>
        </is>
      </c>
      <c r="CG11" s="91" t="n"/>
      <c r="CH11" s="60" t="inlineStr">
        <is>
          <t>IFRS Accounting Standards</t>
        </is>
      </c>
      <c r="CI11" s="141" t="n">
        <v>45017</v>
      </c>
      <c r="CJ11" s="141" t="n">
        <v>45382</v>
      </c>
      <c r="CK11" s="141" t="n">
        <v>45383</v>
      </c>
      <c r="CL11" s="141" t="n">
        <v>45747</v>
      </c>
      <c r="CM11" s="141" t="n">
        <v>45748</v>
      </c>
      <c r="CN11" s="64" t="n">
        <v>335553968000</v>
      </c>
      <c r="CO11" s="64" t="n">
        <v>17163816000</v>
      </c>
      <c r="CP11" s="64" t="n">
        <v>15870540000</v>
      </c>
      <c r="CQ11" s="141" t="n">
        <v>46203</v>
      </c>
      <c r="CR11" s="141" t="n">
        <v>46209</v>
      </c>
      <c r="CS11" s="63" t="n">
        <v>383472800</v>
      </c>
      <c r="CT11" s="64" t="n">
        <v>9558528000</v>
      </c>
      <c r="CU11" s="64" t="n">
        <v>5538975000</v>
      </c>
      <c r="CV11" s="59" t="inlineStr">
        <is>
          <t>Unqualified opinion (true and fair view)</t>
        </is>
      </c>
      <c r="CW11" s="64" t="n">
        <v>227100000</v>
      </c>
      <c r="CX11" s="51" t="inlineStr">
        <is>
          <t>Temasek; Taibai; True Light; HHLRA; HHLRA (SMA managed for CPP Investments); GIC; CPE Neem; HK Greenwoods; Foresight Funds; ADIA; UBS AM Singapore; Oaktree; Eastspring; Eastspring SG; Eastspring HK; First Sentier Investors; First Sentier Investors HK; First Sentier Investors SG; GF Fund; GF Fund Management; GF Fund HK; China Universal (HK); Bosera International; Fidelity International; Value Partners; VPHKL; VPL; Taikang Life</t>
        </is>
      </c>
      <c r="CY11" s="142" t="n">
        <v>0.4844</v>
      </c>
      <c r="CZ11" s="136" t="n">
        <v>46396</v>
      </c>
      <c r="DA11" s="143" t="n">
        <v>3.78</v>
      </c>
      <c r="DB11" s="63" t="n">
        <v>47308</v>
      </c>
      <c r="DC11" s="63" t="n">
        <v>144952794</v>
      </c>
      <c r="DD11" s="59" t="inlineStr">
        <is>
          <t>Subscription level 3.78 times</t>
        </is>
      </c>
      <c r="DE11" s="141" t="n">
        <v>46210</v>
      </c>
      <c r="DF11" s="141" t="n">
        <v>46211</v>
      </c>
      <c r="DG11" s="63" t="n">
        <v>383472800</v>
      </c>
      <c r="DH11" s="63" t="n">
        <v>38347300</v>
      </c>
      <c r="DI11" s="63" t="n">
        <v>345125500</v>
      </c>
      <c r="DJ11" s="63" t="n">
        <v>12541900</v>
      </c>
      <c r="DK11" s="169" t="n">
        <v>0.218041</v>
      </c>
      <c r="DL11" s="59" t="inlineStr">
        <is>
          <t>Claw-back triggered N/A; Final no. of Offer Shares under Hong Kong Public Offering 38,347,300 (10.00%)</t>
        </is>
      </c>
      <c r="DM11" s="144" t="n">
        <v>24039100000</v>
      </c>
      <c r="DN11" s="142" t="n">
        <v>0.0498</v>
      </c>
      <c r="DO11" s="51" t="n">
        <v>7701730624</v>
      </c>
      <c r="DP11" s="142" t="n">
        <v>0.0257</v>
      </c>
      <c r="DQ11" s="59" t="inlineStr">
        <is>
          <t>Free float denominator = total issued shares upon listing (col_CZ); numerator = offer shares minus cornerstone allocation</t>
        </is>
      </c>
      <c r="DR11" s="63" t="n">
        <v>7701730624</v>
      </c>
      <c r="DS11" s="142" t="n">
        <v>-0.0856039</v>
      </c>
      <c r="DT11" s="80" t="n">
        <v>41</v>
      </c>
      <c r="DU11" s="142" t="n">
        <v>0.0294839</v>
      </c>
      <c r="DV11" s="144" t="n">
        <v>53981000000</v>
      </c>
      <c r="DW11" s="145" t="n">
        <v>62.173</v>
      </c>
      <c r="DX11" s="169" t="n">
        <v>-0.017494</v>
      </c>
      <c r="DY11" s="172" t="n">
        <v>-424504389.6</v>
      </c>
      <c r="DZ11" s="146" t="n">
        <v>63.123</v>
      </c>
      <c r="EA11" s="146" t="n">
        <v>63.123</v>
      </c>
      <c r="EB11" s="146" t="n">
        <v>57.073</v>
      </c>
      <c r="EC11" s="63" t="n">
        <v>71068706</v>
      </c>
      <c r="ED11" s="169" t="n">
        <v>0.185329</v>
      </c>
      <c r="EE11" s="64" t="n">
        <v>4342424750</v>
      </c>
      <c r="EF11" s="60" t="inlineStr">
        <is>
          <t>Mechanism B</t>
        </is>
      </c>
      <c r="EG11" s="59" t="inlineStr">
        <is>
          <t>FINI (from 22/11/2023); 2025-08-04 pricing reform (Mechanism A/B; six-month cornerstone lock-up retained); this IPO: Mechanism B</t>
        </is>
      </c>
      <c r="EH11" t="inlineStr">
        <is>
          <t>立讯精密工业股份有限公司</t>
        </is>
      </c>
      <c r="EI11" s="174" t="inlineStr">
        <is>
          <t>Active</t>
        </is>
      </c>
      <c r="EJ11" s="175" t="n">
        <v>58.423</v>
      </c>
      <c r="EK11" s="176" t="n">
        <v>-0.060316</v>
      </c>
      <c r="EL11" s="176" t="n">
        <v>-0.076754</v>
      </c>
      <c r="EM11" s="176" t="n">
        <v>0.07847</v>
      </c>
      <c r="EN11" s="176" t="n">
        <v>0.042588</v>
      </c>
      <c r="EO11" s="179" t="n">
        <v>0.8713</v>
      </c>
      <c r="EP11" s="179" t="n">
        <v>0.9013</v>
      </c>
      <c r="EQ11" s="178" t="n">
        <v>567164783.5</v>
      </c>
      <c r="ER11" s="175" t="n"/>
      <c r="ES11" s="176" t="n"/>
      <c r="ET11" s="176" t="n"/>
      <c r="EU11" s="176" t="n"/>
      <c r="EV11" s="176" t="n"/>
      <c r="EW11" s="179" t="n"/>
      <c r="EX11" s="179" t="n"/>
      <c r="EY11" s="178" t="n"/>
      <c r="EZ11" s="176" t="n"/>
      <c r="FA11" s="176" t="n"/>
      <c r="FB11" s="179" t="n"/>
      <c r="FC11" s="176" t="n"/>
      <c r="FD11" s="179" t="n"/>
      <c r="FE11" s="174" t="inlineStr">
        <is>
          <t>Standard</t>
        </is>
      </c>
      <c r="FF11" s="181" t="inlineStr">
        <is>
          <t>China International Capital Corporation / Sponsor-OC</t>
        </is>
      </c>
      <c r="FG11" s="185" t="inlineStr">
        <is>
          <t>2026-08-08</t>
        </is>
      </c>
      <c r="FH11" s="183" t="n">
        <v>0</v>
      </c>
      <c r="FI11" s="178" t="n">
        <v>0</v>
      </c>
      <c r="FJ11" s="176" t="n">
        <v>0.15</v>
      </c>
      <c r="FK11" s="185" t="inlineStr">
        <is>
          <t>2026-08-08</t>
        </is>
      </c>
      <c r="FL11" s="178" t="n">
        <v>0</v>
      </c>
      <c r="FM11" s="176" t="n">
        <v>0</v>
      </c>
      <c r="FN11" s="176" t="n">
        <v>0.163684</v>
      </c>
      <c r="FO11" s="176" t="n">
        <v>-0.011295</v>
      </c>
      <c r="FP11" s="176" t="n">
        <v>0.429572</v>
      </c>
      <c r="FQ11" s="176" t="n">
        <v>0.011259</v>
      </c>
      <c r="FR11" s="179" t="n">
        <v>0.9846</v>
      </c>
      <c r="FS11" s="176" t="n">
        <v>-0.060316</v>
      </c>
      <c r="FT11" s="179" t="n">
        <v>0.8713</v>
      </c>
      <c r="FU11" s="176" t="n"/>
      <c r="FV11" s="179" t="n"/>
      <c r="FW11" s="179" t="n"/>
      <c r="FX11" s="178" t="n"/>
      <c r="FY11" s="186" t="n">
        <v>0.0001496491228070175</v>
      </c>
      <c r="FZ11" s="183" t="n">
        <v>0</v>
      </c>
      <c r="GA11" s="176" t="n">
        <v>0.039922623444395</v>
      </c>
      <c r="GB11" s="176" t="n">
        <v>0.184742</v>
      </c>
      <c r="GC11" s="185" t="inlineStr">
        <is>
          <t>2027-01-09</t>
        </is>
      </c>
      <c r="GD11" s="185" t="inlineStr">
        <is>
          <t>2027-07-09</t>
        </is>
      </c>
      <c r="GE11" s="176" t="n"/>
      <c r="GF11" s="176" t="n"/>
      <c r="GG11" s="179" t="n"/>
      <c r="GH11" s="181" t="inlineStr">
        <is>
          <t>CICC</t>
        </is>
      </c>
      <c r="GI11" s="183" t="n">
        <v>2</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POST_2025_REFORM</t>
        </is>
      </c>
    </row>
    <row r="12" ht="68" customFormat="1" customHeight="1" s="12">
      <c r="A12" s="43" t="n">
        <v>99</v>
      </c>
      <c r="B12" s="47" t="inlineStr">
        <is>
          <t>2797.HK</t>
        </is>
      </c>
      <c r="C12" s="44" t="inlineStr">
        <is>
          <t>Jiangxi Qiyunshan Food Co., Ltd. - H Shares</t>
        </is>
      </c>
      <c r="D12" s="130" t="n">
        <v>46203</v>
      </c>
      <c r="E12" s="48" t="n">
        <v>46212</v>
      </c>
      <c r="F12" s="43" t="inlineStr">
        <is>
          <t>Zhongtai International Capital Limited</t>
        </is>
      </c>
      <c r="G12" s="43" t="inlineStr">
        <is>
          <t>Ernst &amp; Young</t>
        </is>
      </c>
      <c r="H12" s="43" t="inlineStr">
        <is>
          <t>King Kee Appraisal and Advisory Limited</t>
        </is>
      </c>
      <c r="I12" s="131" t="n">
        <v>20000000</v>
      </c>
      <c r="J12" s="148" t="n">
        <v>180000000</v>
      </c>
      <c r="K12" s="133" t="n">
        <v>8</v>
      </c>
      <c r="L12" t="n">
        <v>100000000</v>
      </c>
      <c r="M12" s="67" t="n">
        <v>25000000</v>
      </c>
      <c r="N12" t="n">
        <v>75000000</v>
      </c>
      <c r="O12" t="n">
        <v>75000000</v>
      </c>
      <c r="P12" t="n">
        <v>0</v>
      </c>
      <c r="Q12" t="n">
        <v>25000000</v>
      </c>
      <c r="R12" s="67" t="n">
        <v>22500000</v>
      </c>
      <c r="S12" s="67" t="n">
        <v>2500000</v>
      </c>
      <c r="T12" s="147" t="n">
        <v>8</v>
      </c>
      <c r="U12" s="147" t="n">
        <v>5</v>
      </c>
      <c r="V12" s="169" t="n">
        <v>0.230769</v>
      </c>
      <c r="W12" s="169" t="n">
        <v>0.461538</v>
      </c>
      <c r="X12" s="170" t="inlineStr">
        <is>
          <t>At high</t>
        </is>
      </c>
      <c r="Y12" s="26" t="inlineStr">
        <is>
          <t>RMB</t>
        </is>
      </c>
      <c r="Z12" s="137" t="n">
        <v>245934000</v>
      </c>
      <c r="AA12" s="137" t="n">
        <v>310209000</v>
      </c>
      <c r="AB12" s="137" t="n">
        <v>301373000</v>
      </c>
      <c r="AC12" s="137" t="n">
        <v>178243000</v>
      </c>
      <c r="AD12" s="137" t="n">
        <v>220084000</v>
      </c>
      <c r="AE12" s="137" t="n">
        <v>249667000</v>
      </c>
      <c r="AF12" s="137" t="n">
        <v>67691000</v>
      </c>
      <c r="AG12" s="137" t="n">
        <v>90125000</v>
      </c>
      <c r="AH12" s="137" t="n">
        <v>51706000</v>
      </c>
      <c r="AI12" s="137" t="n">
        <v>246718000</v>
      </c>
      <c r="AJ12" s="137" t="n">
        <v>339132000</v>
      </c>
      <c r="AK12" s="137" t="n">
        <v>313696000</v>
      </c>
      <c r="AL12" s="137" t="n">
        <v>27173000</v>
      </c>
      <c r="AM12" s="137" t="n">
        <v>61446000</v>
      </c>
      <c r="AN12" s="137" t="n">
        <v>56439000</v>
      </c>
      <c r="AO12" s="137" t="n">
        <v>23705000</v>
      </c>
      <c r="AP12" s="137" t="n">
        <v>53199000</v>
      </c>
      <c r="AQ12" s="137" t="n">
        <v>48925000</v>
      </c>
      <c r="AR12" s="142" t="n">
        <v>0.03</v>
      </c>
      <c r="AS12" s="142" t="n">
        <v>0.03</v>
      </c>
      <c r="AT12" s="84" t="n">
        <v>0.15</v>
      </c>
      <c r="AU12" s="51" t="inlineStr">
        <is>
          <t>Fruit snacks (hog plum food products)</t>
        </is>
      </c>
      <c r="AV12" s="51" t="inlineStr">
        <is>
          <t>Main Board of the Stock Exchange</t>
        </is>
      </c>
      <c r="AW12" s="136" t="n">
        <v>46022</v>
      </c>
      <c r="AX12" s="137" t="n">
        <v>1841000</v>
      </c>
      <c r="AY12" s="117" t="n">
        <v>115009000</v>
      </c>
      <c r="AZ12" s="117" t="n">
        <v>11433000</v>
      </c>
      <c r="BA12" s="117" t="n">
        <v>0</v>
      </c>
      <c r="BB12" s="138" t="n">
        <v>0.337</v>
      </c>
      <c r="BC12" s="139" t="n">
        <v>1</v>
      </c>
      <c r="BD12" s="80" t="n">
        <v>0</v>
      </c>
      <c r="BE12" s="161" t="n">
        <v>0</v>
      </c>
      <c r="BF12" s="161" t="n">
        <v>0</v>
      </c>
      <c r="BG12" s="161" t="n">
        <v>0</v>
      </c>
      <c r="BH12" s="161" t="n">
        <v>0</v>
      </c>
      <c r="BI12" s="161" t="n">
        <v>0</v>
      </c>
      <c r="BJ12" s="162" t="inlineStr">
        <is>
          <t>Yunzhishang LP</t>
        </is>
      </c>
      <c r="BK12" s="163" t="n">
        <v>0</v>
      </c>
      <c r="BL12" s="161" t="n">
        <v>0</v>
      </c>
      <c r="BM12" s="164" t="inlineStr">
        <is>
          <t>Pre-IPO Investment (22 April 2022)</t>
        </is>
      </c>
      <c r="BN12" s="165" t="n">
        <v>4.19</v>
      </c>
      <c r="BO12" s="51" t="inlineStr">
        <is>
          <t>Natural person (Core Management Shareholders acting in concert)</t>
        </is>
      </c>
      <c r="BP12" s="135" t="n">
        <v>0.75</v>
      </c>
      <c r="BQ12" s="135" t="n">
        <v>0.75</v>
      </c>
      <c r="BR12" s="137" t="n">
        <v>0</v>
      </c>
      <c r="BS12" s="51" t="inlineStr">
        <is>
          <t>NA</t>
        </is>
      </c>
      <c r="BT12" s="142" t="n">
        <v>0</v>
      </c>
      <c r="BU12" s="60" t="inlineStr">
        <is>
          <t>Main Board</t>
        </is>
      </c>
      <c r="BV12" s="89" t="inlineStr">
        <is>
          <t>Ordinary Shares (H Shares and Unlisted Shares)</t>
        </is>
      </c>
      <c r="BW12" s="61" t="n">
        <v>0</v>
      </c>
      <c r="BX12" s="77" t="n">
        <v>0</v>
      </c>
      <c r="BY12" s="77" t="n">
        <v>0</v>
      </c>
      <c r="BZ12" s="78" t="n">
        <v>0</v>
      </c>
      <c r="CA12" s="60" t="inlineStr">
        <is>
          <t>251010</t>
        </is>
      </c>
      <c r="CB12" s="76" t="inlineStr">
        <is>
          <t>HSICS (Hang Seng Industry Classification System) 2026</t>
        </is>
      </c>
      <c r="CC12" s="140" t="n">
        <v>34970</v>
      </c>
      <c r="CD12" s="171" t="n">
        <v>30.78</v>
      </c>
      <c r="CE12" s="76" t="inlineStr">
        <is>
          <t>PRC</t>
        </is>
      </c>
      <c r="CF12" s="89" t="inlineStr">
        <is>
          <t>Suite 2703, 27/F, Shui On Centre, 6-8 Harbour Road, Wanchai, Hong Kong</t>
        </is>
      </c>
      <c r="CG12" s="91" t="n">
        <v>1000</v>
      </c>
      <c r="CH12" s="60" t="inlineStr">
        <is>
          <t>IFRS Accounting Standards</t>
        </is>
      </c>
      <c r="CI12" s="141" t="n">
        <v>44927</v>
      </c>
      <c r="CJ12" s="141" t="n">
        <v>45291</v>
      </c>
      <c r="CK12" s="141" t="n">
        <v>45292</v>
      </c>
      <c r="CL12" s="141" t="n">
        <v>45657</v>
      </c>
      <c r="CM12" s="141" t="n">
        <v>45658</v>
      </c>
      <c r="CN12" s="64" t="n">
        <v>313696000</v>
      </c>
      <c r="CO12" s="64" t="n">
        <v>56439000</v>
      </c>
      <c r="CP12" s="64" t="n">
        <v>48925000</v>
      </c>
      <c r="CQ12" s="141" t="n">
        <v>46203</v>
      </c>
      <c r="CR12" s="141" t="n">
        <v>46209</v>
      </c>
      <c r="CS12" s="63" t="n">
        <v>25000000</v>
      </c>
      <c r="CT12" s="64" t="n">
        <v>160992000</v>
      </c>
      <c r="CU12" s="64" t="n">
        <v>8335000</v>
      </c>
      <c r="CV12" s="59" t="inlineStr">
        <is>
          <t>Unqualified — true and fair view</t>
        </is>
      </c>
      <c r="CW12" s="64" t="n">
        <v>33000000</v>
      </c>
      <c r="CX12" s="51" t="inlineStr">
        <is>
          <t>NA</t>
        </is>
      </c>
      <c r="CY12" s="142" t="n">
        <v>0</v>
      </c>
      <c r="CZ12" s="136" t="inlineStr">
        <is>
          <t>NA</t>
        </is>
      </c>
      <c r="DA12" s="143" t="n">
        <v>1688.1</v>
      </c>
      <c r="DB12" s="63" t="n">
        <v>95307</v>
      </c>
      <c r="DC12" s="63" t="n">
        <v>4220250000</v>
      </c>
      <c r="DD12" s="59" t="inlineStr">
        <is>
          <t>Subscription level 1,688.1 times</t>
        </is>
      </c>
      <c r="DE12" s="141" t="n">
        <v>46210</v>
      </c>
      <c r="DF12" s="141" t="n">
        <v>46211</v>
      </c>
      <c r="DG12" s="63" t="n">
        <v>25000000</v>
      </c>
      <c r="DH12" s="63" t="n">
        <v>2500000</v>
      </c>
      <c r="DI12" s="63" t="n">
        <v>22500000</v>
      </c>
      <c r="DJ12" s="63" t="n">
        <v>0</v>
      </c>
      <c r="DK12" s="169" t="n">
        <v>0</v>
      </c>
      <c r="DL12" s="59" t="inlineStr">
        <is>
          <t>Reallocation No; Final no. of Offer Shares under Hong Kong Public Offering 2,500,000 (10.00%)</t>
        </is>
      </c>
      <c r="DM12" s="144" t="n">
        <v>167000000</v>
      </c>
      <c r="DN12" s="142" t="n">
        <v>0.25</v>
      </c>
      <c r="DO12" s="51" t="n">
        <v>100000000</v>
      </c>
      <c r="DP12" s="142" t="n">
        <v>0.25</v>
      </c>
      <c r="DQ12" s="59" t="inlineStr">
        <is>
          <t>Free float denominator = total issued shares upon listing (col_CZ); numerator = offer shares minus cornerstone allocation</t>
        </is>
      </c>
      <c r="DR12" s="63" t="n">
        <v>100000000</v>
      </c>
      <c r="DS12" s="142" t="n">
        <v>-0.0856039</v>
      </c>
      <c r="DT12" s="80" t="n">
        <v>41</v>
      </c>
      <c r="DU12" s="142" t="n">
        <v>0.0294839</v>
      </c>
      <c r="DV12" s="144" t="n">
        <v>53981000000</v>
      </c>
      <c r="DW12" s="145" t="n">
        <v>21</v>
      </c>
      <c r="DX12" s="169" t="n">
        <v>1.625</v>
      </c>
      <c r="DY12" s="172" t="n">
        <v>325000000</v>
      </c>
      <c r="DZ12" s="146" t="n">
        <v>16</v>
      </c>
      <c r="EA12" s="146" t="n">
        <v>26</v>
      </c>
      <c r="EB12" s="146" t="n">
        <v>16</v>
      </c>
      <c r="EC12" s="63" t="n">
        <v>10084200</v>
      </c>
      <c r="ED12" s="169" t="n">
        <v>0.403368</v>
      </c>
      <c r="EE12" s="64" t="n">
        <v>172377000</v>
      </c>
      <c r="EF12" s="60" t="inlineStr">
        <is>
          <t>Mechanism B</t>
        </is>
      </c>
      <c r="EG12" s="59" t="inlineStr">
        <is>
          <t>FINI (from 22/11/2023); 2025-08-04 pricing reform (Mechanism A/B; six-month cornerstone lock-up retained); this IPO: Mechanism B</t>
        </is>
      </c>
      <c r="EH12" t="inlineStr">
        <is>
          <t>江西齐云山食品股份有限公司</t>
        </is>
      </c>
      <c r="EI12" s="174" t="inlineStr">
        <is>
          <t>Active</t>
        </is>
      </c>
      <c r="EJ12" s="175" t="n">
        <v>69.15000000000001</v>
      </c>
      <c r="EK12" s="176" t="n">
        <v>2.292857</v>
      </c>
      <c r="EL12" s="176" t="n">
        <v>7.64375</v>
      </c>
      <c r="EM12" s="176" t="n">
        <v>0.07847</v>
      </c>
      <c r="EN12" s="176" t="n">
        <v>0.042588</v>
      </c>
      <c r="EO12" s="179" t="n">
        <v>3.0533</v>
      </c>
      <c r="EP12" s="179" t="n">
        <v>3.1583</v>
      </c>
      <c r="EQ12" s="178" t="n">
        <v>28358345</v>
      </c>
      <c r="ER12" s="175" t="n"/>
      <c r="ES12" s="176" t="n"/>
      <c r="ET12" s="176" t="n"/>
      <c r="EU12" s="176" t="n"/>
      <c r="EV12" s="176" t="n"/>
      <c r="EW12" s="179" t="n"/>
      <c r="EX12" s="179" t="n"/>
      <c r="EY12" s="178" t="n"/>
      <c r="EZ12" s="176" t="n"/>
      <c r="FA12" s="176" t="n"/>
      <c r="FB12" s="179" t="n"/>
      <c r="FC12" s="176" t="n"/>
      <c r="FD12" s="179" t="n"/>
      <c r="FE12" s="174" t="inlineStr">
        <is>
          <t>Standard</t>
        </is>
      </c>
      <c r="FF12" s="181" t="inlineStr">
        <is>
          <t>China International Capital Corporation / Sponsor-OC</t>
        </is>
      </c>
      <c r="FG12" s="185" t="inlineStr">
        <is>
          <t>2026-08-08</t>
        </is>
      </c>
      <c r="FH12" s="183" t="n">
        <v>0</v>
      </c>
      <c r="FI12" s="178" t="n">
        <v>0</v>
      </c>
      <c r="FJ12" s="176" t="n">
        <v>0.15</v>
      </c>
      <c r="FK12" s="185" t="inlineStr">
        <is>
          <t>2026-08-08</t>
        </is>
      </c>
      <c r="FL12" s="178" t="n">
        <v>0</v>
      </c>
      <c r="FM12" s="176" t="n">
        <v>0</v>
      </c>
      <c r="FN12" s="176" t="n">
        <v>0.674884</v>
      </c>
      <c r="FO12" s="176" t="n">
        <v>-0.04359</v>
      </c>
      <c r="FP12" s="176" t="n">
        <v>0.297649</v>
      </c>
      <c r="FQ12" s="176" t="n">
        <v>0.022857</v>
      </c>
      <c r="FR12" s="179" t="n">
        <v>0.9959</v>
      </c>
      <c r="FS12" s="176" t="n">
        <v>2.292857</v>
      </c>
      <c r="FT12" s="179" t="n">
        <v>3.0533</v>
      </c>
      <c r="FU12" s="176" t="n"/>
      <c r="FV12" s="179" t="n"/>
      <c r="FW12" s="179" t="n"/>
      <c r="FX12" s="178" t="n"/>
      <c r="FY12" s="186" t="n">
        <v>0.01223594736842105</v>
      </c>
      <c r="FZ12" s="183" t="n">
        <v>0</v>
      </c>
      <c r="GA12" s="176" t="n">
        <v>0.3179295814813002</v>
      </c>
      <c r="GB12" s="176" t="n">
        <v>0.515385</v>
      </c>
      <c r="GC12" s="185" t="inlineStr">
        <is>
          <t>2027-01-09</t>
        </is>
      </c>
      <c r="GD12" s="185" t="inlineStr">
        <is>
          <t>2027-07-09</t>
        </is>
      </c>
      <c r="GE12" s="176" t="n"/>
      <c r="GF12" s="176" t="n"/>
      <c r="GG12" s="179" t="n"/>
      <c r="GH12" s="181" t="inlineStr">
        <is>
          <t>CICC</t>
        </is>
      </c>
      <c r="GI12" s="183" t="n">
        <v>2</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POST_2025_REFORM</t>
        </is>
      </c>
    </row>
    <row r="13" ht="51" customFormat="1" customHeight="1" s="12">
      <c r="A13" s="43" t="n">
        <v>97</v>
      </c>
      <c r="B13" s="47" t="inlineStr">
        <is>
          <t>3752.HK</t>
        </is>
      </c>
      <c r="C13" s="44" t="inlineStr">
        <is>
          <t>Rokae (Shandong) Robotics Group Inc. - H Shares</t>
        </is>
      </c>
      <c r="D13" s="130" t="n">
        <v>46203</v>
      </c>
      <c r="E13" s="48" t="n">
        <v>46212</v>
      </c>
      <c r="F13" s="43" t="inlineStr">
        <is>
          <t>China International Capital Corporation Hong Kong Securities Limited /
Guotai Junan Capital Limited</t>
        </is>
      </c>
      <c r="G13" s="43" t="inlineStr">
        <is>
          <t>Deloitte Touche Tohmatsu</t>
        </is>
      </c>
      <c r="H13" s="43" t="n"/>
      <c r="I13" s="131" t="n">
        <v>87521600</v>
      </c>
      <c r="J13" s="148" t="n">
        <v>918969200</v>
      </c>
      <c r="K13" s="133" t="n">
        <v>38</v>
      </c>
      <c r="L13" t="n">
        <v>261726190</v>
      </c>
      <c r="M13" s="67" t="n">
        <v>23031900</v>
      </c>
      <c r="N13" t="n">
        <v>238694290</v>
      </c>
      <c r="O13" t="n">
        <v>238694290</v>
      </c>
      <c r="P13" t="n">
        <v>0</v>
      </c>
      <c r="Q13" t="n">
        <v>23031900</v>
      </c>
      <c r="R13" s="67" t="n">
        <v>20728700</v>
      </c>
      <c r="S13" s="67" t="n">
        <v>2303200</v>
      </c>
      <c r="T13" s="147" t="n">
        <v>38</v>
      </c>
      <c r="U13" s="147" t="n">
        <v>38</v>
      </c>
      <c r="V13" s="169" t="n">
        <v>0</v>
      </c>
      <c r="W13" s="169" t="n">
        <v>0</v>
      </c>
      <c r="X13" s="170" t="inlineStr">
        <is>
          <t>Fixed price</t>
        </is>
      </c>
      <c r="Y13" s="26" t="inlineStr">
        <is>
          <t>RMB</t>
        </is>
      </c>
      <c r="Z13" s="137" t="n">
        <v>994448000</v>
      </c>
      <c r="AA13" s="137" t="n">
        <v>963996000</v>
      </c>
      <c r="AB13" s="137" t="n">
        <v>1253487000</v>
      </c>
      <c r="AC13" s="137" t="n">
        <v>-751492000</v>
      </c>
      <c r="AD13" s="137" t="n">
        <v>-923635000</v>
      </c>
      <c r="AE13" s="137" t="n">
        <v>-1157890000</v>
      </c>
      <c r="AF13" s="137" t="n">
        <v>1745940000</v>
      </c>
      <c r="AG13" s="137" t="n">
        <v>1887631000</v>
      </c>
      <c r="AH13" s="137" t="n">
        <v>2411377000</v>
      </c>
      <c r="AI13" s="137" t="n">
        <v>267025000</v>
      </c>
      <c r="AJ13" s="137" t="n">
        <v>325257000</v>
      </c>
      <c r="AK13" s="137" t="n">
        <v>521747000</v>
      </c>
      <c r="AL13" s="137" t="n">
        <v>-157464000</v>
      </c>
      <c r="AM13" s="137" t="n">
        <v>-191756000</v>
      </c>
      <c r="AN13" s="137" t="n">
        <v>-179312000</v>
      </c>
      <c r="AO13" s="137" t="n">
        <v>-157464000</v>
      </c>
      <c r="AP13" s="137" t="n">
        <v>-191756000</v>
      </c>
      <c r="AQ13" s="137" t="n">
        <v>-179312000</v>
      </c>
      <c r="AR13" s="142" t="n">
        <v>0.02</v>
      </c>
      <c r="AS13" s="142" t="n">
        <v>0.02</v>
      </c>
      <c r="AT13" s="84" t="n">
        <v>0.15</v>
      </c>
      <c r="AU13" s="51" t="inlineStr">
        <is>
          <t>Robotic products (industrial robots, flexible collaborative robots, embodied intelligent robots) and related robotic solutions</t>
        </is>
      </c>
      <c r="AV13" s="51" t="inlineStr">
        <is>
          <t>Main Board – Rule 8.05(3) market capitalisation/revenue test (H Share issuer under Chapter 19A)</t>
        </is>
      </c>
      <c r="AW13" s="136" t="n">
        <v>46022</v>
      </c>
      <c r="AX13" s="137" t="n">
        <v>-77520000</v>
      </c>
      <c r="AY13" s="117" t="n">
        <v>14801000</v>
      </c>
      <c r="AZ13" s="117" t="n">
        <v>65508000</v>
      </c>
      <c r="BA13" s="117" t="n">
        <v>0</v>
      </c>
      <c r="BB13" s="138" t="n">
        <v>0.215</v>
      </c>
      <c r="BC13" s="139" t="n">
        <v>1</v>
      </c>
      <c r="BD13" s="80" t="n">
        <v>1</v>
      </c>
      <c r="BE13" s="161" t="n">
        <v>1</v>
      </c>
      <c r="BF13" s="161" t="n">
        <v>1</v>
      </c>
      <c r="BG13" s="161" t="n">
        <v>1</v>
      </c>
      <c r="BH13" s="161" t="n">
        <v>1</v>
      </c>
      <c r="BI13" s="161" t="n">
        <v>1</v>
      </c>
      <c r="BJ13" s="162" t="inlineStr">
        <is>
          <t>Tibet Meiling; Hubei Meihua; Fenglong Xinglian; Qingkong Yinxing; Zhongxin Botong; Jinsha River III; Golden Growth III (Shunwei); XH Fund; Suxiang Fund; SCGC; Beijing Yitang; Yuanyi Yongxuan; Tianjin Qihui; South Hope; Zoucheng New Energy; National Manufacturing Transform and Upgrade Fund; Shandong Zhengfang; TR Victory; Pinghu Jinluo; Zoulu Fund; Huida Luxin; Jiaxing Yuanshi; Tianqi Zefeng; Quanzhou Shanyue; Yankuang Capital; Yixing ESP; Ms. Tian Zheng; Ms. Jiao Shaoling; Mr. Zhang Yong</t>
        </is>
      </c>
      <c r="BK13" s="163" t="n">
        <v>0.6405999999999999</v>
      </c>
      <c r="BL13" s="161" t="n">
        <v>0</v>
      </c>
      <c r="BM13" s="164" t="inlineStr">
        <is>
          <t>Angel Investment (May 2015, Tibet Meiling)</t>
        </is>
      </c>
      <c r="BN13" s="165" t="n">
        <v>11.14</v>
      </c>
      <c r="BO13" s="51" t="inlineStr">
        <is>
          <t>Individual (founder Mr. Tuo Hua)</t>
        </is>
      </c>
      <c r="BP13" s="135" t="n">
        <v>0.1227</v>
      </c>
      <c r="BQ13" s="135" t="n">
        <v>0.3537</v>
      </c>
      <c r="BR13" s="137" t="n">
        <v>2070577000</v>
      </c>
      <c r="BS13" s="51" t="inlineStr">
        <is>
          <t>Commercialized (mass production and sales; revenue-generating)</t>
        </is>
      </c>
      <c r="BT13" s="142" t="n">
        <v>0</v>
      </c>
      <c r="BU13" s="60" t="inlineStr">
        <is>
          <t>Main Board</t>
        </is>
      </c>
      <c r="BV13" s="89" t="inlineStr">
        <is>
          <t>H Shares</t>
        </is>
      </c>
      <c r="BW13" s="61" t="n">
        <v>0</v>
      </c>
      <c r="BX13" s="77" t="n">
        <v>0</v>
      </c>
      <c r="BY13" s="77" t="n">
        <v>0</v>
      </c>
      <c r="BZ13" s="78" t="n">
        <v>0</v>
      </c>
      <c r="CA13" s="60" t="inlineStr">
        <is>
          <t>701030</t>
        </is>
      </c>
      <c r="CB13" s="76" t="inlineStr">
        <is>
          <t>HSICS (Hang Seng Industry Classification System) 2026</t>
        </is>
      </c>
      <c r="CC13" s="140" t="n">
        <v>41988</v>
      </c>
      <c r="CD13" s="171" t="n">
        <v>11.56</v>
      </c>
      <c r="CE13" s="76" t="inlineStr">
        <is>
          <t>PRC</t>
        </is>
      </c>
      <c r="CF13" s="89" t="inlineStr">
        <is>
          <t>No. 888 Huarun Road, Central Electromechanical Industrial Park, Zhongxindian Town, Zoucheng City, Jining City, Shandong Province, PRC</t>
        </is>
      </c>
      <c r="CG13" s="91" t="n">
        <v>1000</v>
      </c>
      <c r="CH13" s="60" t="inlineStr">
        <is>
          <t>HKFRS Accounting Standards</t>
        </is>
      </c>
      <c r="CI13" s="141" t="n">
        <v>44927</v>
      </c>
      <c r="CJ13" s="141" t="n">
        <v>45291</v>
      </c>
      <c r="CK13" s="141" t="n">
        <v>45292</v>
      </c>
      <c r="CL13" s="141" t="n">
        <v>45657</v>
      </c>
      <c r="CM13" s="141" t="n">
        <v>45658</v>
      </c>
      <c r="CN13" s="64" t="n">
        <v>521747000</v>
      </c>
      <c r="CO13" s="64" t="n">
        <v>-179312000</v>
      </c>
      <c r="CP13" s="64" t="n">
        <v>-179312000</v>
      </c>
      <c r="CQ13" s="141" t="n">
        <v>46203</v>
      </c>
      <c r="CR13" s="141" t="n">
        <v>46209</v>
      </c>
      <c r="CS13" s="63" t="n">
        <v>249791480</v>
      </c>
      <c r="CT13" s="64" t="n">
        <v>114168000</v>
      </c>
      <c r="CU13" s="64" t="n">
        <v>20076000</v>
      </c>
      <c r="CV13" s="59" t="inlineStr">
        <is>
          <t>Unqualified opinion (true and fair view)</t>
        </is>
      </c>
      <c r="CW13" s="64" t="n">
        <v>64700000</v>
      </c>
      <c r="CX13" s="51" t="inlineStr">
        <is>
          <t>GF Fund; Huatai Capital; Financial Street Capital; Yishao Capital; All View Fund</t>
        </is>
      </c>
      <c r="CY13" s="142" t="n">
        <v>0.314</v>
      </c>
      <c r="CZ13" s="136" t="n">
        <v>46396</v>
      </c>
      <c r="DA13" s="143" t="n">
        <v>156.58</v>
      </c>
      <c r="DB13" s="63" t="n">
        <v>63360</v>
      </c>
      <c r="DC13" s="63" t="n">
        <v>360635056</v>
      </c>
      <c r="DD13" s="59" t="inlineStr">
        <is>
          <t>Subscription level 156.58 times</t>
        </is>
      </c>
      <c r="DE13" s="141" t="inlineStr">
        <is>
          <t>NA</t>
        </is>
      </c>
      <c r="DF13" s="141" t="n">
        <v>46211</v>
      </c>
      <c r="DG13" s="63" t="n">
        <v>23031900</v>
      </c>
      <c r="DH13" s="63" t="n">
        <v>2303200</v>
      </c>
      <c r="DI13" s="63" t="n">
        <v>20728700</v>
      </c>
      <c r="DJ13" s="63" t="n">
        <v>3454700</v>
      </c>
      <c r="DK13" s="169" t="n">
        <v>1</v>
      </c>
      <c r="DL13" s="59" t="inlineStr">
        <is>
          <t>Reallocation N/A; Final no. of Offer Shares under Hong Kong Public Offering 2,303,200 (10.00%)</t>
        </is>
      </c>
      <c r="DM13" s="144" t="n">
        <v>810500000</v>
      </c>
      <c r="DN13" s="142" t="n">
        <v>0.1508</v>
      </c>
      <c r="DO13" s="51" t="n">
        <v>261726190</v>
      </c>
      <c r="DP13" s="142" t="n">
        <v>0.0604</v>
      </c>
      <c r="DQ13" s="59" t="inlineStr">
        <is>
          <t>Free float denominator = total issued shares upon listing (col_CZ); numerator = offer shares minus cornerstone allocation</t>
        </is>
      </c>
      <c r="DR13" s="63" t="n">
        <v>261726190</v>
      </c>
      <c r="DS13" s="142" t="n">
        <v>-0.0856039</v>
      </c>
      <c r="DT13" s="80" t="n">
        <v>41</v>
      </c>
      <c r="DU13" s="142" t="n">
        <v>0.0294839</v>
      </c>
      <c r="DV13" s="144" t="n">
        <v>53981000000</v>
      </c>
      <c r="DW13" s="145" t="n">
        <v>43.78</v>
      </c>
      <c r="DX13" s="169" t="n">
        <v>0.152105</v>
      </c>
      <c r="DY13" s="172" t="n">
        <v>133124382</v>
      </c>
      <c r="DZ13" s="146" t="n">
        <v>38.02</v>
      </c>
      <c r="EA13" s="146" t="n">
        <v>44.56</v>
      </c>
      <c r="EB13" s="146" t="n">
        <v>38.02</v>
      </c>
      <c r="EC13" s="63" t="n">
        <v>4070540</v>
      </c>
      <c r="ED13" s="169" t="n">
        <v>0.176735</v>
      </c>
      <c r="EE13" s="64" t="n">
        <v>161520500</v>
      </c>
      <c r="EF13" s="60" t="inlineStr">
        <is>
          <t>Mechanism B</t>
        </is>
      </c>
      <c r="EG13" s="59" t="inlineStr">
        <is>
          <t>FINI (from 22/11/2023); 2025-08-04 pricing reform (Mechanism A/B; six-month cornerstone lock-up retained); this IPO: Mechanism B</t>
        </is>
      </c>
      <c r="EH13" t="inlineStr">
        <is>
          <t>珞石(山东)机器人集团股份有限公司</t>
        </is>
      </c>
      <c r="EI13" s="174" t="inlineStr">
        <is>
          <t>Active</t>
        </is>
      </c>
      <c r="EJ13" s="175" t="n">
        <v>69.3</v>
      </c>
      <c r="EK13" s="176" t="n">
        <v>0.582915</v>
      </c>
      <c r="EL13" s="176" t="n">
        <v>0.823684</v>
      </c>
      <c r="EM13" s="176" t="n">
        <v>0.07847</v>
      </c>
      <c r="EN13" s="176" t="n">
        <v>0.042588</v>
      </c>
      <c r="EO13" s="179" t="n">
        <v>1.4677</v>
      </c>
      <c r="EP13" s="179" t="n">
        <v>1.5183</v>
      </c>
      <c r="EQ13" s="178" t="n">
        <v>31756015</v>
      </c>
      <c r="ER13" s="175" t="n"/>
      <c r="ES13" s="176" t="n"/>
      <c r="ET13" s="176" t="n"/>
      <c r="EU13" s="176" t="n"/>
      <c r="EV13" s="176" t="n"/>
      <c r="EW13" s="179" t="n"/>
      <c r="EX13" s="179" t="n"/>
      <c r="EY13" s="178" t="n"/>
      <c r="EZ13" s="176" t="n"/>
      <c r="FA13" s="176" t="n"/>
      <c r="FB13" s="179" t="n"/>
      <c r="FC13" s="176" t="n"/>
      <c r="FD13" s="179" t="n"/>
      <c r="FE13" s="174" t="inlineStr">
        <is>
          <t>Standard</t>
        </is>
      </c>
      <c r="FF13" s="181" t="inlineStr">
        <is>
          <t>China International Capital Corporation / Sponsor-OC</t>
        </is>
      </c>
      <c r="FG13" s="185" t="inlineStr">
        <is>
          <t>2026-08-08</t>
        </is>
      </c>
      <c r="FH13" s="183" t="n">
        <v>0</v>
      </c>
      <c r="FI13" s="178" t="n">
        <v>0</v>
      </c>
      <c r="FJ13" s="176" t="n">
        <v>0.15</v>
      </c>
      <c r="FK13" s="185" t="inlineStr">
        <is>
          <t>2026-08-08</t>
        </is>
      </c>
      <c r="FL13" s="178" t="n">
        <v>0</v>
      </c>
      <c r="FM13" s="176" t="n">
        <v>0</v>
      </c>
      <c r="FN13" s="176" t="n">
        <v>0.154553</v>
      </c>
      <c r="FO13" s="176" t="n">
        <v>-0.22</v>
      </c>
      <c r="FP13" s="176" t="n">
        <v>0.5399080000000001</v>
      </c>
      <c r="FQ13" s="176" t="n">
        <v>0.114664</v>
      </c>
      <c r="FR13" s="179" t="n">
        <v>1.0853</v>
      </c>
      <c r="FS13" s="176" t="n">
        <v>0.582915</v>
      </c>
      <c r="FT13" s="179" t="n">
        <v>1.4677</v>
      </c>
      <c r="FU13" s="176" t="n"/>
      <c r="FV13" s="179" t="n"/>
      <c r="FW13" s="179" t="n"/>
      <c r="FX13" s="178" t="n"/>
      <c r="FY13" s="186" t="n">
        <v>0.005282</v>
      </c>
      <c r="FZ13" s="183" t="n">
        <v>0</v>
      </c>
      <c r="GA13" s="176" t="n">
        <v>0.06979885901979281</v>
      </c>
      <c r="GB13" s="176" t="n">
        <v>0.369211</v>
      </c>
      <c r="GC13" s="185" t="inlineStr">
        <is>
          <t>2027-01-09</t>
        </is>
      </c>
      <c r="GD13" s="185" t="inlineStr">
        <is>
          <t>2027-07-09</t>
        </is>
      </c>
      <c r="GE13" s="176" t="n"/>
      <c r="GF13" s="176" t="n"/>
      <c r="GG13" s="179" t="n"/>
      <c r="GH13" s="181" t="inlineStr">
        <is>
          <t>CICC</t>
        </is>
      </c>
      <c r="GI13" s="183" t="n">
        <v>2</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POST_2025_REFORM</t>
        </is>
      </c>
    </row>
    <row r="14" ht="68" customFormat="1" customHeight="1" s="12">
      <c r="A14" s="43" t="n">
        <v>98</v>
      </c>
      <c r="B14" s="47" t="inlineStr">
        <is>
          <t>6951.HK</t>
        </is>
      </c>
      <c r="C14" s="44" t="inlineStr">
        <is>
          <t>Chaozhou Three-Circle (Group) Co., Ltd. - H Shares</t>
        </is>
      </c>
      <c r="D14" s="130" t="n">
        <v>46203</v>
      </c>
      <c r="E14" s="48" t="n">
        <v>46212</v>
      </c>
      <c r="F14" s="43" t="inlineStr">
        <is>
          <t>China Galaxy International Securities (Hong Kong) Co., Limited</t>
        </is>
      </c>
      <c r="G14" s="43" t="inlineStr">
        <is>
          <t>SHINEWING (HK) CPA Limited</t>
        </is>
      </c>
      <c r="H14" s="43" t="n"/>
      <c r="I14" s="131" t="n">
        <v>715790950</v>
      </c>
      <c r="J14" s="148" t="n">
        <v>7330395410</v>
      </c>
      <c r="K14" s="133" t="n">
        <v>100.3</v>
      </c>
      <c r="L14" t="n">
        <v>1987861671</v>
      </c>
      <c r="M14" s="67" t="n">
        <v>71364300</v>
      </c>
      <c r="N14" t="n">
        <v>1916497371</v>
      </c>
      <c r="O14" t="n">
        <v>1916497371</v>
      </c>
      <c r="P14" t="n">
        <v>0</v>
      </c>
      <c r="Q14" t="n">
        <v>71364300</v>
      </c>
      <c r="R14" s="67" t="n">
        <v>64227800</v>
      </c>
      <c r="S14" s="67" t="n">
        <v>7136500</v>
      </c>
      <c r="T14" s="147" t="n">
        <v>100.3</v>
      </c>
      <c r="U14" s="147" t="inlineStr">
        <is>
          <t>NaN</t>
        </is>
      </c>
      <c r="V14" s="169" t="n">
        <v>0</v>
      </c>
      <c r="W14" s="169" t="n">
        <v>0</v>
      </c>
      <c r="X14" s="170" t="inlineStr">
        <is>
          <t>Fixed price</t>
        </is>
      </c>
      <c r="Y14" s="26" t="inlineStr">
        <is>
          <t>RMB</t>
        </is>
      </c>
      <c r="Z14" s="137" t="n">
        <v>23915804000</v>
      </c>
      <c r="AA14" s="137" t="n">
        <v>26506089000</v>
      </c>
      <c r="AB14" s="137" t="n">
        <v>27033473000</v>
      </c>
      <c r="AC14" s="137" t="n">
        <v>19871768000</v>
      </c>
      <c r="AD14" s="137" t="n">
        <v>21663042000</v>
      </c>
      <c r="AE14" s="137" t="n">
        <v>22400977000</v>
      </c>
      <c r="AF14" s="137" t="n">
        <v>4044036000</v>
      </c>
      <c r="AG14" s="137" t="n">
        <v>4843047000</v>
      </c>
      <c r="AH14" s="137" t="n">
        <v>4632496000</v>
      </c>
      <c r="AI14" s="137" t="n">
        <v>7266133000</v>
      </c>
      <c r="AJ14" s="137" t="n">
        <v>8868527000</v>
      </c>
      <c r="AK14" s="137" t="n">
        <v>10605356000</v>
      </c>
      <c r="AL14" s="137" t="n">
        <v>2518943000</v>
      </c>
      <c r="AM14" s="137" t="n">
        <v>3008176000</v>
      </c>
      <c r="AN14" s="137" t="n">
        <v>3630968000</v>
      </c>
      <c r="AO14" s="137" t="n">
        <v>2190233000</v>
      </c>
      <c r="AP14" s="137" t="n">
        <v>2616980000</v>
      </c>
      <c r="AQ14" s="137" t="n">
        <v>3163220000</v>
      </c>
      <c r="AR14" s="142" t="n">
        <v>0.008</v>
      </c>
      <c r="AS14" s="142" t="n">
        <v>0.008</v>
      </c>
      <c r="AT14" s="84" t="n">
        <v>0.15</v>
      </c>
      <c r="AU14" s="51" t="inlineStr">
        <is>
          <t>Electronic ceramic materials and components</t>
        </is>
      </c>
      <c r="AV14" s="51" t="inlineStr">
        <is>
          <t>Main Board</t>
        </is>
      </c>
      <c r="AW14" s="136" t="n">
        <v>46112</v>
      </c>
      <c r="AX14" s="137" t="n">
        <v>156685000</v>
      </c>
      <c r="AY14" s="117" t="n">
        <v>3564395000</v>
      </c>
      <c r="AZ14" s="117" t="n">
        <v>155810000</v>
      </c>
      <c r="BA14" s="117" t="n">
        <v>0</v>
      </c>
      <c r="BB14" s="138" t="n">
        <v>0.152</v>
      </c>
      <c r="BC14" s="139" t="n">
        <v>1</v>
      </c>
      <c r="BD14" s="80" t="n">
        <v>0</v>
      </c>
      <c r="BE14" s="161" t="n">
        <v>0</v>
      </c>
      <c r="BF14" s="161" t="n">
        <v>0</v>
      </c>
      <c r="BG14" s="161" t="n">
        <v>0</v>
      </c>
      <c r="BH14" s="161" t="n">
        <v>0</v>
      </c>
      <c r="BI14" s="161" t="n">
        <v>0</v>
      </c>
      <c r="BJ14" s="162" t="inlineStr">
        <is>
          <t>NA</t>
        </is>
      </c>
      <c r="BK14" s="163" t="n">
        <v>0</v>
      </c>
      <c r="BL14" s="161" t="n">
        <v>0</v>
      </c>
      <c r="BM14" s="164" t="inlineStr">
        <is>
          <t>NA</t>
        </is>
      </c>
      <c r="BN14" s="165" t="inlineStr">
        <is>
          <t>NaN</t>
        </is>
      </c>
      <c r="BO14" s="51" t="inlineStr">
        <is>
          <t>Individual (natural person)</t>
        </is>
      </c>
      <c r="BP14" s="135" t="n">
        <v>0.3516</v>
      </c>
      <c r="BQ14" s="135" t="n">
        <v>0.3516</v>
      </c>
      <c r="BR14" s="137" t="n">
        <v>812367000</v>
      </c>
      <c r="BS14" s="51" t="inlineStr">
        <is>
          <t>Commercialized (large-scale mass production)</t>
        </is>
      </c>
      <c r="BT14" s="142" t="n">
        <v>0</v>
      </c>
      <c r="BU14" s="60" t="inlineStr">
        <is>
          <t>Main Board</t>
        </is>
      </c>
      <c r="BV14" s="89" t="inlineStr">
        <is>
          <t>H Shares</t>
        </is>
      </c>
      <c r="BW14" s="61" t="n">
        <v>0</v>
      </c>
      <c r="BX14" s="77" t="n">
        <v>0</v>
      </c>
      <c r="BY14" s="77" t="n">
        <v>0</v>
      </c>
      <c r="BZ14" s="78" t="n">
        <v>0</v>
      </c>
      <c r="CA14" s="60" t="inlineStr">
        <is>
          <t>101025</t>
        </is>
      </c>
      <c r="CB14" s="76" t="inlineStr">
        <is>
          <t>HSICS (Hang Seng Industry Classification System) 2026</t>
        </is>
      </c>
      <c r="CC14" s="140" t="n">
        <v>33948</v>
      </c>
      <c r="CD14" s="171" t="n">
        <v>33.58</v>
      </c>
      <c r="CE14" s="76" t="inlineStr">
        <is>
          <t>PRC</t>
        </is>
      </c>
      <c r="CF14" s="89" t="inlineStr">
        <is>
          <t>Sanhuan Industrial District, Fengtang, Chaozhou, Guangdong Province, PRC</t>
        </is>
      </c>
      <c r="CG14" s="91" t="n"/>
      <c r="CH14" s="60" t="inlineStr">
        <is>
          <t>IFRS Accounting Standards</t>
        </is>
      </c>
      <c r="CI14" s="141" t="n">
        <v>45017</v>
      </c>
      <c r="CJ14" s="141" t="n">
        <v>45382</v>
      </c>
      <c r="CK14" s="141" t="n">
        <v>45383</v>
      </c>
      <c r="CL14" s="141" t="n">
        <v>45747</v>
      </c>
      <c r="CM14" s="141" t="n">
        <v>45748</v>
      </c>
      <c r="CN14" s="64" t="n">
        <v>10605356000</v>
      </c>
      <c r="CO14" s="64" t="n">
        <v>3630968000</v>
      </c>
      <c r="CP14" s="64" t="n">
        <v>3163220000</v>
      </c>
      <c r="CQ14" s="141" t="n">
        <v>46203</v>
      </c>
      <c r="CR14" s="141" t="n">
        <v>46209</v>
      </c>
      <c r="CS14" s="63" t="n">
        <v>71364300</v>
      </c>
      <c r="CT14" s="64" t="n">
        <v>1095552000</v>
      </c>
      <c r="CU14" s="64" t="n">
        <v>187760000</v>
      </c>
      <c r="CV14" s="59" t="inlineStr">
        <is>
          <t>Unqualified opinion</t>
        </is>
      </c>
      <c r="CW14" s="64" t="n">
        <v>111900000</v>
      </c>
      <c r="CX14" s="51" t="inlineStr">
        <is>
          <t>Temasek; JPMAMAPL; CPE River; Ninety One Asia; Alibaba Investment; Huang River; GSAM; Manulife; Taikang Life; China Universal Investors; Bosera International; ICBC Wealth; IvyRock; GBAHIL; Metazone; Verition Fund; GMF and IRMF</t>
        </is>
      </c>
      <c r="CY14" s="142" t="n">
        <v>0.4981</v>
      </c>
      <c r="CZ14" s="136" t="n">
        <v>46396</v>
      </c>
      <c r="DA14" s="143" t="n">
        <v>327.49</v>
      </c>
      <c r="DB14" s="63" t="n">
        <v>174984</v>
      </c>
      <c r="DC14" s="63" t="n">
        <v>2337131310</v>
      </c>
      <c r="DD14" s="59" t="inlineStr">
        <is>
          <t>Subscription level 327.49 times</t>
        </is>
      </c>
      <c r="DE14" s="141" t="n">
        <v>46210</v>
      </c>
      <c r="DF14" s="141" t="n">
        <v>46211</v>
      </c>
      <c r="DG14" s="63" t="n">
        <v>71364300</v>
      </c>
      <c r="DH14" s="63" t="n">
        <v>7136500</v>
      </c>
      <c r="DI14" s="63" t="n">
        <v>64227800</v>
      </c>
      <c r="DJ14" s="63" t="n">
        <v>8856900</v>
      </c>
      <c r="DK14" s="169" t="n">
        <v>0.827388</v>
      </c>
      <c r="DL14" s="59" t="inlineStr">
        <is>
          <t>Claw-back triggered N/A; Final no. of Offer Shares under Hong Kong Public Offering 7,136,500 (10.00%)</t>
        </is>
      </c>
      <c r="DM14" s="144" t="n">
        <v>7045900000</v>
      </c>
      <c r="DN14" s="142" t="n">
        <v>0.036</v>
      </c>
      <c r="DO14" s="51" t="n">
        <v>1987861671</v>
      </c>
      <c r="DP14" s="142" t="n">
        <v>0.018</v>
      </c>
      <c r="DQ14" s="59" t="inlineStr">
        <is>
          <t>Free float denominator = total issued shares upon listing (col_CZ); numerator = offer shares minus cornerstone allocation</t>
        </is>
      </c>
      <c r="DR14" s="63" t="n">
        <v>1987861671</v>
      </c>
      <c r="DS14" s="142" t="n">
        <v>-0.0856039</v>
      </c>
      <c r="DT14" s="80" t="n">
        <v>41</v>
      </c>
      <c r="DU14" s="142" t="n">
        <v>0.0294839</v>
      </c>
      <c r="DV14" s="144" t="n">
        <v>53981000000</v>
      </c>
      <c r="DW14" s="145" t="n">
        <v>105</v>
      </c>
      <c r="DX14" s="169" t="n">
        <v>0.046859</v>
      </c>
      <c r="DY14" s="172" t="n">
        <v>335412210</v>
      </c>
      <c r="DZ14" s="146" t="n">
        <v>100.3</v>
      </c>
      <c r="EA14" s="146" t="n">
        <v>109</v>
      </c>
      <c r="EB14" s="146" t="n">
        <v>100.3</v>
      </c>
      <c r="EC14" s="63" t="n">
        <v>17821155</v>
      </c>
      <c r="ED14" s="169" t="n">
        <v>0.249721</v>
      </c>
      <c r="EE14" s="64" t="n">
        <v>1809992600</v>
      </c>
      <c r="EF14" s="60" t="inlineStr">
        <is>
          <t>Mechanism B</t>
        </is>
      </c>
      <c r="EG14" s="59" t="inlineStr">
        <is>
          <t>FINI (from 22/11/2023); 2025-08-04 pricing reform (Mechanism A/B; six-month cornerstone lock-up retained); this IPO: Mechanism B</t>
        </is>
      </c>
      <c r="EH14" t="inlineStr">
        <is>
          <t>潮州三环（集团）股份有限公司</t>
        </is>
      </c>
      <c r="EI14" s="174" t="inlineStr">
        <is>
          <t>Active</t>
        </is>
      </c>
      <c r="EJ14" s="175" t="n">
        <v>111</v>
      </c>
      <c r="EK14" s="176" t="n">
        <v>0.057143</v>
      </c>
      <c r="EL14" s="176" t="n">
        <v>0.10668</v>
      </c>
      <c r="EM14" s="176" t="n">
        <v>0.07847</v>
      </c>
      <c r="EN14" s="176" t="n">
        <v>0.042588</v>
      </c>
      <c r="EO14" s="179" t="n">
        <v>0.9802</v>
      </c>
      <c r="EP14" s="179" t="n">
        <v>1.014</v>
      </c>
      <c r="EQ14" s="178" t="n">
        <v>317195185</v>
      </c>
      <c r="ER14" s="175" t="n"/>
      <c r="ES14" s="176" t="n"/>
      <c r="ET14" s="176" t="n"/>
      <c r="EU14" s="176" t="n"/>
      <c r="EV14" s="176" t="n"/>
      <c r="EW14" s="179" t="n"/>
      <c r="EX14" s="179" t="n"/>
      <c r="EY14" s="178" t="n"/>
      <c r="EZ14" s="176" t="n"/>
      <c r="FA14" s="176" t="n"/>
      <c r="FB14" s="179" t="n"/>
      <c r="FC14" s="176" t="n"/>
      <c r="FD14" s="179" t="n"/>
      <c r="FE14" s="174" t="inlineStr">
        <is>
          <t>Standard</t>
        </is>
      </c>
      <c r="FF14" s="181" t="inlineStr">
        <is>
          <t>China International Capital Corporation / Sponsor-OC</t>
        </is>
      </c>
      <c r="FG14" s="185" t="inlineStr">
        <is>
          <t>2026-08-08</t>
        </is>
      </c>
      <c r="FH14" s="183" t="n">
        <v>0</v>
      </c>
      <c r="FI14" s="178" t="n">
        <v>0</v>
      </c>
      <c r="FJ14" s="176" t="n">
        <v>0.15</v>
      </c>
      <c r="FK14" s="185" t="inlineStr">
        <is>
          <t>2026-08-08</t>
        </is>
      </c>
      <c r="FL14" s="178" t="n">
        <v>0</v>
      </c>
      <c r="FM14" s="176" t="n">
        <v>0</v>
      </c>
      <c r="FN14" s="176" t="n">
        <v>0.295431</v>
      </c>
      <c r="FO14" s="176" t="n">
        <v>0.129785</v>
      </c>
      <c r="FP14" s="176" t="n">
        <v>0.590776</v>
      </c>
      <c r="FQ14" s="176" t="n">
        <v>-0.017143</v>
      </c>
      <c r="FR14" s="179" t="n">
        <v>0.9569</v>
      </c>
      <c r="FS14" s="176" t="n">
        <v>0.057143</v>
      </c>
      <c r="FT14" s="179" t="n">
        <v>0.9802</v>
      </c>
      <c r="FU14" s="176" t="n"/>
      <c r="FV14" s="179" t="n"/>
      <c r="FW14" s="179" t="n"/>
      <c r="FX14" s="178" t="n"/>
      <c r="FY14" s="186" t="n">
        <v>0.0002646491228070175</v>
      </c>
      <c r="FZ14" s="183" t="n">
        <v>0</v>
      </c>
      <c r="GA14" s="176" t="n">
        <v>0.05425860055977774</v>
      </c>
      <c r="GB14" s="176" t="n">
        <v>0.274959</v>
      </c>
      <c r="GC14" s="185" t="inlineStr">
        <is>
          <t>2027-01-09</t>
        </is>
      </c>
      <c r="GD14" s="185" t="inlineStr">
        <is>
          <t>2027-07-09</t>
        </is>
      </c>
      <c r="GE14" s="176" t="n"/>
      <c r="GF14" s="176" t="n"/>
      <c r="GG14" s="179" t="n"/>
      <c r="GH14" s="181" t="inlineStr">
        <is>
          <t>CICC</t>
        </is>
      </c>
      <c r="GI14" s="183" t="n">
        <v>2</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POST_2025_REFORM</t>
        </is>
      </c>
    </row>
    <row r="15" ht="34" customFormat="1" customHeight="1" s="12">
      <c r="A15" s="43" t="n">
        <v>100</v>
      </c>
      <c r="B15" s="47" t="inlineStr">
        <is>
          <t>2249.HK</t>
        </is>
      </c>
      <c r="C15" s="44" t="inlineStr">
        <is>
          <t>NEXCHIP SEMICONDUCTOR (CHINA) LIMITED - H Shares</t>
        </is>
      </c>
      <c r="D15" s="130" t="n">
        <v>46203</v>
      </c>
      <c r="E15" s="48" t="n">
        <v>46213</v>
      </c>
      <c r="F15" s="43" t="inlineStr">
        <is>
          <t>China International Capital Corporation Hong Kong Securities Limited</t>
        </is>
      </c>
      <c r="G15" s="43" t="inlineStr">
        <is>
          <t>Rongcheng (Hong Kong) CPA Limited</t>
        </is>
      </c>
      <c r="H15" s="43" t="n"/>
      <c r="I15" s="131" t="n">
        <v>698219410</v>
      </c>
      <c r="J15" s="148" t="n">
        <v>6635621560</v>
      </c>
      <c r="K15" s="133" t="n">
        <v>32.3</v>
      </c>
      <c r="L15" t="n">
        <v>2223758697</v>
      </c>
      <c r="M15" s="67" t="n">
        <v>216167000</v>
      </c>
      <c r="N15" t="n">
        <v>2007591697</v>
      </c>
      <c r="O15" t="n">
        <v>2007591697</v>
      </c>
      <c r="P15" t="n">
        <v>0</v>
      </c>
      <c r="Q15" t="n">
        <v>216167000</v>
      </c>
      <c r="R15" s="67" t="n">
        <v>194550300</v>
      </c>
      <c r="S15" s="67" t="n">
        <v>21616700</v>
      </c>
      <c r="T15" s="147" t="n">
        <v>32.3</v>
      </c>
      <c r="U15" s="147" t="n">
        <v>30</v>
      </c>
      <c r="V15" s="169" t="n">
        <v>0.036918</v>
      </c>
      <c r="W15" s="169" t="n">
        <v>0.073836</v>
      </c>
      <c r="X15" s="170" t="inlineStr">
        <is>
          <t>At high</t>
        </is>
      </c>
      <c r="Y15" s="26" t="inlineStr">
        <is>
          <t>RMB</t>
        </is>
      </c>
      <c r="Z15" s="137" t="n">
        <v>50398582000</v>
      </c>
      <c r="AA15" s="137" t="n">
        <v>53297969000</v>
      </c>
      <c r="AB15" s="137" t="n">
        <v>54705900000</v>
      </c>
      <c r="AC15" s="137" t="n">
        <v>26088968000</v>
      </c>
      <c r="AD15" s="137" t="n">
        <v>28087689000</v>
      </c>
      <c r="AE15" s="137" t="n">
        <v>29759200000</v>
      </c>
      <c r="AF15" s="137" t="n">
        <v>24309614000</v>
      </c>
      <c r="AG15" s="137" t="n">
        <v>25210280000</v>
      </c>
      <c r="AH15" s="137" t="n">
        <v>24946700000</v>
      </c>
      <c r="AI15" s="137" t="n">
        <v>9119580000</v>
      </c>
      <c r="AJ15" s="137" t="n">
        <v>10388302000</v>
      </c>
      <c r="AK15" s="137" t="n">
        <v>11224520000</v>
      </c>
      <c r="AL15" s="137" t="n">
        <v>482460000</v>
      </c>
      <c r="AM15" s="137" t="n">
        <v>466694000</v>
      </c>
      <c r="AN15" s="137" t="n">
        <v>114288000</v>
      </c>
      <c r="AO15" s="137" t="n">
        <v>482197000</v>
      </c>
      <c r="AP15" s="137" t="n">
        <v>466498000</v>
      </c>
      <c r="AQ15" s="137" t="n">
        <v>114064000</v>
      </c>
      <c r="AR15" s="142" t="n">
        <v>0.017</v>
      </c>
      <c r="AS15" s="142" t="n">
        <v>0.017</v>
      </c>
      <c r="AT15" s="84" t="n">
        <v>0.15</v>
      </c>
      <c r="AU15" s="51" t="inlineStr">
        <is>
          <t>Semiconductor wafer foundry (12-inch IC wafer fabrication services for DDIC, CIS, PMIC, Logic IC and MCU)</t>
        </is>
      </c>
      <c r="AV15" s="51" t="inlineStr">
        <is>
          <t>Main Board of the Stock Exchange</t>
        </is>
      </c>
      <c r="AW15" s="136" t="n">
        <v>46112</v>
      </c>
      <c r="AX15" s="137" t="n">
        <v>963808000</v>
      </c>
      <c r="AY15" s="117" t="n">
        <v>2874143000</v>
      </c>
      <c r="AZ15" s="117" t="n">
        <v>302589000</v>
      </c>
      <c r="BA15" s="117" t="n">
        <v>57252000</v>
      </c>
      <c r="BB15" s="138" t="n">
        <v>0.579</v>
      </c>
      <c r="BC15" s="139" t="n">
        <v>1</v>
      </c>
      <c r="BD15" s="80" t="n">
        <v>1</v>
      </c>
      <c r="BE15" s="161" t="n">
        <v>1</v>
      </c>
      <c r="BF15" s="161" t="n">
        <v>1</v>
      </c>
      <c r="BG15" s="161" t="n">
        <v>1</v>
      </c>
      <c r="BH15" s="161" t="n">
        <v>1</v>
      </c>
      <c r="BI15" s="161" t="n">
        <v>0</v>
      </c>
      <c r="BJ15" s="162" t="inlineStr">
        <is>
          <t>Hefei Xinping; PIHC; Huaqin Technology; Hefei Qinhe</t>
        </is>
      </c>
      <c r="BK15" s="163" t="n">
        <v>35.44</v>
      </c>
      <c r="BL15" s="161" t="n">
        <v>1</v>
      </c>
      <c r="BM15" s="164" t="inlineStr">
        <is>
          <t>Multiple capital increases completed by September 2020</t>
        </is>
      </c>
      <c r="BN15" s="165" t="inlineStr">
        <is>
          <t>NaN</t>
        </is>
      </c>
      <c r="BO15" s="51" t="inlineStr">
        <is>
          <t>State-owned enterprise controlled by Hefei Municipal SASAC</t>
        </is>
      </c>
      <c r="BP15" s="135" t="n">
        <v>0.3864</v>
      </c>
      <c r="BQ15" s="135" t="n">
        <v>0.3864</v>
      </c>
      <c r="BR15" s="137" t="n">
        <v>19492700</v>
      </c>
      <c r="BS15" s="51" t="inlineStr">
        <is>
          <t>Commercialized - mass production across 150nm to 40nm technology nodes</t>
        </is>
      </c>
      <c r="BT15" s="142" t="n">
        <v>0</v>
      </c>
      <c r="BU15" s="60" t="inlineStr">
        <is>
          <t>Main Board</t>
        </is>
      </c>
      <c r="BV15" s="89" t="inlineStr">
        <is>
          <t>H Shares</t>
        </is>
      </c>
      <c r="BW15" s="61" t="n">
        <v>0</v>
      </c>
      <c r="BX15" s="77" t="n">
        <v>0</v>
      </c>
      <c r="BY15" s="77" t="n">
        <v>0</v>
      </c>
      <c r="BZ15" s="78" t="n">
        <v>0</v>
      </c>
      <c r="CA15" s="60" t="inlineStr">
        <is>
          <t>703010</t>
        </is>
      </c>
      <c r="CB15" s="76" t="inlineStr">
        <is>
          <t>HSICS (Hang Seng Industry Classification System) 2026</t>
        </is>
      </c>
      <c r="CC15" s="140" t="n">
        <v>42143</v>
      </c>
      <c r="CD15" s="171" t="n">
        <v>11.14</v>
      </c>
      <c r="CE15" s="76" t="inlineStr">
        <is>
          <t>PRC</t>
        </is>
      </c>
      <c r="CF15" s="89" t="inlineStr">
        <is>
          <t>No. 88 Xifeihe Road, Hefei Comprehensive Bonded Zone, Xinzhan District, Hefei, Anhui Province, PRC</t>
        </is>
      </c>
      <c r="CG15" s="91" t="n"/>
      <c r="CH15" s="60" t="inlineStr">
        <is>
          <t>IFRS Accounting Standards</t>
        </is>
      </c>
      <c r="CI15" s="141" t="n">
        <v>45017</v>
      </c>
      <c r="CJ15" s="141" t="n">
        <v>45382</v>
      </c>
      <c r="CK15" s="141" t="n">
        <v>45383</v>
      </c>
      <c r="CL15" s="141" t="n">
        <v>45747</v>
      </c>
      <c r="CM15" s="141" t="n">
        <v>45748</v>
      </c>
      <c r="CN15" s="64" t="n">
        <v>11224520000</v>
      </c>
      <c r="CO15" s="64" t="n">
        <v>114288000</v>
      </c>
      <c r="CP15" s="64" t="n">
        <v>114064000</v>
      </c>
      <c r="CQ15" s="141" t="n">
        <v>46203</v>
      </c>
      <c r="CR15" s="141" t="n">
        <v>46210</v>
      </c>
      <c r="CS15" s="63" t="n">
        <v>216167000</v>
      </c>
      <c r="CT15" s="64" t="n">
        <v>573538000</v>
      </c>
      <c r="CU15" s="64" t="n">
        <v>1426645000</v>
      </c>
      <c r="CV15" s="59" t="inlineStr">
        <is>
          <t>Unmodified opinion (true and fair view)</t>
        </is>
      </c>
      <c r="CW15" s="64" t="n">
        <v>172200000</v>
      </c>
      <c r="CX15" s="51" t="inlineStr">
        <is>
          <t>Chipone; Puxin Technology; Smartsens (HK); Chery Automobile HongKong; Goertek (HongKong); Taikang Life; GF Fund; Shanghai Gaoyi and CICC Financial Trading Limited; Perseverance Asset Management; China Universal (HK); NGS Super; HHLRA; WT Asset Management; IvyRock; Verition; Pinpoint; Da Cheng International; ICBC Wealth; PSBC Wealth; HGI</t>
        </is>
      </c>
      <c r="CY15" s="142" t="n">
        <v>0.4992</v>
      </c>
      <c r="CZ15" s="136" t="n">
        <v>46397</v>
      </c>
      <c r="DA15" s="143" t="n">
        <v>344.26</v>
      </c>
      <c r="DB15" s="63" t="n">
        <v>195505</v>
      </c>
      <c r="DC15" s="63" t="n">
        <v>7441765142</v>
      </c>
      <c r="DD15" s="59" t="inlineStr">
        <is>
          <t>Subscription level 344.26 times</t>
        </is>
      </c>
      <c r="DE15" s="141" t="n">
        <v>46211</v>
      </c>
      <c r="DF15" s="141" t="n">
        <v>46212</v>
      </c>
      <c r="DG15" s="63" t="n">
        <v>216167000</v>
      </c>
      <c r="DH15" s="63" t="n">
        <v>21616700</v>
      </c>
      <c r="DI15" s="63" t="n">
        <v>194550300</v>
      </c>
      <c r="DJ15" s="63" t="n">
        <v>10886900</v>
      </c>
      <c r="DK15" s="169" t="n">
        <v>0.335756</v>
      </c>
      <c r="DL15" s="59" t="inlineStr">
        <is>
          <t>Claw-back triggered N/A; Final no. of Offer Shares under Hong Kong Public Offering 21,616,700 (10.00%)</t>
        </is>
      </c>
      <c r="DM15" s="144" t="n">
        <v>6778730000</v>
      </c>
      <c r="DN15" s="142" t="n">
        <v>0.1</v>
      </c>
      <c r="DO15" s="51" t="n">
        <v>2223758697</v>
      </c>
      <c r="DP15" s="142" t="n">
        <v>0.0487</v>
      </c>
      <c r="DQ15" s="59" t="inlineStr">
        <is>
          <t>Free float denominator = total issued shares upon listing (col_CZ); numerator = offer shares minus cornerstone allocation</t>
        </is>
      </c>
      <c r="DR15" s="63" t="n">
        <v>2223758697</v>
      </c>
      <c r="DS15" s="142" t="n">
        <v>-0.0856039</v>
      </c>
      <c r="DT15" s="80" t="n">
        <v>41</v>
      </c>
      <c r="DU15" s="142" t="n">
        <v>0.0294839</v>
      </c>
      <c r="DV15" s="144" t="n">
        <v>53981000000</v>
      </c>
      <c r="DW15" s="145" t="n">
        <v>32.3</v>
      </c>
      <c r="DX15" s="169" t="n">
        <v>0</v>
      </c>
      <c r="DY15" s="172" t="n">
        <v>0</v>
      </c>
      <c r="DZ15" s="146" t="n">
        <v>36</v>
      </c>
      <c r="EA15" s="146" t="n">
        <v>36.8</v>
      </c>
      <c r="EB15" s="146" t="n">
        <v>31.8</v>
      </c>
      <c r="EC15" s="63" t="n">
        <v>64673431</v>
      </c>
      <c r="ED15" s="169" t="n">
        <v>0.299183</v>
      </c>
      <c r="EE15" s="64" t="n">
        <v>2211002800</v>
      </c>
      <c r="EF15" s="60" t="inlineStr">
        <is>
          <t>Mechanism B</t>
        </is>
      </c>
      <c r="EG15" s="59" t="inlineStr">
        <is>
          <t>FINI (from 22/11/2023); 2025-08-04 pricing reform (Mechanism A/B; six-month cornerstone lock-up retained); this IPO: Mechanism B</t>
        </is>
      </c>
      <c r="EH15" t="inlineStr">
        <is>
          <t>合肥晶合集成电路股份有限公司</t>
        </is>
      </c>
      <c r="EI15" s="174" t="inlineStr">
        <is>
          <t>Active</t>
        </is>
      </c>
      <c r="EJ15" s="175" t="n">
        <v>31.8</v>
      </c>
      <c r="EK15" s="176" t="n">
        <v>-0.01548</v>
      </c>
      <c r="EL15" s="176" t="n">
        <v>-0.01548</v>
      </c>
      <c r="EM15" s="176" t="n">
        <v>0.056056</v>
      </c>
      <c r="EN15" s="176" t="n">
        <v>0.020993</v>
      </c>
      <c r="EO15" s="179" t="n">
        <v>0.9323</v>
      </c>
      <c r="EP15" s="179" t="n">
        <v>0.9643</v>
      </c>
      <c r="EQ15" s="178" t="n">
        <v>276967450</v>
      </c>
      <c r="ER15" s="175" t="n"/>
      <c r="ES15" s="176" t="n"/>
      <c r="ET15" s="176" t="n"/>
      <c r="EU15" s="176" t="n"/>
      <c r="EV15" s="176" t="n"/>
      <c r="EW15" s="179" t="n"/>
      <c r="EX15" s="179" t="n"/>
      <c r="EY15" s="178" t="n"/>
      <c r="EZ15" s="176" t="n"/>
      <c r="FA15" s="176" t="n"/>
      <c r="FB15" s="179" t="n"/>
      <c r="FC15" s="176" t="n"/>
      <c r="FD15" s="179" t="n"/>
      <c r="FE15" s="174" t="inlineStr">
        <is>
          <t>Standard</t>
        </is>
      </c>
      <c r="FF15" s="181" t="inlineStr">
        <is>
          <t>China International Capital Corporation / Sponsor-OC</t>
        </is>
      </c>
      <c r="FG15" s="185" t="inlineStr">
        <is>
          <t>2026-08-09</t>
        </is>
      </c>
      <c r="FH15" s="183" t="n">
        <v>0</v>
      </c>
      <c r="FI15" s="178" t="n">
        <v>0</v>
      </c>
      <c r="FJ15" s="176" t="n">
        <v>0.15</v>
      </c>
      <c r="FK15" s="185" t="inlineStr">
        <is>
          <t>2026-08-09</t>
        </is>
      </c>
      <c r="FL15" s="178" t="n">
        <v>0</v>
      </c>
      <c r="FM15" s="176" t="n">
        <v>0</v>
      </c>
      <c r="FN15" s="176" t="n">
        <v>0.298655</v>
      </c>
      <c r="FO15" s="176" t="n">
        <v>-0.147551</v>
      </c>
      <c r="FP15" s="176" t="n">
        <v>0.208291</v>
      </c>
      <c r="FQ15" s="176" t="n">
        <v>-0.042724</v>
      </c>
      <c r="FR15" s="179" t="n">
        <v>0.9254</v>
      </c>
      <c r="FS15" s="176" t="n">
        <v>-0.01548</v>
      </c>
      <c r="FT15" s="179" t="n">
        <v>0.9323</v>
      </c>
      <c r="FU15" s="176" t="n"/>
      <c r="FV15" s="179" t="n"/>
      <c r="FW15" s="179" t="n"/>
      <c r="FX15" s="178" t="n"/>
      <c r="FY15" s="186" t="n">
        <v>0.0009484285714285714</v>
      </c>
      <c r="FZ15" s="183" t="n">
        <v>0</v>
      </c>
      <c r="GA15" s="176" t="n">
        <v>0.04296681216980223</v>
      </c>
      <c r="GB15" s="176" t="n">
        <v>0.297297</v>
      </c>
      <c r="GC15" s="185" t="inlineStr">
        <is>
          <t>2027-01-10</t>
        </is>
      </c>
      <c r="GD15" s="185" t="inlineStr">
        <is>
          <t>2027-07-10</t>
        </is>
      </c>
      <c r="GE15" s="176" t="n"/>
      <c r="GF15" s="176" t="n"/>
      <c r="GG15" s="179" t="n"/>
      <c r="GH15" s="181" t="inlineStr">
        <is>
          <t>CICC</t>
        </is>
      </c>
      <c r="GI15" s="183" t="n">
        <v>2</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POST_2025_REFORM</t>
        </is>
      </c>
    </row>
    <row r="16" ht="51" customFormat="1" customHeight="1" s="12">
      <c r="A16" s="43" t="n">
        <v>101</v>
      </c>
      <c r="B16" s="47" t="inlineStr">
        <is>
          <t>6745.HK</t>
        </is>
      </c>
      <c r="C16" s="44" t="inlineStr">
        <is>
          <t>Befar Group Co., Ltd - H Shares</t>
        </is>
      </c>
      <c r="D16" s="130" t="n">
        <v>46203</v>
      </c>
      <c r="E16" s="48" t="n">
        <v>46213</v>
      </c>
      <c r="F16" s="43" t="inlineStr">
        <is>
          <t>Huatai Financial Holdings (Hong Kong) Limited /
CCB International Capital Limited</t>
        </is>
      </c>
      <c r="G16" s="43" t="inlineStr">
        <is>
          <t>KPMG</t>
        </is>
      </c>
      <c r="H16" s="43" t="n"/>
      <c r="I16" s="131" t="n">
        <v>122541240</v>
      </c>
      <c r="J16" s="148" t="n">
        <v>1102857240</v>
      </c>
      <c r="K16" s="133" t="n">
        <v>3.48</v>
      </c>
      <c r="L16" t="n">
        <v>2408962276</v>
      </c>
      <c r="M16" s="67" t="n">
        <v>352126000</v>
      </c>
      <c r="N16" t="n">
        <v>2056836276</v>
      </c>
      <c r="O16" t="n">
        <v>2056836276</v>
      </c>
      <c r="P16" t="n">
        <v>0</v>
      </c>
      <c r="Q16" t="n">
        <v>352126000</v>
      </c>
      <c r="R16" s="67" t="n">
        <v>316913000</v>
      </c>
      <c r="S16" s="67" t="n">
        <v>35213000</v>
      </c>
      <c r="T16" s="147" t="n">
        <v>3.59</v>
      </c>
      <c r="U16" s="147" t="n">
        <v>3.05</v>
      </c>
      <c r="V16" s="169" t="n">
        <v>0.048193</v>
      </c>
      <c r="W16" s="169" t="n">
        <v>0.162651</v>
      </c>
      <c r="X16" s="170" t="inlineStr">
        <is>
          <t>Within range</t>
        </is>
      </c>
      <c r="Y16" s="26" t="inlineStr">
        <is>
          <t>RMB</t>
        </is>
      </c>
      <c r="Z16" s="137" t="n">
        <v>22956459000</v>
      </c>
      <c r="AA16" s="137" t="n">
        <v>24259291000</v>
      </c>
      <c r="AB16" s="137" t="n">
        <v>24397323000</v>
      </c>
      <c r="AC16" s="137" t="n">
        <v>11382714000</v>
      </c>
      <c r="AD16" s="137" t="n">
        <v>12152769000</v>
      </c>
      <c r="AE16" s="137" t="n">
        <v>12329303000</v>
      </c>
      <c r="AF16" s="137" t="n">
        <v>11573745000</v>
      </c>
      <c r="AG16" s="137" t="n">
        <v>12106522000</v>
      </c>
      <c r="AH16" s="137" t="n">
        <v>12068020000</v>
      </c>
      <c r="AI16" s="137" t="n">
        <v>10228062000</v>
      </c>
      <c r="AJ16" s="137" t="n">
        <v>14836442000</v>
      </c>
      <c r="AK16" s="137" t="n">
        <v>15690168000</v>
      </c>
      <c r="AL16" s="137" t="n">
        <v>121427000</v>
      </c>
      <c r="AM16" s="137" t="n">
        <v>355662000</v>
      </c>
      <c r="AN16" s="137" t="n">
        <v>999444000</v>
      </c>
      <c r="AO16" s="137" t="n">
        <v>217255000</v>
      </c>
      <c r="AP16" s="137" t="n">
        <v>235492000</v>
      </c>
      <c r="AQ16" s="137" t="n">
        <v>691232000</v>
      </c>
      <c r="AR16" s="142" t="n">
        <v>0.016</v>
      </c>
      <c r="AS16" s="142" t="n">
        <v>0.016</v>
      </c>
      <c r="AT16" s="84" t="n">
        <v>0</v>
      </c>
      <c r="AU16" s="51" t="inlineStr">
        <is>
          <t>Chemical industry — manufacturing and sale of chlor-alkali chemicals, C3-C4 chemicals and wet electronic chemicals</t>
        </is>
      </c>
      <c r="AV16" s="51" t="inlineStr">
        <is>
          <t>Main Board — Chapter 19A of the Listing Rules (PRC issuer with other listed shares); market capitalisation/revenue test under Rule 8.05(3)</t>
        </is>
      </c>
      <c r="AW16" s="136" t="n">
        <v>46112</v>
      </c>
      <c r="AX16" s="137" t="n">
        <v>191310000</v>
      </c>
      <c r="AY16" s="117" t="n">
        <v>1497412000</v>
      </c>
      <c r="AZ16" s="117" t="n">
        <v>12599000</v>
      </c>
      <c r="BA16" s="117" t="n">
        <v>0</v>
      </c>
      <c r="BB16" s="138" t="n">
        <v>0.213</v>
      </c>
      <c r="BC16" s="139" t="n">
        <v>1</v>
      </c>
      <c r="BD16" s="80" t="n">
        <v>0</v>
      </c>
      <c r="BE16" s="161" t="n">
        <v>0</v>
      </c>
      <c r="BF16" s="161" t="n">
        <v>0</v>
      </c>
      <c r="BG16" s="161" t="n">
        <v>0</v>
      </c>
      <c r="BH16" s="161" t="n">
        <v>0</v>
      </c>
      <c r="BI16" s="161" t="n">
        <v>0</v>
      </c>
      <c r="BJ16" s="162" t="inlineStr">
        <is>
          <t>NA</t>
        </is>
      </c>
      <c r="BK16" s="163" t="n">
        <v>0</v>
      </c>
      <c r="BL16" s="161" t="n">
        <v>0</v>
      </c>
      <c r="BM16" s="164" t="inlineStr">
        <is>
          <t>NA</t>
        </is>
      </c>
      <c r="BN16" s="165" t="inlineStr">
        <is>
          <t>NaN</t>
        </is>
      </c>
      <c r="BO16" s="51" t="inlineStr">
        <is>
          <t>No controlling shareholder (no actual controller); Single Largest Shareholder Group led by Binzhou Heyi</t>
        </is>
      </c>
      <c r="BP16" s="135" t="n">
        <v>0.09619999999999999</v>
      </c>
      <c r="BQ16" s="135" t="n">
        <v>0.09619999999999999</v>
      </c>
      <c r="BR16" s="137" t="n">
        <v>9439927000</v>
      </c>
      <c r="BS16" s="51" t="inlineStr">
        <is>
          <t>Commercialized (mass production and sale of chemical products)</t>
        </is>
      </c>
      <c r="BT16" s="142" t="n">
        <v>0</v>
      </c>
      <c r="BU16" s="60" t="inlineStr">
        <is>
          <t>Main Board</t>
        </is>
      </c>
      <c r="BV16" s="89" t="inlineStr">
        <is>
          <t>H Shares</t>
        </is>
      </c>
      <c r="BW16" s="61" t="n">
        <v>1</v>
      </c>
      <c r="BX16" s="77" t="n">
        <v>0</v>
      </c>
      <c r="BY16" s="77" t="n">
        <v>0</v>
      </c>
      <c r="BZ16" s="78" t="n">
        <v>0</v>
      </c>
      <c r="CA16" s="60" t="inlineStr">
        <is>
          <t>053040</t>
        </is>
      </c>
      <c r="CB16" s="76" t="inlineStr">
        <is>
          <t>HSICS (Hang Seng Industry Classification System) 2026</t>
        </is>
      </c>
      <c r="CC16" s="140" t="n">
        <v>35936</v>
      </c>
      <c r="CD16" s="171" t="n">
        <v>28.14</v>
      </c>
      <c r="CE16" s="76" t="inlineStr">
        <is>
          <t>PRC</t>
        </is>
      </c>
      <c r="CF16" s="89" t="inlineStr">
        <is>
          <t>Binzhou City, Shandong Province, the PRC</t>
        </is>
      </c>
      <c r="CG16" s="91" t="n"/>
      <c r="CH16" s="60" t="inlineStr">
        <is>
          <t>IFRS Accounting Standards</t>
        </is>
      </c>
      <c r="CI16" s="141" t="n">
        <v>45017</v>
      </c>
      <c r="CJ16" s="141" t="n">
        <v>45382</v>
      </c>
      <c r="CK16" s="141" t="n">
        <v>45383</v>
      </c>
      <c r="CL16" s="141" t="n">
        <v>45747</v>
      </c>
      <c r="CM16" s="141" t="n">
        <v>45748</v>
      </c>
      <c r="CN16" s="64" t="n">
        <v>15690168000</v>
      </c>
      <c r="CO16" s="64" t="n">
        <v>999444000</v>
      </c>
      <c r="CP16" s="64" t="n">
        <v>691232000</v>
      </c>
      <c r="CQ16" s="141" t="n">
        <v>46203</v>
      </c>
      <c r="CR16" s="141" t="n">
        <v>46210</v>
      </c>
      <c r="CS16" s="63" t="n">
        <v>352126000</v>
      </c>
      <c r="CT16" s="64" t="n">
        <v>506781000</v>
      </c>
      <c r="CU16" s="64" t="n">
        <v>110459000</v>
      </c>
      <c r="CV16" s="59" t="inlineStr">
        <is>
          <t>Unqualified (true and fair view)</t>
        </is>
      </c>
      <c r="CW16" s="64" t="n">
        <v>66700000</v>
      </c>
      <c r="CX16" s="51" t="inlineStr">
        <is>
          <t>Beijing Yian; HTCI; Luhua Daosheng; Aurora SF; China Hongqiao; Hyperion Venture; Tianto; Safewell</t>
        </is>
      </c>
      <c r="CY16" s="142" t="n">
        <v>0.3188</v>
      </c>
      <c r="CZ16" s="136" t="n">
        <v>46397</v>
      </c>
      <c r="DA16" s="143" t="n">
        <v>227.58</v>
      </c>
      <c r="DB16" s="63" t="n">
        <v>88855</v>
      </c>
      <c r="DC16" s="63" t="n">
        <v>8013774540</v>
      </c>
      <c r="DD16" s="59" t="inlineStr">
        <is>
          <t>Subscription level 227.58 times</t>
        </is>
      </c>
      <c r="DE16" s="141" t="n">
        <v>46211</v>
      </c>
      <c r="DF16" s="141" t="n">
        <v>46212</v>
      </c>
      <c r="DG16" s="63" t="n">
        <v>352126000</v>
      </c>
      <c r="DH16" s="63" t="n">
        <v>35213000</v>
      </c>
      <c r="DI16" s="63" t="n">
        <v>316913000</v>
      </c>
      <c r="DJ16" s="63" t="n">
        <v>0</v>
      </c>
      <c r="DK16" s="169" t="n">
        <v>0</v>
      </c>
      <c r="DL16" s="59" t="inlineStr">
        <is>
          <t>Claw-back triggered N/A; Final no. of Offer Shares under Hong Kong Public Offering 35,213,000 (10.00%)</t>
        </is>
      </c>
      <c r="DM16" s="144" t="n">
        <v>1160370000</v>
      </c>
      <c r="DN16" s="142" t="n">
        <v>0.15</v>
      </c>
      <c r="DO16" s="51" t="n">
        <v>2408962276</v>
      </c>
      <c r="DP16" s="142" t="n">
        <v>0.09959999999999999</v>
      </c>
      <c r="DQ16" s="59" t="inlineStr">
        <is>
          <t>Free float denominator = total issued shares upon listing (col_CZ); numerator = offer shares minus cornerstone allocation</t>
        </is>
      </c>
      <c r="DR16" s="63" t="n">
        <v>2408962276</v>
      </c>
      <c r="DS16" s="142" t="n">
        <v>-0.0856039</v>
      </c>
      <c r="DT16" s="80" t="n">
        <v>41</v>
      </c>
      <c r="DU16" s="142" t="n">
        <v>0.0294839</v>
      </c>
      <c r="DV16" s="144" t="n">
        <v>53981000000</v>
      </c>
      <c r="DW16" s="145" t="n">
        <v>2.83</v>
      </c>
      <c r="DX16" s="169" t="n">
        <v>-0.186782</v>
      </c>
      <c r="DY16" s="172" t="n">
        <v>-228881900</v>
      </c>
      <c r="DZ16" s="146" t="n">
        <v>2.74</v>
      </c>
      <c r="EA16" s="146" t="n">
        <v>3.15</v>
      </c>
      <c r="EB16" s="146" t="n">
        <v>2.64</v>
      </c>
      <c r="EC16" s="63" t="n">
        <v>72959000</v>
      </c>
      <c r="ED16" s="169" t="n">
        <v>0.207196</v>
      </c>
      <c r="EE16" s="64" t="n">
        <v>211467400</v>
      </c>
      <c r="EF16" s="60" t="inlineStr">
        <is>
          <t>Mechanism B</t>
        </is>
      </c>
      <c r="EG16" s="59" t="inlineStr">
        <is>
          <t>FINI (from 22/11/2023); 2025-08-04 pricing reform (Mechanism A/B; six-month cornerstone lock-up retained); this IPO: Mechanism B</t>
        </is>
      </c>
      <c r="EH16" t="inlineStr">
        <is>
          <t>滨化集团股份有限公司</t>
        </is>
      </c>
      <c r="EI16" s="174" t="inlineStr">
        <is>
          <t>Active</t>
        </is>
      </c>
      <c r="EJ16" s="175" t="n">
        <v>3.46</v>
      </c>
      <c r="EK16" s="176" t="n">
        <v>0.222615</v>
      </c>
      <c r="EL16" s="176" t="n">
        <v>-0.005747</v>
      </c>
      <c r="EM16" s="176" t="n">
        <v>0.056056</v>
      </c>
      <c r="EN16" s="176" t="n">
        <v>0.020993</v>
      </c>
      <c r="EO16" s="179" t="n">
        <v>1.1577</v>
      </c>
      <c r="EP16" s="179" t="n">
        <v>1.1975</v>
      </c>
      <c r="EQ16" s="178" t="n">
        <v>119182040</v>
      </c>
      <c r="ER16" s="175" t="n"/>
      <c r="ES16" s="176" t="n"/>
      <c r="ET16" s="176" t="n"/>
      <c r="EU16" s="176" t="n"/>
      <c r="EV16" s="176" t="n"/>
      <c r="EW16" s="179" t="n"/>
      <c r="EX16" s="179" t="n"/>
      <c r="EY16" s="178" t="n"/>
      <c r="EZ16" s="176" t="n"/>
      <c r="FA16" s="176" t="n"/>
      <c r="FB16" s="179" t="n"/>
      <c r="FC16" s="176" t="n"/>
      <c r="FD16" s="179" t="n"/>
      <c r="FE16" s="174" t="inlineStr">
        <is>
          <t>Standard</t>
        </is>
      </c>
      <c r="FF16" s="181" t="inlineStr">
        <is>
          <t>China International Capital Corporation / Sponsor-OC</t>
        </is>
      </c>
      <c r="FG16" s="185" t="inlineStr">
        <is>
          <t>2026-08-09</t>
        </is>
      </c>
      <c r="FH16" s="183" t="n">
        <v>0</v>
      </c>
      <c r="FI16" s="178" t="n">
        <v>0</v>
      </c>
      <c r="FJ16" s="176" t="n">
        <v>0.15</v>
      </c>
      <c r="FK16" s="185" t="inlineStr">
        <is>
          <t>2026-08-09</t>
        </is>
      </c>
      <c r="FL16" s="178" t="n">
        <v>0</v>
      </c>
      <c r="FM16" s="176" t="n">
        <v>0</v>
      </c>
      <c r="FN16" s="176" t="n">
        <v>0.007962</v>
      </c>
      <c r="FO16" s="176" t="n">
        <v>-0.094955</v>
      </c>
      <c r="FP16" s="176" t="n">
        <v>0.176566</v>
      </c>
      <c r="FQ16" s="176" t="n">
        <v>0.07420499999999999</v>
      </c>
      <c r="FR16" s="179" t="n">
        <v>1.0384</v>
      </c>
      <c r="FS16" s="176" t="n">
        <v>0.222615</v>
      </c>
      <c r="FT16" s="179" t="n">
        <v>1.1577</v>
      </c>
      <c r="FU16" s="176" t="n"/>
      <c r="FV16" s="179" t="n"/>
      <c r="FW16" s="179" t="n"/>
      <c r="FX16" s="178" t="n"/>
      <c r="FY16" s="186" t="n">
        <v>0.001229767857142857</v>
      </c>
      <c r="FZ16" s="183" t="n">
        <v>0</v>
      </c>
      <c r="GA16" s="176" t="n">
        <v>0.05156353344337362</v>
      </c>
      <c r="GB16" s="176" t="n">
        <v>0.312649</v>
      </c>
      <c r="GC16" s="185" t="inlineStr">
        <is>
          <t>2027-01-10</t>
        </is>
      </c>
      <c r="GD16" s="185" t="inlineStr">
        <is>
          <t>2027-07-10</t>
        </is>
      </c>
      <c r="GE16" s="176" t="n"/>
      <c r="GF16" s="176" t="n"/>
      <c r="GG16" s="179" t="n"/>
      <c r="GH16" s="181" t="inlineStr">
        <is>
          <t>CICC</t>
        </is>
      </c>
      <c r="GI16" s="183" t="n">
        <v>2</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POST_2025_REFORM</t>
        </is>
      </c>
    </row>
    <row r="17" ht="68" customFormat="1" customHeight="1" s="12">
      <c r="A17" s="43" t="n">
        <v>102</v>
      </c>
      <c r="B17" s="47" t="inlineStr">
        <is>
          <t>3308.HK</t>
        </is>
      </c>
      <c r="C17" s="44" t="inlineStr">
        <is>
          <t>ZHONGJI INNOLIGHT CO., LTD. - H Shares</t>
        </is>
      </c>
      <c r="D17" s="130" t="n">
        <v>46225</v>
      </c>
      <c r="E17" s="48" t="n">
        <v>46233</v>
      </c>
      <c r="F17" s="43" t="inlineStr">
        <is>
          <t>Goldman Sachs (Asia) L.L.C. /
China International Capital Corporation Hong Kong Securities Limited /
Morgan Stanley Asia Limited /
GF Capital (Hong Kong) Limited</t>
        </is>
      </c>
      <c r="G17" s="43" t="inlineStr">
        <is>
          <t>PricewaterhouseCoopers</t>
        </is>
      </c>
      <c r="H17" s="43" t="n"/>
      <c r="I17" s="131" t="n">
        <v>5341000000</v>
      </c>
      <c r="J17" s="148" t="n">
        <v>56080500000</v>
      </c>
      <c r="K17" s="133" t="n">
        <v>980</v>
      </c>
      <c r="L17" t="n">
        <v>1169734641</v>
      </c>
      <c r="M17" s="67" t="n">
        <v>54500000</v>
      </c>
      <c r="N17" t="n">
        <v>1115234641</v>
      </c>
      <c r="O17" t="n">
        <v>1115234641</v>
      </c>
      <c r="P17" t="n">
        <v>0</v>
      </c>
      <c r="Q17" t="n">
        <v>54500000</v>
      </c>
      <c r="R17" s="67" t="n">
        <v>49050000</v>
      </c>
      <c r="S17" s="67" t="n">
        <v>5450000</v>
      </c>
      <c r="T17" s="147" t="n">
        <v>1010</v>
      </c>
      <c r="U17" s="147" t="inlineStr">
        <is>
          <t>NaN</t>
        </is>
      </c>
      <c r="V17" s="169" t="n">
        <v>0</v>
      </c>
      <c r="W17" s="169" t="n">
        <v>0</v>
      </c>
      <c r="X17" s="170" t="inlineStr">
        <is>
          <t>Fixed price</t>
        </is>
      </c>
      <c r="Y17" s="26" t="inlineStr">
        <is>
          <t>RMB</t>
        </is>
      </c>
      <c r="Z17" s="137" t="n">
        <v>28866275000</v>
      </c>
      <c r="AA17" s="137" t="n">
        <v>45288971000</v>
      </c>
      <c r="AB17" s="137" t="n">
        <v>56648234000</v>
      </c>
      <c r="AC17" s="137" t="n">
        <v>20292841000</v>
      </c>
      <c r="AD17" s="137" t="n">
        <v>31621199000</v>
      </c>
      <c r="AE17" s="137" t="n">
        <v>38114901000</v>
      </c>
      <c r="AF17" s="137" t="n">
        <v>8573434000</v>
      </c>
      <c r="AG17" s="137" t="n">
        <v>13667772000</v>
      </c>
      <c r="AH17" s="137" t="n">
        <v>18533333000</v>
      </c>
      <c r="AI17" s="137" t="n">
        <v>23862160000</v>
      </c>
      <c r="AJ17" s="137" t="n">
        <v>38239936000</v>
      </c>
      <c r="AK17" s="137" t="n">
        <v>77985592000</v>
      </c>
      <c r="AL17" s="137" t="n">
        <v>6052438000</v>
      </c>
      <c r="AM17" s="137" t="n">
        <v>13599624000</v>
      </c>
      <c r="AN17" s="137" t="n">
        <v>30143208000</v>
      </c>
      <c r="AO17" s="137" t="n">
        <v>5371776000</v>
      </c>
      <c r="AP17" s="137" t="n">
        <v>11579754000</v>
      </c>
      <c r="AQ17" s="137" t="n">
        <v>25267168000</v>
      </c>
      <c r="AR17" s="142" t="n">
        <v>0.004</v>
      </c>
      <c r="AS17" s="142" t="n">
        <v>0.004</v>
      </c>
      <c r="AT17" s="84" t="n">
        <v>0.15</v>
      </c>
      <c r="AU17" s="51" t="inlineStr">
        <is>
          <t>Optical interconnect solutions and optical transceivers for cloud and AI infrastructure</t>
        </is>
      </c>
      <c r="AV17" s="51" t="inlineStr">
        <is>
          <t>Chapter 19A of the Listing Rules (PRC issuer with other listed shares)</t>
        </is>
      </c>
      <c r="AW17" s="136" t="n">
        <v>46112</v>
      </c>
      <c r="AX17" s="137" t="n">
        <v>3354934000</v>
      </c>
      <c r="AY17" s="117" t="n">
        <v>12176254000</v>
      </c>
      <c r="AZ17" s="117" t="n">
        <v>644689000</v>
      </c>
      <c r="BA17" s="117" t="n">
        <v>1834000</v>
      </c>
      <c r="BB17" s="138" t="n">
        <v>0.819</v>
      </c>
      <c r="BC17" s="139" t="n">
        <v>1</v>
      </c>
      <c r="BD17" s="80" t="n">
        <v>0</v>
      </c>
      <c r="BE17" s="161" t="n">
        <v>0</v>
      </c>
      <c r="BF17" s="161" t="n">
        <v>0</v>
      </c>
      <c r="BG17" s="161" t="n">
        <v>0</v>
      </c>
      <c r="BH17" s="161" t="n">
        <v>0</v>
      </c>
      <c r="BI17" s="161" t="n">
        <v>0</v>
      </c>
      <c r="BJ17" s="162" t="inlineStr">
        <is>
          <t>NA</t>
        </is>
      </c>
      <c r="BK17" s="163" t="n">
        <v>0</v>
      </c>
      <c r="BL17" s="161" t="n">
        <v>0</v>
      </c>
      <c r="BM17" s="164" t="inlineStr">
        <is>
          <t>NA</t>
        </is>
      </c>
      <c r="BN17" s="165" t="inlineStr">
        <is>
          <t>NaN</t>
        </is>
      </c>
      <c r="BO17" s="51" t="inlineStr">
        <is>
          <t>Individual</t>
        </is>
      </c>
      <c r="BP17" s="135" t="n">
        <v>0.1634</v>
      </c>
      <c r="BQ17" s="135" t="n">
        <v>0.1634</v>
      </c>
      <c r="BR17" s="137" t="n">
        <v>2540915000</v>
      </c>
      <c r="BS17" s="51" t="inlineStr">
        <is>
          <t>Commercialized</t>
        </is>
      </c>
      <c r="BT17" s="142" t="n">
        <v>0</v>
      </c>
      <c r="BU17" s="60" t="inlineStr">
        <is>
          <t>Main Board</t>
        </is>
      </c>
      <c r="BV17" s="89" t="inlineStr">
        <is>
          <t>H Shares</t>
        </is>
      </c>
      <c r="BW17" s="61" t="n">
        <v>1</v>
      </c>
      <c r="BX17" s="77" t="n">
        <v>0</v>
      </c>
      <c r="BY17" s="77" t="n">
        <v>0</v>
      </c>
      <c r="BZ17" s="78" t="n">
        <v>0</v>
      </c>
      <c r="CA17" s="60" t="inlineStr">
        <is>
          <t>701015</t>
        </is>
      </c>
      <c r="CB17" s="76" t="inlineStr">
        <is>
          <t>HSICS (Hang Seng Industry Classification System) 2026</t>
        </is>
      </c>
      <c r="CC17" s="140" t="n">
        <v>38530</v>
      </c>
      <c r="CD17" s="171" t="n">
        <v>21.09</v>
      </c>
      <c r="CE17" s="76" t="inlineStr">
        <is>
          <t>PRC</t>
        </is>
      </c>
      <c r="CF17" s="89" t="inlineStr">
        <is>
          <t>168 Shengpu Road, Suzhou Industrial Park, Suzhou City, Jiangsu Province, PRC</t>
        </is>
      </c>
      <c r="CG17" s="91" t="n"/>
      <c r="CH17" s="60" t="inlineStr">
        <is>
          <t>IFRS</t>
        </is>
      </c>
      <c r="CI17" s="141" t="n">
        <v>45017</v>
      </c>
      <c r="CJ17" s="141" t="n">
        <v>45382</v>
      </c>
      <c r="CK17" s="141" t="n">
        <v>45383</v>
      </c>
      <c r="CL17" s="141" t="n">
        <v>45747</v>
      </c>
      <c r="CM17" s="141" t="n">
        <v>45748</v>
      </c>
      <c r="CN17" s="64" t="n">
        <v>77985592000</v>
      </c>
      <c r="CO17" s="64" t="n">
        <v>30143208000</v>
      </c>
      <c r="CP17" s="64" t="n">
        <v>25267168000</v>
      </c>
      <c r="CQ17" s="141" t="n">
        <v>46225</v>
      </c>
      <c r="CR17" s="141" t="n">
        <v>46230</v>
      </c>
      <c r="CS17" s="63" t="n">
        <v>54500000</v>
      </c>
      <c r="CT17" s="64" t="n">
        <v>8879994000</v>
      </c>
      <c r="CU17" s="64" t="n">
        <v>1929199000</v>
      </c>
      <c r="CV17" s="59" t="inlineStr">
        <is>
          <t>Unqualified</t>
        </is>
      </c>
      <c r="CW17" s="64" t="n">
        <v>532100000</v>
      </c>
      <c r="CX17" s="51" t="inlineStr">
        <is>
          <t>Temasek, Taibai, True Light, HHLRA, JPM AM, BlackRock, YF Capital, Aspex, ADIA, Wellington, Perseverance Asset Management, Indus Funds, Mirae Investors, NGS Super Fund, Bain Capital, CPE, Boyu Capital, IDG Capital, Ninety One Asia, WT Asset Management, CloudAlpha Capital, Tairen, Hao Funds, Janchor Funds, Alibaba, Tencent, CPP Investments</t>
        </is>
      </c>
      <c r="CY17" s="142" t="n">
        <v>0.5</v>
      </c>
      <c r="CZ17" s="136" t="n">
        <v>46417</v>
      </c>
      <c r="DA17" s="143" t="n">
        <v>16.84</v>
      </c>
      <c r="DB17" s="63" t="n">
        <v>62731</v>
      </c>
      <c r="DC17" s="63" t="n">
        <v>91799450</v>
      </c>
      <c r="DD17" s="59" t="inlineStr">
        <is>
          <t>Subscription level 16.84 times</t>
        </is>
      </c>
      <c r="DE17" s="141" t="n">
        <v>46231</v>
      </c>
      <c r="DF17" s="141" t="n">
        <v>46232</v>
      </c>
      <c r="DG17" s="63" t="n">
        <v>54500000</v>
      </c>
      <c r="DH17" s="63" t="n">
        <v>5450000</v>
      </c>
      <c r="DI17" s="63" t="n">
        <v>49050000</v>
      </c>
      <c r="DJ17" s="63" t="n">
        <v>8175000</v>
      </c>
      <c r="DK17" s="169" t="n">
        <v>1</v>
      </c>
      <c r="DL17" s="59" t="inlineStr">
        <is>
          <t>Claw-back triggered N/A</t>
        </is>
      </c>
      <c r="DM17" s="144" t="n">
        <v>52891000000</v>
      </c>
      <c r="DN17" s="142" t="n">
        <v>0.0466</v>
      </c>
      <c r="DO17" s="51" t="n">
        <v>1169734641</v>
      </c>
      <c r="DP17" s="142" t="n">
        <v>0.0233</v>
      </c>
      <c r="DQ17" s="59" t="inlineStr">
        <is>
          <t>Free float denominator = total issued shares upon listing (col_CZ); numerator = offer shares minus cornerstone allocation</t>
        </is>
      </c>
      <c r="DR17" s="63" t="n">
        <v>1169734641</v>
      </c>
      <c r="DS17" s="142" t="n">
        <v>0.05737711</v>
      </c>
      <c r="DT17" s="80" t="n">
        <v>56</v>
      </c>
      <c r="DU17" s="142" t="n">
        <v>0.0271548</v>
      </c>
      <c r="DV17" s="144" t="n">
        <v>54056000000</v>
      </c>
      <c r="DW17" s="145" t="n">
        <v>958.612</v>
      </c>
      <c r="DX17" s="169" t="n">
        <v>-0.021824</v>
      </c>
      <c r="DY17" s="172" t="n">
        <v>-1165646000</v>
      </c>
      <c r="DZ17" s="146" t="n">
        <v>969.612</v>
      </c>
      <c r="EA17" s="146" t="n">
        <v>971.612</v>
      </c>
      <c r="EB17" s="146" t="n">
        <v>878.612</v>
      </c>
      <c r="EC17" s="63" t="n">
        <v>12212277</v>
      </c>
      <c r="ED17" s="169" t="n">
        <v>0.224078</v>
      </c>
      <c r="EE17" s="64" t="n">
        <v>11486621440</v>
      </c>
      <c r="EF17" s="60" t="inlineStr">
        <is>
          <t>Mechanism B</t>
        </is>
      </c>
      <c r="EG17" s="59" t="inlineStr">
        <is>
          <t>FINI (from 22/11/2023); 2025-08-04 pricing reform (Mechanism A/B; six-month cornerstone lock-up retained); this IPO: Mechanism B</t>
        </is>
      </c>
      <c r="EH17" t="inlineStr">
        <is>
          <t>中際旭創股份有限公司</t>
        </is>
      </c>
      <c r="EI17" s="174" t="inlineStr">
        <is>
          <t>Active</t>
        </is>
      </c>
      <c r="EJ17" s="175" t="n">
        <v>1013.612</v>
      </c>
      <c r="EK17" s="176" t="n">
        <v>0.057375</v>
      </c>
      <c r="EL17" s="176" t="n">
        <v>0.034298</v>
      </c>
      <c r="EM17" s="176" t="n">
        <v>-0.007963</v>
      </c>
      <c r="EN17" s="176" t="n">
        <v>-0.036975</v>
      </c>
      <c r="EO17" s="179" t="n">
        <v>1.0659</v>
      </c>
      <c r="EP17" s="179" t="n">
        <v>1.098</v>
      </c>
      <c r="EQ17" s="178" t="n">
        <v>2910250076.5</v>
      </c>
      <c r="ER17" s="175" t="n"/>
      <c r="ES17" s="176" t="n"/>
      <c r="ET17" s="176" t="n"/>
      <c r="EU17" s="176" t="n"/>
      <c r="EV17" s="176" t="n"/>
      <c r="EW17" s="179" t="n"/>
      <c r="EX17" s="179" t="n"/>
      <c r="EY17" s="178" t="n"/>
      <c r="EZ17" s="176" t="n"/>
      <c r="FA17" s="176" t="n"/>
      <c r="FB17" s="179" t="n"/>
      <c r="FC17" s="176" t="n"/>
      <c r="FD17" s="179" t="n"/>
      <c r="FE17" s="174" t="inlineStr">
        <is>
          <t>Standard</t>
        </is>
      </c>
      <c r="FF17" s="181" t="inlineStr">
        <is>
          <t>China International Capital Corporation / Sponsor-OC</t>
        </is>
      </c>
      <c r="FG17" s="185" t="inlineStr">
        <is>
          <t>2026-08-29</t>
        </is>
      </c>
      <c r="FH17" s="183" t="n">
        <v>0</v>
      </c>
      <c r="FI17" s="178" t="n">
        <v>0</v>
      </c>
      <c r="FJ17" s="176" t="n">
        <v>0.15</v>
      </c>
      <c r="FK17" s="185" t="inlineStr">
        <is>
          <t>2026-08-29</t>
        </is>
      </c>
      <c r="FL17" s="178" t="n">
        <v>0</v>
      </c>
      <c r="FM17" s="176" t="n">
        <v>0</v>
      </c>
      <c r="FN17" s="176" t="n">
        <v>0.191547</v>
      </c>
      <c r="FO17" s="176" t="n">
        <v>0.139535</v>
      </c>
      <c r="FP17" s="176" t="n">
        <v>0.746421</v>
      </c>
      <c r="FQ17" s="176" t="n">
        <v>0.162735</v>
      </c>
      <c r="FR17" s="179" t="n">
        <v>1.1602</v>
      </c>
      <c r="FS17" s="176" t="n">
        <v>0.057375</v>
      </c>
      <c r="FT17" s="179" t="n">
        <v>1.0659</v>
      </c>
      <c r="FU17" s="176" t="n"/>
      <c r="FV17" s="179" t="n"/>
      <c r="FW17" s="179" t="n"/>
      <c r="FX17" s="178" t="n"/>
      <c r="FY17" s="186" t="n">
        <v>1.807142857142857e-05</v>
      </c>
      <c r="FZ17" s="183" t="n">
        <v>0</v>
      </c>
      <c r="GA17" s="176" t="n">
        <v>0.05979431374196732</v>
      </c>
      <c r="GB17" s="176" t="n">
        <v>0.24514</v>
      </c>
      <c r="GC17" s="185" t="inlineStr">
        <is>
          <t>2027-01-30</t>
        </is>
      </c>
      <c r="GD17" s="185" t="inlineStr">
        <is>
          <t>2027-07-30</t>
        </is>
      </c>
      <c r="GE17" s="176" t="n"/>
      <c r="GF17" s="176" t="n"/>
      <c r="GG17" s="179" t="n"/>
      <c r="GH17" s="181" t="inlineStr">
        <is>
          <t>CICC</t>
        </is>
      </c>
      <c r="GI17" s="183" t="n">
        <v>2</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POST_2025_REFORM</t>
        </is>
      </c>
    </row>
    <row r="18" ht="51" customFormat="1" customHeight="1" s="11">
      <c r="A18" s="43" t="n">
        <v>103</v>
      </c>
      <c r="B18" s="47" t="inlineStr">
        <is>
          <t>2261.HK</t>
        </is>
      </c>
      <c r="C18" s="44" t="inlineStr">
        <is>
          <t>NASN Intelligent Tech (Zhejiang) Co., Ltd. - H Shares</t>
        </is>
      </c>
      <c r="D18" s="130" t="n">
        <v>46233</v>
      </c>
      <c r="E18" s="48" t="n">
        <v>46241</v>
      </c>
      <c r="F18" s="43" t="inlineStr">
        <is>
          <t>Haitong International Capital Limited /
BOCI Asia Limited</t>
        </is>
      </c>
      <c r="G18" s="43" t="inlineStr">
        <is>
          <t>Ernst &amp; Young</t>
        </is>
      </c>
      <c r="H18" s="43" t="n"/>
      <c r="I18" s="131" t="n">
        <v>60013990</v>
      </c>
      <c r="J18" s="148" t="n">
        <v>540120700</v>
      </c>
      <c r="K18" s="133" t="n">
        <v>10.42</v>
      </c>
      <c r="L18" t="n">
        <v>594984292</v>
      </c>
      <c r="M18" s="67" t="n">
        <v>57594500</v>
      </c>
      <c r="N18" t="n">
        <v>537389792</v>
      </c>
      <c r="O18" t="n">
        <v>537389792</v>
      </c>
      <c r="P18" t="n">
        <v>0</v>
      </c>
      <c r="Q18" t="n">
        <v>57594500</v>
      </c>
      <c r="R18" s="67" t="n">
        <v>51835000</v>
      </c>
      <c r="S18" s="67" t="n">
        <v>5759500</v>
      </c>
      <c r="T18" s="147" t="n">
        <v>11.18</v>
      </c>
      <c r="U18" s="147" t="n">
        <v>10.42</v>
      </c>
      <c r="V18" s="169" t="n">
        <v>-0.035185</v>
      </c>
      <c r="W18" s="169" t="n">
        <v>0.07037</v>
      </c>
      <c r="X18" s="170" t="inlineStr">
        <is>
          <t>At low</t>
        </is>
      </c>
      <c r="Y18" s="26" t="inlineStr">
        <is>
          <t>RMB</t>
        </is>
      </c>
      <c r="Z18" s="137" t="n">
        <v>1078257000</v>
      </c>
      <c r="AA18" s="137" t="n">
        <v>1218745000</v>
      </c>
      <c r="AB18" s="137" t="n">
        <v>1140805000</v>
      </c>
      <c r="AC18" s="137" t="n">
        <v>-906890000</v>
      </c>
      <c r="AD18" s="137" t="n">
        <v>-1063551000</v>
      </c>
      <c r="AE18" s="137" t="n">
        <v>-1113516000</v>
      </c>
      <c r="AF18" s="137" t="n">
        <v>1985147000</v>
      </c>
      <c r="AG18" s="137" t="n">
        <v>2282296000</v>
      </c>
      <c r="AH18" s="137" t="n">
        <v>2254321000</v>
      </c>
      <c r="AI18" s="137" t="n">
        <v>390737000</v>
      </c>
      <c r="AJ18" s="137" t="n">
        <v>614506000</v>
      </c>
      <c r="AK18" s="137" t="n">
        <v>603264000</v>
      </c>
      <c r="AL18" s="137" t="n">
        <v>-169521000</v>
      </c>
      <c r="AM18" s="137" t="n">
        <v>-189524000</v>
      </c>
      <c r="AN18" s="137" t="n">
        <v>-219528000</v>
      </c>
      <c r="AO18" s="137" t="n">
        <v>-169521000</v>
      </c>
      <c r="AP18" s="137" t="n">
        <v>-189524000</v>
      </c>
      <c r="AQ18" s="137" t="n">
        <v>-219528000</v>
      </c>
      <c r="AR18" s="142" t="n">
        <v>0.03</v>
      </c>
      <c r="AS18" s="142" t="n">
        <v>0.03</v>
      </c>
      <c r="AT18" s="84" t="n">
        <v>0.15</v>
      </c>
      <c r="AU18" s="51" t="inlineStr">
        <is>
          <t>Development of intelligent driving motion control technologies, currently delivering mission-critical brake-by-wire solutions</t>
        </is>
      </c>
      <c r="AV18" s="51" t="inlineStr">
        <is>
          <t>Rule 8.05(3) of the Listing Rules (Market Capitalization/Revenue Test)</t>
        </is>
      </c>
      <c r="AW18" s="136" t="n">
        <v>46112</v>
      </c>
      <c r="AX18" s="137" t="n">
        <v>-19078000</v>
      </c>
      <c r="AY18" s="117" t="n">
        <v>203526000</v>
      </c>
      <c r="AZ18" s="117" t="n">
        <v>23616000</v>
      </c>
      <c r="BA18" s="117" t="n">
        <v>0</v>
      </c>
      <c r="BB18" s="138" t="n">
        <v>0.969</v>
      </c>
      <c r="BC18" s="139" t="n">
        <v>1</v>
      </c>
      <c r="BD18" s="80" t="n">
        <v>1</v>
      </c>
      <c r="BE18" s="161" t="n">
        <v>1</v>
      </c>
      <c r="BF18" s="161" t="n">
        <v>1</v>
      </c>
      <c r="BG18" s="161" t="n">
        <v>1</v>
      </c>
      <c r="BH18" s="161" t="n">
        <v>1</v>
      </c>
      <c r="BI18" s="161" t="n">
        <v>1</v>
      </c>
      <c r="BJ18" s="162" t="inlineStr">
        <is>
          <t>BOC Capital; FIIF II; Qiming Rongke; QM103; Hangzhou Chuangqian; Suzhou Sushang; Ningbo Wending; Hillhouse (VNTR; MAUT); Suzhou Maison; Chongqing Kexing; Dongguan Qinhe; Qigao Zhihe</t>
        </is>
      </c>
      <c r="BK18" s="163" t="n">
        <v>0.6289</v>
      </c>
      <c r="BL18" s="161" t="n">
        <v>1</v>
      </c>
      <c r="BM18" s="164" t="inlineStr">
        <is>
          <t>Series Angel-1 Investments</t>
        </is>
      </c>
      <c r="BN18" s="165" t="n">
        <v>9.710000000000001</v>
      </c>
      <c r="BO18" s="51" t="inlineStr">
        <is>
          <t>Individual natural person(s) (Single Largest Group of Shareholders: Mr. Tao and Ms. Liu)</t>
        </is>
      </c>
      <c r="BP18" s="135" t="n">
        <v>0.2039</v>
      </c>
      <c r="BQ18" s="135" t="n">
        <v>0.2039</v>
      </c>
      <c r="BR18" s="137" t="n">
        <v>1950499000</v>
      </c>
      <c r="BS18" s="51" t="inlineStr">
        <is>
          <t>Commercialized (mass production and commercial sales; revenue-generating)</t>
        </is>
      </c>
      <c r="BT18" s="142" t="n">
        <v>0</v>
      </c>
      <c r="BU18" s="60" t="inlineStr">
        <is>
          <t>Main Board</t>
        </is>
      </c>
      <c r="BV18" s="89" t="inlineStr">
        <is>
          <t>H Shares</t>
        </is>
      </c>
      <c r="BW18" s="61" t="n">
        <v>0</v>
      </c>
      <c r="BX18" s="77" t="n">
        <v>0</v>
      </c>
      <c r="BY18" s="77" t="n">
        <v>0</v>
      </c>
      <c r="BZ18" s="78" t="n">
        <v>0</v>
      </c>
      <c r="CA18" s="60" t="inlineStr">
        <is>
          <t>231020</t>
        </is>
      </c>
      <c r="CB18" s="76" t="inlineStr">
        <is>
          <t>HSICS (Hang Seng Industry Classification System) 2026</t>
        </is>
      </c>
      <c r="CC18" s="140" t="n">
        <v>42458</v>
      </c>
      <c r="CD18" s="171" t="n">
        <v>10.36</v>
      </c>
      <c r="CE18" s="76" t="inlineStr">
        <is>
          <t>PRC</t>
        </is>
      </c>
      <c r="CF18" s="89" t="inlineStr">
        <is>
          <t>1−2 Floor, Building 9, No. 1888 Xinjinqiao Road, China (Shanghai) Pilot Free Trade Zone, Shanghai, PRC</t>
        </is>
      </c>
      <c r="CG18" s="91" t="n"/>
      <c r="CH18" s="60" t="inlineStr">
        <is>
          <t>International Financial Reporting Standards (IFRS)</t>
        </is>
      </c>
      <c r="CI18" s="141" t="n">
        <v>45017</v>
      </c>
      <c r="CJ18" s="141" t="n">
        <v>45382</v>
      </c>
      <c r="CK18" s="141" t="n">
        <v>45383</v>
      </c>
      <c r="CL18" s="141" t="n">
        <v>45747</v>
      </c>
      <c r="CM18" s="141" t="n">
        <v>45748</v>
      </c>
      <c r="CN18" s="64" t="n">
        <v>603264000</v>
      </c>
      <c r="CO18" s="64" t="n">
        <v>-219528000</v>
      </c>
      <c r="CP18" s="64" t="n">
        <v>-219528000</v>
      </c>
      <c r="CQ18" s="141" t="n">
        <v>46233</v>
      </c>
      <c r="CR18" s="141" t="n">
        <v>46238</v>
      </c>
      <c r="CS18" s="63" t="n">
        <v>594984292</v>
      </c>
      <c r="CT18" s="64" t="n">
        <v>15261000</v>
      </c>
      <c r="CU18" s="64" t="n">
        <v>22797000</v>
      </c>
      <c r="CV18" s="59" t="inlineStr">
        <is>
          <t>Unqualified (true and fair view)</t>
        </is>
      </c>
      <c r="CW18" s="64" t="n">
        <v>67800000</v>
      </c>
      <c r="CX18" s="51" t="inlineStr">
        <is>
          <t>NA</t>
        </is>
      </c>
      <c r="CY18" s="142" t="n">
        <v>0</v>
      </c>
      <c r="CZ18" s="136" t="inlineStr">
        <is>
          <t>NA</t>
        </is>
      </c>
      <c r="DA18" s="143" t="n">
        <v>2513.54</v>
      </c>
      <c r="DB18" s="63" t="n">
        <v>161125</v>
      </c>
      <c r="DC18" s="63" t="n">
        <v>14476731200</v>
      </c>
      <c r="DD18" s="59" t="inlineStr">
        <is>
          <t>Subscription level 2,513.54 times</t>
        </is>
      </c>
      <c r="DE18" s="141" t="inlineStr">
        <is>
          <t>NA</t>
        </is>
      </c>
      <c r="DF18" s="141" t="n">
        <v>46240</v>
      </c>
      <c r="DG18" s="63" t="n">
        <v>57594500</v>
      </c>
      <c r="DH18" s="63" t="n">
        <v>5759500</v>
      </c>
      <c r="DI18" s="63" t="n">
        <v>51835000</v>
      </c>
      <c r="DJ18" s="63" t="n">
        <v>0</v>
      </c>
      <c r="DK18" s="169" t="n">
        <v>0</v>
      </c>
      <c r="DL18" s="59" t="inlineStr">
        <is>
          <t>No reallocation; No. of Offer Shares initially available under HK Public Offering 5,759,500; Final no. of Offer Shares under HK Public Offering 5,759,500 (10%)</t>
        </is>
      </c>
      <c r="DM18" s="144" t="n">
        <v>533200000</v>
      </c>
      <c r="DN18" s="142" t="n">
        <v>0.6927</v>
      </c>
      <c r="DO18" s="51" t="n">
        <v>594984292</v>
      </c>
      <c r="DP18" s="142" t="n">
        <v>0.0968</v>
      </c>
      <c r="DQ18" s="59" t="inlineStr">
        <is>
          <t>Free float = Offer Shares excluding locked-up shares; denominator = total issued shares upon Listing (col_CZ)</t>
        </is>
      </c>
      <c r="DR18" s="63" t="n">
        <v>594984292</v>
      </c>
      <c r="DS18" s="142" t="n">
        <v>0.12791825</v>
      </c>
      <c r="DT18" s="80" t="n">
        <v>52</v>
      </c>
      <c r="DU18" s="142" t="n">
        <v>0.0269268</v>
      </c>
      <c r="DV18" s="144" t="n">
        <v>54108000000</v>
      </c>
      <c r="DW18" s="145" t="n">
        <v>17.1</v>
      </c>
      <c r="DX18" s="169" t="n">
        <v>0.641075</v>
      </c>
      <c r="DY18" s="172" t="n">
        <v>384731260</v>
      </c>
      <c r="DZ18" s="146" t="n">
        <v>16.9</v>
      </c>
      <c r="EA18" s="146" t="n">
        <v>19.8</v>
      </c>
      <c r="EB18" s="146" t="n">
        <v>16.6</v>
      </c>
      <c r="EC18" s="63" t="n">
        <v>13436660</v>
      </c>
      <c r="ED18" s="169" t="n">
        <v>0.233298</v>
      </c>
      <c r="EE18" s="64" t="n">
        <v>230852900</v>
      </c>
      <c r="EF18" s="60" t="inlineStr">
        <is>
          <t>Mechanism B</t>
        </is>
      </c>
      <c r="EG18" s="59" t="inlineStr">
        <is>
          <t>FINI (from 22/11/2023); 2025-08-04 pricing reform (Mechanism A/B; six-month cornerstone lock-up retained); this IPO: Mechanism B</t>
        </is>
      </c>
      <c r="EH18" t="inlineStr">
        <is>
          <t>拿森智能科技（浙江）股份有限公司</t>
        </is>
      </c>
      <c r="EI18" s="174" t="inlineStr">
        <is>
          <t>Active</t>
        </is>
      </c>
      <c r="EJ18" s="175" t="n">
        <v>14.8</v>
      </c>
      <c r="EK18" s="176" t="n">
        <v>-0.134503</v>
      </c>
      <c r="EL18" s="176" t="n">
        <v>0.420345</v>
      </c>
      <c r="EM18" s="176" t="n">
        <v>-0.017715</v>
      </c>
      <c r="EN18" s="176" t="n">
        <v>-0.080236</v>
      </c>
      <c r="EO18" s="179" t="n">
        <v>0.8811</v>
      </c>
      <c r="EP18" s="179" t="n">
        <v>0.9409999999999999</v>
      </c>
      <c r="EQ18" s="178" t="n">
        <v>19180365</v>
      </c>
      <c r="ER18" s="175" t="n"/>
      <c r="ES18" s="176" t="n"/>
      <c r="ET18" s="176" t="n"/>
      <c r="EU18" s="176" t="n"/>
      <c r="EV18" s="176" t="n"/>
      <c r="EW18" s="179" t="n"/>
      <c r="EX18" s="179" t="n"/>
      <c r="EY18" s="178" t="n"/>
      <c r="EZ18" s="176" t="n"/>
      <c r="FA18" s="176" t="n"/>
      <c r="FB18" s="179" t="n"/>
      <c r="FC18" s="176" t="n"/>
      <c r="FD18" s="179" t="n"/>
      <c r="FE18" s="174" t="inlineStr">
        <is>
          <t>Standard</t>
        </is>
      </c>
      <c r="FF18" s="181" t="inlineStr">
        <is>
          <t>China International Capital Corporation / Sponsor-OC</t>
        </is>
      </c>
      <c r="FG18" s="185" t="inlineStr">
        <is>
          <t>2026-09-06</t>
        </is>
      </c>
      <c r="FH18" s="183" t="n">
        <v>0</v>
      </c>
      <c r="FI18" s="178" t="n">
        <v>0</v>
      </c>
      <c r="FJ18" s="176" t="n">
        <v>0.15</v>
      </c>
      <c r="FK18" s="185" t="inlineStr">
        <is>
          <t>2026-09-06</t>
        </is>
      </c>
      <c r="FL18" s="178" t="n">
        <v>0</v>
      </c>
      <c r="FM18" s="176" t="n">
        <v>0</v>
      </c>
      <c r="FN18" s="176" t="n">
        <v>0.134893</v>
      </c>
      <c r="FO18" s="176" t="n">
        <v>0.22085</v>
      </c>
      <c r="FP18" s="176" t="n">
        <v>0.398148</v>
      </c>
      <c r="FQ18" s="176" t="n">
        <v>-0.064327</v>
      </c>
      <c r="FR18" s="179" t="n">
        <v>0.9457</v>
      </c>
      <c r="FS18" s="176" t="n">
        <v>-0.134503</v>
      </c>
      <c r="FT18" s="179" t="n">
        <v>0.8811</v>
      </c>
      <c r="FU18" s="176" t="n"/>
      <c r="FV18" s="179" t="n"/>
      <c r="FW18" s="179" t="n"/>
      <c r="FX18" s="178" t="n"/>
      <c r="FY18" s="186" t="n">
        <v>0.004445388888888889</v>
      </c>
      <c r="FZ18" s="183" t="n">
        <v>0</v>
      </c>
      <c r="GA18" s="176" t="n">
        <v>0.1126857356996784</v>
      </c>
      <c r="GB18" s="176" t="n">
        <v>0.289655</v>
      </c>
      <c r="GC18" s="185" t="inlineStr">
        <is>
          <t>2027-02-07</t>
        </is>
      </c>
      <c r="GD18" s="185" t="inlineStr">
        <is>
          <t>2027-08-07</t>
        </is>
      </c>
      <c r="GE18" s="176" t="n"/>
      <c r="GF18" s="176" t="n"/>
      <c r="GG18" s="179" t="n"/>
      <c r="GH18" s="181" t="inlineStr">
        <is>
          <t>CICC</t>
        </is>
      </c>
      <c r="GI18" s="183" t="n">
        <v>2</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POST_2025_REFORM</t>
        </is>
      </c>
    </row>
    <row r="19" ht="85" customFormat="1" customHeight="1" s="11">
      <c r="A19" s="43" t="n">
        <v>104</v>
      </c>
      <c r="B19" s="47" t="inlineStr">
        <is>
          <t>3223.HK</t>
        </is>
      </c>
      <c r="C19" s="44" t="inlineStr">
        <is>
          <t>Ingenic Semiconductor Co., Ltd. - H Shares</t>
        </is>
      </c>
      <c r="D19" s="130" t="n">
        <v>46251</v>
      </c>
      <c r="E19" s="48" t="n">
        <v>46259</v>
      </c>
      <c r="F19" s="43" t="inlineStr">
        <is>
          <t>Guotai Junan Capital Limited</t>
        </is>
      </c>
      <c r="G19" s="43" t="inlineStr">
        <is>
          <t>SHINEWING (HK) CPA Limited</t>
        </is>
      </c>
      <c r="H19" s="43" t="n"/>
      <c r="I19" s="131" t="n">
        <v>312880000</v>
      </c>
      <c r="J19" s="148" t="n">
        <v>2815850000</v>
      </c>
      <c r="K19" s="133" t="n">
        <v>100</v>
      </c>
      <c r="L19" t="n">
        <v>514951667</v>
      </c>
      <c r="M19" s="67" t="n">
        <v>31287300</v>
      </c>
      <c r="N19" t="n">
        <v>483664367</v>
      </c>
      <c r="O19" t="n">
        <v>483664367</v>
      </c>
      <c r="P19" t="n">
        <v>0</v>
      </c>
      <c r="Q19" t="n">
        <v>31287300</v>
      </c>
      <c r="R19" s="67" t="n">
        <v>28158500</v>
      </c>
      <c r="S19" s="67" t="n">
        <v>3128800</v>
      </c>
      <c r="T19" s="147" t="n">
        <v>102.8</v>
      </c>
      <c r="U19" s="147" t="inlineStr">
        <is>
          <t>NaN</t>
        </is>
      </c>
      <c r="V19" s="169" t="n">
        <v>0</v>
      </c>
      <c r="W19" s="169" t="n">
        <v>0</v>
      </c>
      <c r="X19" s="170" t="inlineStr">
        <is>
          <t>Fixed price</t>
        </is>
      </c>
      <c r="Y19" s="26" t="inlineStr">
        <is>
          <t>RMB</t>
        </is>
      </c>
      <c r="Z19" s="137" t="n">
        <v>12742026000</v>
      </c>
      <c r="AA19" s="137" t="n">
        <v>12926944000</v>
      </c>
      <c r="AB19" s="137" t="n">
        <v>13826735000</v>
      </c>
      <c r="AC19" s="137" t="n">
        <v>11829523000</v>
      </c>
      <c r="AD19" s="137" t="n">
        <v>12082913000</v>
      </c>
      <c r="AE19" s="137" t="n">
        <v>12756403000</v>
      </c>
      <c r="AF19" s="137" t="n">
        <v>912503000</v>
      </c>
      <c r="AG19" s="137" t="n">
        <v>844031000</v>
      </c>
      <c r="AH19" s="137" t="n">
        <v>1070332000</v>
      </c>
      <c r="AI19" s="137" t="n">
        <v>4530926000</v>
      </c>
      <c r="AJ19" s="137" t="n">
        <v>4212626000</v>
      </c>
      <c r="AK19" s="137" t="n">
        <v>6239068000</v>
      </c>
      <c r="AL19" s="137" t="n">
        <v>545204000</v>
      </c>
      <c r="AM19" s="137" t="n">
        <v>409965000</v>
      </c>
      <c r="AN19" s="137" t="n">
        <v>1454048000</v>
      </c>
      <c r="AO19" s="137" t="n">
        <v>515724000</v>
      </c>
      <c r="AP19" s="137" t="n">
        <v>364198000</v>
      </c>
      <c r="AQ19" s="137" t="n">
        <v>1281392000</v>
      </c>
      <c r="AR19" s="142" t="n">
        <v>0.006</v>
      </c>
      <c r="AS19" s="142" t="n">
        <v>0.006</v>
      </c>
      <c r="AT19" s="84" t="n">
        <v>0.15</v>
      </c>
      <c r="AU19" s="51" t="inlineStr">
        <is>
          <t>IC provider with a product portfolio spanning across memory, computing, and analog ICs</t>
        </is>
      </c>
      <c r="AV19" s="51" t="inlineStr">
        <is>
          <t>Chapter 19A of the Listing Rules (PRC issuer with other listed shares)</t>
        </is>
      </c>
      <c r="AW19" s="136" t="n">
        <v>46112</v>
      </c>
      <c r="AX19" s="137" t="n">
        <v>216689000</v>
      </c>
      <c r="AY19" s="117" t="n">
        <v>3411739000</v>
      </c>
      <c r="AZ19" s="117" t="n">
        <v>171903000</v>
      </c>
      <c r="BA19" s="117" t="n">
        <v>5401000</v>
      </c>
      <c r="BB19" s="138" t="n">
        <v>0.503</v>
      </c>
      <c r="BC19" s="139" t="n">
        <v>1</v>
      </c>
      <c r="BD19" s="80" t="n">
        <v>1</v>
      </c>
      <c r="BE19" s="161" t="n">
        <v>1</v>
      </c>
      <c r="BF19" s="161" t="n">
        <v>0</v>
      </c>
      <c r="BG19" s="161" t="n">
        <v>0</v>
      </c>
      <c r="BH19" s="161" t="n">
        <v>0</v>
      </c>
      <c r="BI19" s="161" t="n">
        <v>0</v>
      </c>
      <c r="BJ19" s="162" t="inlineStr">
        <is>
          <t>Infotech Venture Capital Co., Ltd. (盈富泰克創業投資有限公司)</t>
        </is>
      </c>
      <c r="BK19" s="163" t="n">
        <v>0</v>
      </c>
      <c r="BL19" s="161" t="n">
        <v>0</v>
      </c>
      <c r="BM19" s="164" t="inlineStr">
        <is>
          <t>Capital increase / equity transfer (2005-2009)</t>
        </is>
      </c>
      <c r="BN19" s="165" t="n">
        <v>16.65</v>
      </c>
      <c r="BO19" s="51" t="inlineStr">
        <is>
          <t>Individual</t>
        </is>
      </c>
      <c r="BP19" s="135" t="n">
        <v>0.1134</v>
      </c>
      <c r="BQ19" s="135" t="n">
        <v>0.1134</v>
      </c>
      <c r="BR19" s="137" t="n">
        <v>14774000</v>
      </c>
      <c r="BS19" s="51" t="inlineStr">
        <is>
          <t>Commercialized</t>
        </is>
      </c>
      <c r="BT19" s="142" t="n">
        <v>0</v>
      </c>
      <c r="BU19" s="60" t="inlineStr">
        <is>
          <t>Main Board</t>
        </is>
      </c>
      <c r="BV19" s="89" t="inlineStr">
        <is>
          <t>H Shares</t>
        </is>
      </c>
      <c r="BW19" s="61" t="n">
        <v>1</v>
      </c>
      <c r="BX19" s="77" t="n">
        <v>0</v>
      </c>
      <c r="BY19" s="77" t="n">
        <v>0</v>
      </c>
      <c r="BZ19" s="78" t="n">
        <v>0</v>
      </c>
      <c r="CA19" s="60" t="inlineStr">
        <is>
          <t>703010</t>
        </is>
      </c>
      <c r="CB19" s="76" t="inlineStr">
        <is>
          <t>HSICS (Hang Seng Industry Classification System) 2026</t>
        </is>
      </c>
      <c r="CC19" s="140" t="n">
        <v>38548</v>
      </c>
      <c r="CD19" s="171" t="n">
        <v>21.11</v>
      </c>
      <c r="CE19" s="76" t="inlineStr">
        <is>
          <t>PRC</t>
        </is>
      </c>
      <c r="CF19" s="89" t="inlineStr">
        <is>
          <t>A101-A113, 1/F, Building 14, East Block, 10 Xibeiwang East Road, Haidian District, Beijing, PRC</t>
        </is>
      </c>
      <c r="CG19" s="91" t="n"/>
      <c r="CH19" s="60" t="inlineStr">
        <is>
          <t>IFRS</t>
        </is>
      </c>
      <c r="CI19" s="141" t="n">
        <v>45017</v>
      </c>
      <c r="CJ19" s="141" t="n">
        <v>45382</v>
      </c>
      <c r="CK19" s="141" t="n">
        <v>45383</v>
      </c>
      <c r="CL19" s="141" t="n">
        <v>45747</v>
      </c>
      <c r="CM19" s="141" t="n">
        <v>45748</v>
      </c>
      <c r="CN19" s="64" t="n">
        <v>6239068000</v>
      </c>
      <c r="CO19" s="64" t="n">
        <v>1454048000</v>
      </c>
      <c r="CP19" s="64" t="n">
        <v>1281392000</v>
      </c>
      <c r="CQ19" s="141" t="n">
        <v>46251</v>
      </c>
      <c r="CR19" s="141" t="n">
        <v>46254</v>
      </c>
      <c r="CS19" s="63" t="n">
        <v>31287300</v>
      </c>
      <c r="CT19" s="64" t="n">
        <v>664071000</v>
      </c>
      <c r="CU19" s="64" t="n">
        <v>27492000</v>
      </c>
      <c r="CV19" s="59" t="inlineStr">
        <is>
          <t>Unqualified</t>
        </is>
      </c>
      <c r="CW19" s="64" t="n">
        <v>75100000</v>
      </c>
      <c r="CX19" s="51" t="inlineStr">
        <is>
          <t>Emerald Prime, GF Fund, Perseverance Asset Management, Shanghai Gaoyi and HTCI, Huaqin Singapore, ICBC Wealth, Arrow Target, China Universal (HK), CloudAlpha Capital, Heading Pioneer 10 Fund LPF, Dream’ee HK Fund</t>
        </is>
      </c>
      <c r="CY19" s="142" t="n">
        <v>0.4805</v>
      </c>
      <c r="CZ19" s="136" t="n">
        <v>46443</v>
      </c>
      <c r="DA19" s="143" t="n">
        <v>927.37</v>
      </c>
      <c r="DB19" s="63" t="n">
        <v>141851</v>
      </c>
      <c r="DC19" s="63" t="n">
        <v>2901565000</v>
      </c>
      <c r="DD19" s="59" t="inlineStr">
        <is>
          <t>Subscription level 927.37 times</t>
        </is>
      </c>
      <c r="DE19" s="141" t="inlineStr">
        <is>
          <t>NA</t>
        </is>
      </c>
      <c r="DF19" s="141" t="n">
        <v>46258</v>
      </c>
      <c r="DG19" s="63" t="n">
        <v>31287300</v>
      </c>
      <c r="DH19" s="63" t="n">
        <v>3128800</v>
      </c>
      <c r="DI19" s="63" t="n">
        <v>28158500</v>
      </c>
      <c r="DJ19" s="63" t="n">
        <v>0</v>
      </c>
      <c r="DK19" s="169" t="n">
        <v>0</v>
      </c>
      <c r="DL19" s="59" t="inlineStr">
        <is>
          <t>Claw-back triggered: N/A</t>
        </is>
      </c>
      <c r="DM19" s="144" t="n">
        <v>3054600000</v>
      </c>
      <c r="DN19" s="142" t="n">
        <v>0.0608</v>
      </c>
      <c r="DO19" s="51" t="n">
        <v>514951667</v>
      </c>
      <c r="DP19" s="142" t="n">
        <v>0.0316</v>
      </c>
      <c r="DQ19" s="59" t="inlineStr">
        <is>
          <t>Free float denominator = total issued shares upon listing (col_CZ); numerator = offer shares minus cornerstone allocation</t>
        </is>
      </c>
      <c r="DR19" s="63" t="n">
        <v>514951667</v>
      </c>
      <c r="DS19" s="142" t="n">
        <v>0.02257978</v>
      </c>
      <c r="DT19" s="80" t="n">
        <v>48</v>
      </c>
      <c r="DU19" s="142" t="n">
        <v>0.0255476</v>
      </c>
      <c r="DV19" s="144" t="n">
        <v>54069000000</v>
      </c>
      <c r="DW19" s="145" t="n">
        <v>100</v>
      </c>
      <c r="DX19" s="169" t="n">
        <v>0</v>
      </c>
      <c r="DY19" s="172" t="n">
        <v>0</v>
      </c>
      <c r="DZ19" s="146" t="n">
        <v>100</v>
      </c>
      <c r="EA19" s="146" t="n">
        <v>100.4</v>
      </c>
      <c r="EB19" s="146" t="n">
        <v>97.09999999999999</v>
      </c>
      <c r="EC19" s="63" t="n">
        <v>5822270</v>
      </c>
      <c r="ED19" s="169" t="n">
        <v>0.186091</v>
      </c>
      <c r="EE19" s="64" t="n">
        <v>581758800</v>
      </c>
      <c r="EF19" s="60" t="inlineStr">
        <is>
          <t>Mechanism B</t>
        </is>
      </c>
      <c r="EG19" s="59" t="inlineStr">
        <is>
          <t>FINI (from 22/11/2023); 2025-08-04 pricing reform (Mechanism A/B; six-month cornerstone lock-up retained); this IPO: Mechanism B</t>
        </is>
      </c>
      <c r="EH19" t="inlineStr">
        <is>
          <t>北京君正集成電路股份有限公司</t>
        </is>
      </c>
      <c r="EI19" s="174" t="inlineStr">
        <is>
          <t>Active</t>
        </is>
      </c>
      <c r="EJ19" s="175" t="n">
        <v>104.6</v>
      </c>
      <c r="EK19" s="176" t="n">
        <v>0.046</v>
      </c>
      <c r="EL19" s="176" t="n">
        <v>0.046</v>
      </c>
      <c r="EM19" s="176" t="n">
        <v>-0.01836</v>
      </c>
      <c r="EN19" s="176" t="n">
        <v>-0.036014</v>
      </c>
      <c r="EO19" s="179" t="n">
        <v>1.0656</v>
      </c>
      <c r="EP19" s="179" t="n">
        <v>1.0851</v>
      </c>
      <c r="EQ19" s="178" t="n">
        <v>78853685</v>
      </c>
      <c r="ER19" s="175" t="n"/>
      <c r="ES19" s="176" t="n"/>
      <c r="ET19" s="176" t="n"/>
      <c r="EU19" s="176" t="n"/>
      <c r="EV19" s="176" t="n"/>
      <c r="EW19" s="179" t="n"/>
      <c r="EX19" s="179" t="n"/>
      <c r="EY19" s="178" t="n"/>
      <c r="EZ19" s="176" t="n"/>
      <c r="FA19" s="176" t="n"/>
      <c r="FB19" s="179" t="n"/>
      <c r="FC19" s="176" t="n"/>
      <c r="FD19" s="179" t="n"/>
      <c r="FE19" s="174" t="inlineStr">
        <is>
          <t>Standard</t>
        </is>
      </c>
      <c r="FF19" s="181" t="inlineStr">
        <is>
          <t>China International Capital Corporation / Sponsor-OC</t>
        </is>
      </c>
      <c r="FG19" s="185" t="inlineStr">
        <is>
          <t>2026-09-24</t>
        </is>
      </c>
      <c r="FH19" s="183" t="n">
        <v>0</v>
      </c>
      <c r="FI19" s="178" t="n">
        <v>0</v>
      </c>
      <c r="FJ19" s="176" t="n">
        <v>0.15</v>
      </c>
      <c r="FK19" s="185" t="inlineStr">
        <is>
          <t>2026-09-24</t>
        </is>
      </c>
      <c r="FL19" s="178" t="n">
        <v>0</v>
      </c>
      <c r="FM19" s="176" t="n">
        <v>0</v>
      </c>
      <c r="FN19" s="176" t="n">
        <v>0.026943</v>
      </c>
      <c r="FO19" s="176" t="n">
        <v>-0.001008</v>
      </c>
      <c r="FP19" s="176" t="n">
        <v>0.10132</v>
      </c>
      <c r="FQ19" s="176" t="n">
        <v>0.015</v>
      </c>
      <c r="FR19" s="179" t="n">
        <v>1.0128</v>
      </c>
      <c r="FS19" s="176" t="n">
        <v>0.046</v>
      </c>
      <c r="FT19" s="179" t="n">
        <v>1.0656</v>
      </c>
      <c r="FU19" s="176" t="n"/>
      <c r="FV19" s="179" t="n"/>
      <c r="FW19" s="179" t="n"/>
      <c r="FX19" s="178" t="n"/>
      <c r="FY19" s="186" t="n">
        <v>0.0008585416666666667</v>
      </c>
      <c r="FZ19" s="183" t="n">
        <v>0</v>
      </c>
      <c r="GA19" s="176" t="n">
        <v>0.0280918084753019</v>
      </c>
      <c r="GB19" s="176" t="n">
        <v>0.087477</v>
      </c>
      <c r="GC19" s="185" t="inlineStr">
        <is>
          <t>2027-02-25</t>
        </is>
      </c>
      <c r="GD19" s="185" t="inlineStr">
        <is>
          <t>2027-08-25</t>
        </is>
      </c>
      <c r="GE19" s="176" t="n"/>
      <c r="GF19" s="176" t="n"/>
      <c r="GG19" s="179" t="n"/>
      <c r="GH19" s="181" t="inlineStr">
        <is>
          <t>CICC</t>
        </is>
      </c>
      <c r="GI19" s="183" t="n">
        <v>2</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POST_2025_REFORM</t>
        </is>
      </c>
    </row>
    <row r="20" ht="102" customFormat="1" customHeight="1" s="11">
      <c r="A20" s="43" t="n">
        <v>106</v>
      </c>
      <c r="B20" s="47" t="inlineStr">
        <is>
          <t>0625.HK</t>
        </is>
      </c>
      <c r="C20" s="44" t="inlineStr">
        <is>
          <t>SHEIN Global Holdings Limited - W</t>
        </is>
      </c>
      <c r="D20" s="130" t="n">
        <v>46258</v>
      </c>
      <c r="E20" s="48" t="n">
        <v>46266</v>
      </c>
      <c r="F20" s="43" t="inlineStr">
        <is>
          <t>Goldman Sachs (Asia) L.L.C. /
Morgan Stanley Asia Limited /
J.P. Morgan Securities (Far East) Limited</t>
        </is>
      </c>
      <c r="G20" s="43" t="inlineStr">
        <is>
          <t>Deloitte Touche Tohmatsu</t>
        </is>
      </c>
      <c r="H20" s="43" t="n"/>
      <c r="I20" s="131" t="n">
        <v>1359646008</v>
      </c>
      <c r="J20" s="148" t="n">
        <v>12236789792</v>
      </c>
      <c r="K20" s="133" t="n">
        <v>48.56</v>
      </c>
      <c r="L20" t="n">
        <v>4246202609</v>
      </c>
      <c r="M20" s="67" t="n">
        <v>279992500</v>
      </c>
      <c r="N20" t="n">
        <v>3966210109</v>
      </c>
      <c r="O20" t="n">
        <v>3966210109</v>
      </c>
      <c r="P20" t="n">
        <v>0</v>
      </c>
      <c r="Q20" t="n">
        <v>279992500</v>
      </c>
      <c r="R20" s="67" t="n">
        <v>251993200</v>
      </c>
      <c r="S20" s="67" t="n">
        <v>27999300</v>
      </c>
      <c r="T20" s="147" t="n">
        <v>49.5</v>
      </c>
      <c r="U20" s="147" t="n">
        <v>47.6</v>
      </c>
      <c r="V20" s="169" t="n">
        <v>0.000206</v>
      </c>
      <c r="W20" s="169" t="n">
        <v>0.039135</v>
      </c>
      <c r="X20" s="170" t="inlineStr">
        <is>
          <t>Within range</t>
        </is>
      </c>
      <c r="Y20" s="26" t="inlineStr">
        <is>
          <t>USD</t>
        </is>
      </c>
      <c r="Z20" s="137" t="n">
        <v>17321000000</v>
      </c>
      <c r="AA20" s="137" t="n">
        <v>20033000000</v>
      </c>
      <c r="AB20" s="137" t="n">
        <v>20609000000</v>
      </c>
      <c r="AC20" s="137" t="n">
        <v>-9097000000</v>
      </c>
      <c r="AD20" s="137" t="n">
        <v>-6897000000</v>
      </c>
      <c r="AE20" s="137" t="n">
        <v>-6958000000</v>
      </c>
      <c r="AF20" s="137" t="n">
        <v>26418000000</v>
      </c>
      <c r="AG20" s="137" t="n">
        <v>26930000000</v>
      </c>
      <c r="AH20" s="137" t="n">
        <v>27567000000</v>
      </c>
      <c r="AI20" s="137" t="n">
        <v>38748000000</v>
      </c>
      <c r="AJ20" s="137" t="n">
        <v>41847000000</v>
      </c>
      <c r="AK20" s="137" t="n">
        <v>36208000000</v>
      </c>
      <c r="AL20" s="137" t="n">
        <v>3769000000</v>
      </c>
      <c r="AM20" s="137" t="n">
        <v>2514000000</v>
      </c>
      <c r="AN20" s="137" t="n">
        <v>-80000000</v>
      </c>
      <c r="AO20" s="137" t="n">
        <v>3365000000</v>
      </c>
      <c r="AP20" s="137" t="n">
        <v>2064000000</v>
      </c>
      <c r="AQ20" s="137" t="n">
        <v>-396000000</v>
      </c>
      <c r="AR20" s="142" t="n">
        <v>0.015</v>
      </c>
      <c r="AS20" s="142" t="n">
        <v>0.015</v>
      </c>
      <c r="AT20" s="84" t="n">
        <v>0.15</v>
      </c>
      <c r="AU20" s="51" t="inlineStr">
        <is>
          <t>Global online retail platform offering fashion and lifestyle products</t>
        </is>
      </c>
      <c r="AV20" s="51" t="inlineStr">
        <is>
          <t>Main Board of the Stock Exchange (Chapter 8A - Weighted Voting Rights structure)</t>
        </is>
      </c>
      <c r="AW20" s="136" t="n">
        <v>46112</v>
      </c>
      <c r="AX20" s="137" t="n">
        <v>392000000</v>
      </c>
      <c r="AY20" s="117" t="n">
        <v>4313000000</v>
      </c>
      <c r="AZ20" s="117" t="n">
        <v>218000000</v>
      </c>
      <c r="BA20" s="117" t="n">
        <v>0</v>
      </c>
      <c r="BB20" s="138" t="n">
        <v>0.01</v>
      </c>
      <c r="BC20" s="139" t="n">
        <v>1</v>
      </c>
      <c r="BD20" s="80" t="n">
        <v>1</v>
      </c>
      <c r="BE20" s="161" t="n">
        <v>1</v>
      </c>
      <c r="BF20" s="161" t="n">
        <v>1</v>
      </c>
      <c r="BG20" s="161" t="n">
        <v>1</v>
      </c>
      <c r="BH20" s="161" t="n">
        <v>0</v>
      </c>
      <c r="BI20" s="161" t="n">
        <v>1</v>
      </c>
      <c r="BJ20" s="162" t="inlineStr">
        <is>
          <t>Sequoia Capital, IDG Capital, Boyu, Tiger Global, General Atlantic, Greenwoods, Tencent</t>
        </is>
      </c>
      <c r="BK20" s="163" t="n">
        <v>0.404</v>
      </c>
      <c r="BL20" s="161" t="n">
        <v>0</v>
      </c>
      <c r="BM20" s="164" t="inlineStr">
        <is>
          <t>Series A</t>
        </is>
      </c>
      <c r="BN20" s="165" t="n">
        <v>11.52</v>
      </c>
      <c r="BO20" s="51" t="inlineStr">
        <is>
          <t>Natural person (founder Mr. Yangtian Xu)</t>
        </is>
      </c>
      <c r="BP20" s="135" t="n">
        <v>0.303</v>
      </c>
      <c r="BQ20" s="135" t="n">
        <v>0.499</v>
      </c>
      <c r="BR20" s="137" t="n">
        <v>891000000</v>
      </c>
      <c r="BS20" s="51" t="inlineStr">
        <is>
          <t>Commercialized (large-scale commercial operations and platform deployment; global online retail operations serving 273 million active customers)</t>
        </is>
      </c>
      <c r="BT20" s="142" t="n">
        <v>0</v>
      </c>
      <c r="BU20" s="60" t="inlineStr">
        <is>
          <t>Main Board</t>
        </is>
      </c>
      <c r="BV20" s="89" t="inlineStr">
        <is>
          <t>Class B Shares</t>
        </is>
      </c>
      <c r="BW20" s="61" t="n">
        <v>0</v>
      </c>
      <c r="BX20" s="77" t="n">
        <v>1</v>
      </c>
      <c r="BY20" s="77" t="n">
        <v>0</v>
      </c>
      <c r="BZ20" s="78" t="n">
        <v>0</v>
      </c>
      <c r="CA20" s="60" t="inlineStr">
        <is>
          <t>237060</t>
        </is>
      </c>
      <c r="CB20" s="76" t="inlineStr">
        <is>
          <t>HSICS (Hang Seng Industry Classification System) 2026</t>
        </is>
      </c>
      <c r="CC20" s="140" t="n">
        <v>41771</v>
      </c>
      <c r="CD20" s="171" t="n">
        <v>12.31</v>
      </c>
      <c r="CE20" s="76" t="inlineStr">
        <is>
          <t>Cayman Islands</t>
        </is>
      </c>
      <c r="CF20" s="89" t="inlineStr">
        <is>
          <t>Building 5, Sihai City, Wan Hui 2nd Road, Panyu District, Guangzhou, China</t>
        </is>
      </c>
      <c r="CG20" s="91" t="n">
        <v>1000000</v>
      </c>
      <c r="CH20" s="60" t="inlineStr">
        <is>
          <t>IFRS</t>
        </is>
      </c>
      <c r="CI20" s="141" t="n">
        <v>45017</v>
      </c>
      <c r="CJ20" s="141" t="n">
        <v>45382</v>
      </c>
      <c r="CK20" s="141" t="n">
        <v>45383</v>
      </c>
      <c r="CL20" s="141" t="n">
        <v>45747</v>
      </c>
      <c r="CM20" s="141" t="n">
        <v>45748</v>
      </c>
      <c r="CN20" s="64" t="n">
        <v>36208000000</v>
      </c>
      <c r="CO20" s="64" t="n">
        <v>-80000000</v>
      </c>
      <c r="CP20" s="64" t="n">
        <v>-396000000</v>
      </c>
      <c r="CQ20" s="141" t="n">
        <v>46258</v>
      </c>
      <c r="CR20" s="141" t="n">
        <v>46261</v>
      </c>
      <c r="CS20" s="63" t="n">
        <v>4246202609</v>
      </c>
      <c r="CT20" s="64" t="n">
        <v>6373000000</v>
      </c>
      <c r="CU20" s="64" t="n">
        <v>60000000</v>
      </c>
      <c r="CV20" s="59" t="inlineStr">
        <is>
          <t>Unqualified</t>
        </is>
      </c>
      <c r="CW20" s="64" t="n">
        <v>470600000</v>
      </c>
      <c r="CX20" s="51" t="inlineStr">
        <is>
          <t>Boyu, Tiger Global, General Atlantic, Tencent, Greenwoods, Taikang Life, UBS AM Singapore</t>
        </is>
      </c>
      <c r="CY20" s="142" t="n">
        <v>0.221</v>
      </c>
      <c r="CZ20" s="136" t="n">
        <v>46447</v>
      </c>
      <c r="DA20" s="143" t="n">
        <v>5.63</v>
      </c>
      <c r="DB20" s="63" t="n">
        <v>35751</v>
      </c>
      <c r="DC20" s="63" t="n">
        <v>157684200</v>
      </c>
      <c r="DD20" s="59" t="inlineStr">
        <is>
          <t>Subscription level 5.63 times</t>
        </is>
      </c>
      <c r="DE20" s="141" t="inlineStr">
        <is>
          <t>NA</t>
        </is>
      </c>
      <c r="DF20" s="141" t="n">
        <v>46265</v>
      </c>
      <c r="DG20" s="63" t="n">
        <v>279992500</v>
      </c>
      <c r="DH20" s="63" t="n">
        <v>27999300</v>
      </c>
      <c r="DI20" s="63" t="n">
        <v>251993200</v>
      </c>
      <c r="DJ20" s="63" t="inlineStr">
        <is>
          <t>NaN</t>
        </is>
      </c>
      <c r="DK20" s="169" t="n">
        <v>0</v>
      </c>
      <c r="DL20" s="59" t="inlineStr">
        <is>
          <t>Claw-back triggered: N/A (no reallocation from the International Offering to the Hong Kong Public Offering)</t>
        </is>
      </c>
      <c r="DM20" s="144" t="n">
        <v>13214100000</v>
      </c>
      <c r="DN20" s="142" t="n">
        <v>0.6062</v>
      </c>
      <c r="DO20" s="51" t="n">
        <v>4246202609</v>
      </c>
      <c r="DP20" s="142" t="n">
        <v>0.0514</v>
      </c>
      <c r="DQ20" s="59" t="inlineStr">
        <is>
          <t>Free float denominator = total issued shares upon listing (col_CZ); numerator = offer shares minus cornerstone allocation</t>
        </is>
      </c>
      <c r="DR20" s="63" t="n">
        <v>4246202609</v>
      </c>
      <c r="DS20" s="142" t="n">
        <v>0.04191084</v>
      </c>
      <c r="DT20" s="80" t="n">
        <v>45</v>
      </c>
      <c r="DU20" s="142" t="n">
        <v>0.0268577</v>
      </c>
      <c r="DV20" s="144" t="n">
        <v>53968000000</v>
      </c>
      <c r="DW20" s="145" t="n">
        <v>48.5</v>
      </c>
      <c r="DX20" s="169" t="n">
        <v>-0.001236</v>
      </c>
      <c r="DY20" s="172" t="n">
        <v>-16799550</v>
      </c>
      <c r="DZ20" s="146" t="n">
        <v>48.56</v>
      </c>
      <c r="EA20" s="146" t="n">
        <v>48.56</v>
      </c>
      <c r="EB20" s="146" t="n">
        <v>43.72</v>
      </c>
      <c r="EC20" s="63" t="n">
        <v>48014883</v>
      </c>
      <c r="ED20" s="169" t="n">
        <v>0.171486</v>
      </c>
      <c r="EE20" s="64" t="n">
        <v>2230255430</v>
      </c>
      <c r="EF20" s="60" t="inlineStr">
        <is>
          <t>Mechanism B</t>
        </is>
      </c>
      <c r="EG20" s="59" t="inlineStr">
        <is>
          <t>FINI (from 22/11/2023); 2025-08-04 pricing reform (Mechanism A/B; six-month cornerstone lock-up retained); this IPO: Mechanism B</t>
        </is>
      </c>
      <c r="EH20" t="inlineStr">
        <is>
          <t>希音国际控股有限公司</t>
        </is>
      </c>
      <c r="EI20" s="174" t="inlineStr">
        <is>
          <t>Active</t>
        </is>
      </c>
      <c r="EJ20" s="175" t="n"/>
      <c r="EK20" s="176" t="n"/>
      <c r="EL20" s="176" t="n"/>
      <c r="EM20" s="176" t="n"/>
      <c r="EN20" s="176" t="n"/>
      <c r="EO20" s="179" t="n"/>
      <c r="EP20" s="179" t="n"/>
      <c r="EQ20" s="178" t="n"/>
      <c r="ER20" s="175" t="n"/>
      <c r="ES20" s="176" t="n"/>
      <c r="ET20" s="176" t="n"/>
      <c r="EU20" s="176" t="n"/>
      <c r="EV20" s="176" t="n"/>
      <c r="EW20" s="179" t="n"/>
      <c r="EX20" s="179" t="n"/>
      <c r="EY20" s="178" t="n"/>
      <c r="EZ20" s="176" t="n"/>
      <c r="FA20" s="176" t="n"/>
      <c r="FB20" s="179" t="n"/>
      <c r="FC20" s="176" t="n"/>
      <c r="FD20" s="179" t="n"/>
      <c r="FE20" s="174" t="inlineStr">
        <is>
          <t>Standard</t>
        </is>
      </c>
      <c r="FF20" s="181" t="inlineStr">
        <is>
          <t>China International Capital Corporation / Sponsor-OC</t>
        </is>
      </c>
      <c r="FG20" s="185" t="inlineStr">
        <is>
          <t>2026-10-01</t>
        </is>
      </c>
      <c r="FH20" s="183" t="n">
        <v>0</v>
      </c>
      <c r="FI20" s="178" t="n">
        <v>0</v>
      </c>
      <c r="FJ20" s="176" t="n">
        <v>0.15</v>
      </c>
      <c r="FK20" s="185" t="inlineStr">
        <is>
          <t>2026-10-01</t>
        </is>
      </c>
      <c r="FL20" s="178" t="n">
        <v>0</v>
      </c>
      <c r="FM20" s="176" t="n">
        <v>0</v>
      </c>
      <c r="FN20" s="176" t="n"/>
      <c r="FO20" s="176" t="n"/>
      <c r="FP20" s="176" t="n"/>
      <c r="FQ20" s="176" t="n">
        <v>-0.188866</v>
      </c>
      <c r="FR20" s="179" t="n">
        <v>0.8085</v>
      </c>
      <c r="FS20" s="176" t="n"/>
      <c r="FT20" s="179" t="n"/>
      <c r="FU20" s="176" t="n"/>
      <c r="FV20" s="179" t="n"/>
      <c r="FW20" s="179" t="n"/>
      <c r="FX20" s="178" t="n"/>
      <c r="FY20" s="186" t="n">
        <v>0.0003353157894736842</v>
      </c>
      <c r="FZ20" s="183" t="n">
        <v>0</v>
      </c>
      <c r="GA20" s="176" t="n">
        <v>0.04413230579533394</v>
      </c>
      <c r="GB20" s="176" t="n">
        <v>0.277183</v>
      </c>
      <c r="GC20" s="185" t="inlineStr">
        <is>
          <t>2027-03-01</t>
        </is>
      </c>
      <c r="GD20" s="185" t="inlineStr">
        <is>
          <t>2027-09-01</t>
        </is>
      </c>
      <c r="GE20" s="176" t="n"/>
      <c r="GF20" s="176" t="n"/>
      <c r="GG20" s="179" t="n"/>
      <c r="GH20" s="181" t="inlineStr">
        <is>
          <t>CICC</t>
        </is>
      </c>
      <c r="GI20" s="183" t="n">
        <v>2</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POST_2025_REFORM</t>
        </is>
      </c>
    </row>
    <row r="21" ht="51" customFormat="1" customHeight="1" s="11">
      <c r="A21" s="43" t="n">
        <v>105</v>
      </c>
      <c r="B21" s="47" t="inlineStr">
        <is>
          <t>9615.HK</t>
        </is>
      </c>
      <c r="C21" s="44" t="inlineStr">
        <is>
          <t>Mech-Mind Robotics Technologies Co., Ltd. - H Shares</t>
        </is>
      </c>
      <c r="D21" s="130" t="n">
        <v>46258</v>
      </c>
      <c r="E21" s="48" t="n">
        <v>46266</v>
      </c>
      <c r="F21" s="43" t="inlineStr">
        <is>
          <t>China Securities (International)
Corporate Finance Company Limited /
CITIC Securities (Hong Kong) Limited</t>
        </is>
      </c>
      <c r="G21" s="43" t="inlineStr">
        <is>
          <t>KPMG</t>
        </is>
      </c>
      <c r="H21" s="43" t="n"/>
      <c r="I21" s="131" t="n">
        <v>470680821</v>
      </c>
      <c r="J21" s="148" t="n">
        <v>1882717182</v>
      </c>
      <c r="K21" s="133" t="n">
        <v>101.7</v>
      </c>
      <c r="L21" t="n">
        <v>125011050</v>
      </c>
      <c r="M21" s="67" t="n">
        <v>23140590</v>
      </c>
      <c r="N21" t="n">
        <v>101870460</v>
      </c>
      <c r="O21" t="n">
        <v>101870460</v>
      </c>
      <c r="P21" t="n">
        <v>0</v>
      </c>
      <c r="Q21" t="n">
        <v>23140590</v>
      </c>
      <c r="R21" s="67" t="n">
        <v>21983550</v>
      </c>
      <c r="S21" s="67" t="n">
        <v>1157040</v>
      </c>
      <c r="T21" s="147" t="n">
        <v>101.7</v>
      </c>
      <c r="U21" s="147" t="n">
        <v>95.3</v>
      </c>
      <c r="V21" s="169" t="n">
        <v>0.032487</v>
      </c>
      <c r="W21" s="169" t="n">
        <v>0.064975</v>
      </c>
      <c r="X21" s="170" t="inlineStr">
        <is>
          <t>At high</t>
        </is>
      </c>
      <c r="Y21" s="26" t="inlineStr">
        <is>
          <t>RMB</t>
        </is>
      </c>
      <c r="Z21" s="137" t="n">
        <v>550559000</v>
      </c>
      <c r="AA21" s="137" t="n">
        <v>757381000</v>
      </c>
      <c r="AB21" s="137" t="n">
        <v>694035000</v>
      </c>
      <c r="AC21" s="137" t="n">
        <v>-2147237000</v>
      </c>
      <c r="AD21" s="137" t="n">
        <v>-2492191000</v>
      </c>
      <c r="AE21" s="137" t="n">
        <v>-2544846000</v>
      </c>
      <c r="AF21" s="137" t="n">
        <v>2697796000</v>
      </c>
      <c r="AG21" s="137" t="n">
        <v>3249572000</v>
      </c>
      <c r="AH21" s="137" t="n">
        <v>3238881000</v>
      </c>
      <c r="AI21" s="137" t="n">
        <v>268765000</v>
      </c>
      <c r="AJ21" s="137" t="n">
        <v>388771000</v>
      </c>
      <c r="AK21" s="137" t="n">
        <v>427660000</v>
      </c>
      <c r="AL21" s="137" t="n">
        <v>-283332000</v>
      </c>
      <c r="AM21" s="137" t="n">
        <v>-358565000</v>
      </c>
      <c r="AN21" s="137" t="n">
        <v>-225504000</v>
      </c>
      <c r="AO21" s="137" t="n">
        <v>-283332000</v>
      </c>
      <c r="AP21" s="137" t="n">
        <v>-360168000</v>
      </c>
      <c r="AQ21" s="137" t="n">
        <v>-227308000</v>
      </c>
      <c r="AR21" s="142" t="n">
        <v>0.025</v>
      </c>
      <c r="AS21" s="142" t="n">
        <v>0.025</v>
      </c>
      <c r="AT21" s="84" t="n">
        <v>0.15</v>
      </c>
      <c r="AU21" s="51" t="inlineStr">
        <is>
          <t>Integrated hardware-software solutions consisting of vision and intelligence components of robots (intelligent robotic guidance, intelligent inspection and measurement)</t>
        </is>
      </c>
      <c r="AV21" s="51" t="inlineStr">
        <is>
          <t>Chapter 18C</t>
        </is>
      </c>
      <c r="AW21" s="136" t="n">
        <v>46112</v>
      </c>
      <c r="AX21" s="137" t="n">
        <v>-52883000</v>
      </c>
      <c r="AY21" s="117" t="n">
        <v>345911000</v>
      </c>
      <c r="AZ21" s="117" t="n">
        <v>38462000</v>
      </c>
      <c r="BA21" s="117" t="n">
        <v>0</v>
      </c>
      <c r="BB21" s="138" t="n">
        <v>0.35</v>
      </c>
      <c r="BC21" s="139" t="n">
        <v>1</v>
      </c>
      <c r="BD21" s="80" t="n">
        <v>1</v>
      </c>
      <c r="BE21" s="161" t="n">
        <v>1</v>
      </c>
      <c r="BF21" s="161" t="n">
        <v>1</v>
      </c>
      <c r="BG21" s="161" t="n">
        <v>1</v>
      </c>
      <c r="BH21" s="161" t="n">
        <v>1</v>
      </c>
      <c r="BI21" s="161" t="n">
        <v>1</v>
      </c>
      <c r="BJ21" s="162" t="inlineStr">
        <is>
          <t>Hanchen; Qiming Rongke; Qingdao Jianrui; Qingdao Blue Bay; Gongqingcheng Shangqi; Tibet Delian; Intel Asia Pacific; Suzhou Yuanming; Beijing Kuxun Technology; Zhuhai Jinguang; Coatue; Gliff Investment; Dawo Xingguo; Dawo Tongde; Zibo Jiacheng; Qingdao Gaozhi; Mingzhe Huihua; Xiong'an Fund; Shanghai Nanxiang; Hebei Structural; Nanjing Lvyong; Broad-Ocean Motor; CICC Porsche; Jiaxing Shanghe; Tianjin Yongtai; Tianjin Tianchuang</t>
        </is>
      </c>
      <c r="BK21" s="163" t="n">
        <v>0.7654</v>
      </c>
      <c r="BL21" s="161" t="n">
        <v>1</v>
      </c>
      <c r="BM21" s="164" t="inlineStr">
        <is>
          <t>Series Angel</t>
        </is>
      </c>
      <c r="BN21" s="165" t="n">
        <v>9.949999999999999</v>
      </c>
      <c r="BO21" s="51" t="inlineStr">
        <is>
          <t>Individual natural persons acting in concert (Mr. Shao, Mr. Fu, Dr. Ding and Mech-Mind Management)</t>
        </is>
      </c>
      <c r="BP21" s="135" t="n">
        <v>0.1911</v>
      </c>
      <c r="BQ21" s="135" t="n">
        <v>0.1911</v>
      </c>
      <c r="BR21" s="137" t="n">
        <v>3099016000</v>
      </c>
      <c r="BS21" s="51" t="inlineStr">
        <is>
          <t>Commercialized (commercial-scale revenue-generating products in mass production and sales; revenue RMB388.8M in 2025)</t>
        </is>
      </c>
      <c r="BT21" s="142" t="n">
        <v>0</v>
      </c>
      <c r="BU21" s="60" t="inlineStr">
        <is>
          <t>Main Board</t>
        </is>
      </c>
      <c r="BV21" s="89" t="inlineStr">
        <is>
          <t>H Shares</t>
        </is>
      </c>
      <c r="BW21" s="61" t="n">
        <v>0</v>
      </c>
      <c r="BX21" s="77" t="n">
        <v>0</v>
      </c>
      <c r="BY21" s="77" t="n">
        <v>0</v>
      </c>
      <c r="BZ21" s="78" t="n">
        <v>1</v>
      </c>
      <c r="CA21" s="60" t="inlineStr">
        <is>
          <t>701030</t>
        </is>
      </c>
      <c r="CB21" s="76" t="inlineStr">
        <is>
          <t>HSICS (Hang Seng Industry Classification System) 2026</t>
        </is>
      </c>
      <c r="CC21" s="140" t="n">
        <v>42625</v>
      </c>
      <c r="CD21" s="171" t="n">
        <v>9.970000000000001</v>
      </c>
      <c r="CE21" s="76" t="inlineStr">
        <is>
          <t>PRC</t>
        </is>
      </c>
      <c r="CF21" s="89" t="inlineStr">
        <is>
          <t>Room 210, Unit 3, North Zone of Chuangzhi Park, No. 164 Yining Avenue, Start-up Area, Xiongan New Area, Hebei Province, PRC</t>
        </is>
      </c>
      <c r="CG21" s="91" t="n"/>
      <c r="CH21" s="60" t="inlineStr">
        <is>
          <t>IFRS Accounting Standards</t>
        </is>
      </c>
      <c r="CI21" s="141" t="n">
        <v>45017</v>
      </c>
      <c r="CJ21" s="141" t="n">
        <v>45382</v>
      </c>
      <c r="CK21" s="141" t="n">
        <v>45383</v>
      </c>
      <c r="CL21" s="141" t="n">
        <v>45747</v>
      </c>
      <c r="CM21" s="141" t="n">
        <v>45748</v>
      </c>
      <c r="CN21" s="64" t="n">
        <v>427660000</v>
      </c>
      <c r="CO21" s="64" t="n">
        <v>-225504000</v>
      </c>
      <c r="CP21" s="64" t="n">
        <v>-227308000</v>
      </c>
      <c r="CQ21" s="141" t="n">
        <v>46258</v>
      </c>
      <c r="CR21" s="141" t="n">
        <v>46261</v>
      </c>
      <c r="CS21" s="63" t="n">
        <v>23140590</v>
      </c>
      <c r="CT21" s="64" t="n">
        <v>69274000</v>
      </c>
      <c r="CU21" s="64" t="n">
        <v>14991000</v>
      </c>
      <c r="CV21" s="59" t="inlineStr">
        <is>
          <t>Unqualified (true and fair view)</t>
        </is>
      </c>
      <c r="CW21" s="64" t="n">
        <v>150200000</v>
      </c>
      <c r="CX21" s="51" t="inlineStr">
        <is>
          <t>Baillie Gifford Overseas Limited; Baillie Gifford &amp; Co; Taikang Life Insurance Co., Ltd; Invus Public Equities, L.P.; Jane Street Asia Trading Limited; Ghisallo Fund Master Ltd; Ruihua (International) Investment Limited; NGS Super Pty Limited; E Fund Management Co., Ltd.; Golden Link Worldwide Limited</t>
        </is>
      </c>
      <c r="CY21" s="142" t="n">
        <v>0.6202</v>
      </c>
      <c r="CZ21" s="136" t="n">
        <v>46447</v>
      </c>
      <c r="DA21" s="143" t="n">
        <v>3835.36</v>
      </c>
      <c r="DB21" s="63" t="n">
        <v>252461</v>
      </c>
      <c r="DC21" s="63" t="n">
        <v>4437660000</v>
      </c>
      <c r="DD21" s="59" t="inlineStr">
        <is>
          <t>Subscription level 3,835.36 times</t>
        </is>
      </c>
      <c r="DE21" s="141" t="inlineStr">
        <is>
          <t>NA</t>
        </is>
      </c>
      <c r="DF21" s="141" t="n">
        <v>46265</v>
      </c>
      <c r="DG21" s="63" t="n">
        <v>23140590</v>
      </c>
      <c r="DH21" s="63" t="n">
        <v>4628130</v>
      </c>
      <c r="DI21" s="63" t="n">
        <v>18512460</v>
      </c>
      <c r="DJ21" s="63" t="inlineStr">
        <is>
          <t>NaN</t>
        </is>
      </c>
      <c r="DK21" s="169" t="n">
        <v>0</v>
      </c>
      <c r="DL21" s="59" t="inlineStr">
        <is>
          <t>Claw-back triggered: Yes; 3,471,090 Offer Shares reallocated from the International Offering to the Hong Kong Public Offering; Final no. under HK Public Offering is 4,628,130 (20.00% of Global Offering)</t>
        </is>
      </c>
      <c r="DM21" s="144" t="n">
        <v>2200200000</v>
      </c>
      <c r="DN21" s="142" t="n">
        <v>0.6978</v>
      </c>
      <c r="DO21" s="51" t="n">
        <v>125011050</v>
      </c>
      <c r="DP21" s="142" t="n">
        <v>0.0703</v>
      </c>
      <c r="DQ21" s="59" t="inlineStr">
        <is>
          <t>Free float denominator = total issued shares upon listing (col_CZ); numerator = offer shares minus cornerstone allocation</t>
        </is>
      </c>
      <c r="DR21" s="63" t="n">
        <v>125011050</v>
      </c>
      <c r="DS21" s="142" t="n">
        <v>0.04191084</v>
      </c>
      <c r="DT21" s="80" t="n">
        <v>45</v>
      </c>
      <c r="DU21" s="142" t="n">
        <v>0.0268577</v>
      </c>
      <c r="DV21" s="144" t="n">
        <v>53968000000</v>
      </c>
      <c r="DW21" s="145" t="n">
        <v>99.8</v>
      </c>
      <c r="DX21" s="169" t="n">
        <v>-0.018682</v>
      </c>
      <c r="DY21" s="172" t="n">
        <v>-43967121</v>
      </c>
      <c r="DZ21" s="146" t="n">
        <v>101.7</v>
      </c>
      <c r="EA21" s="146" t="n">
        <v>102</v>
      </c>
      <c r="EB21" s="146" t="n">
        <v>97</v>
      </c>
      <c r="EC21" s="63" t="n">
        <v>5731115</v>
      </c>
      <c r="ED21" s="169" t="n">
        <v>0.247665</v>
      </c>
      <c r="EE21" s="64" t="n">
        <v>574537600</v>
      </c>
      <c r="EF21" s="60" t="inlineStr">
        <is>
          <t>Mechanism A</t>
        </is>
      </c>
      <c r="EG21" s="59" t="inlineStr">
        <is>
          <t>FINI (from 22/11/2023); 2025-08-04 pricing reform (Mechanism A/B; six-month cornerstone lock-up retained); this IPO: Mechanism A</t>
        </is>
      </c>
      <c r="EH21" t="inlineStr">
        <is>
          <t>梅卡曼德（雄安）機器人科技股份有限公司</t>
        </is>
      </c>
      <c r="EI21" s="174" t="inlineStr">
        <is>
          <t>Active</t>
        </is>
      </c>
      <c r="EJ21" s="175" t="n"/>
      <c r="EK21" s="176" t="n"/>
      <c r="EL21" s="176" t="n"/>
      <c r="EM21" s="176" t="n"/>
      <c r="EN21" s="176" t="n"/>
      <c r="EO21" s="179" t="n"/>
      <c r="EP21" s="179" t="n"/>
      <c r="EQ21" s="178" t="n"/>
      <c r="ER21" s="175" t="n"/>
      <c r="ES21" s="176" t="n"/>
      <c r="ET21" s="176" t="n"/>
      <c r="EU21" s="176" t="n"/>
      <c r="EV21" s="176" t="n"/>
      <c r="EW21" s="179" t="n"/>
      <c r="EX21" s="179" t="n"/>
      <c r="EY21" s="178" t="n"/>
      <c r="EZ21" s="176" t="n"/>
      <c r="FA21" s="176" t="n"/>
      <c r="FB21" s="179" t="n"/>
      <c r="FC21" s="176" t="n"/>
      <c r="FD21" s="179" t="n"/>
      <c r="FE21" s="174" t="inlineStr">
        <is>
          <t>18C (Specialist Tech)</t>
        </is>
      </c>
      <c r="FF21" s="181" t="inlineStr">
        <is>
          <t>China International Capital Corporation / Sponsor-OC</t>
        </is>
      </c>
      <c r="FG21" s="185" t="inlineStr">
        <is>
          <t>2026-10-01</t>
        </is>
      </c>
      <c r="FH21" s="183" t="n">
        <v>0</v>
      </c>
      <c r="FI21" s="178" t="n">
        <v>0</v>
      </c>
      <c r="FJ21" s="176" t="n">
        <v>0.15</v>
      </c>
      <c r="FK21" s="185" t="inlineStr">
        <is>
          <t>2026-10-01</t>
        </is>
      </c>
      <c r="FL21" s="178" t="n">
        <v>0</v>
      </c>
      <c r="FM21" s="176" t="n">
        <v>0</v>
      </c>
      <c r="FN21" s="176" t="n"/>
      <c r="FO21" s="176" t="n"/>
      <c r="FP21" s="176" t="n"/>
      <c r="FQ21" s="176" t="n">
        <v>-0.207916</v>
      </c>
      <c r="FR21" s="179" t="n">
        <v>0.7895</v>
      </c>
      <c r="FS21" s="176" t="n"/>
      <c r="FT21" s="179" t="n"/>
      <c r="FU21" s="176" t="n"/>
      <c r="FV21" s="179" t="n"/>
      <c r="FW21" s="179" t="n"/>
      <c r="FX21" s="178" t="n"/>
      <c r="FY21" s="186" t="n">
        <v>0.001905157894736842</v>
      </c>
      <c r="FZ21" s="183" t="n">
        <v>0</v>
      </c>
      <c r="GA21" s="176" t="n">
        <v>0.05622563174420619</v>
      </c>
      <c r="GB21" s="176" t="n">
        <v>0.230392</v>
      </c>
      <c r="GC21" s="185" t="inlineStr">
        <is>
          <t>2027-03-01</t>
        </is>
      </c>
      <c r="GD21" s="185" t="inlineStr">
        <is>
          <t>2027-09-01</t>
        </is>
      </c>
      <c r="GE21" s="176" t="n"/>
      <c r="GF21" s="176" t="n"/>
      <c r="GG21" s="179" t="n"/>
      <c r="GH21" s="181" t="inlineStr">
        <is>
          <t>CICC</t>
        </is>
      </c>
      <c r="GI21" s="183" t="n">
        <v>2</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POST_2025_REFORM</t>
        </is>
      </c>
    </row>
    <row r="22" ht="51" customFormat="1" customHeight="1" s="11">
      <c r="A22" s="43" t="n">
        <v>107</v>
      </c>
      <c r="B22" s="47" t="inlineStr">
        <is>
          <t>2041.HK</t>
        </is>
      </c>
      <c r="C22" s="44" t="inlineStr">
        <is>
          <t>Medcaptain Medical Technology Co., Ltd. - H Shares</t>
        </is>
      </c>
      <c r="D22" s="130" t="n">
        <v>46262</v>
      </c>
      <c r="E22" s="48" t="n">
        <v>46272</v>
      </c>
      <c r="F22" s="43" t="inlineStr">
        <is>
          <t>Morgan Stanley Asia Limited /
Huatai Financial Holdings (Hong Kong) Limited</t>
        </is>
      </c>
      <c r="G22" s="43" t="inlineStr">
        <is>
          <t>Ernst &amp; Young</t>
        </is>
      </c>
      <c r="H22" s="43" t="n"/>
      <c r="I22" s="131" t="n">
        <v>60000762</v>
      </c>
      <c r="J22" s="148" t="n">
        <v>540000690</v>
      </c>
      <c r="K22" s="133" t="n">
        <v>15.42</v>
      </c>
      <c r="L22" t="n">
        <v>538626686</v>
      </c>
      <c r="M22" s="67" t="n">
        <v>38910600</v>
      </c>
      <c r="N22" t="n">
        <v>499716086</v>
      </c>
      <c r="O22" t="n">
        <v>499716086</v>
      </c>
      <c r="P22" t="n">
        <v>0</v>
      </c>
      <c r="Q22" t="n">
        <v>38910600</v>
      </c>
      <c r="R22" s="67" t="n">
        <v>35019500</v>
      </c>
      <c r="S22" s="67" t="n">
        <v>3891100</v>
      </c>
      <c r="T22" s="147" t="n">
        <v>15.42</v>
      </c>
      <c r="U22" s="147" t="inlineStr">
        <is>
          <t>NaN</t>
        </is>
      </c>
      <c r="V22" s="169" t="n">
        <v>0</v>
      </c>
      <c r="W22" s="169" t="n">
        <v>0</v>
      </c>
      <c r="X22" s="170" t="inlineStr">
        <is>
          <t>Fixed price</t>
        </is>
      </c>
      <c r="Y22" s="26" t="inlineStr">
        <is>
          <t>RMB</t>
        </is>
      </c>
      <c r="Z22" s="137" t="n">
        <v>2755563000</v>
      </c>
      <c r="AA22" s="137" t="n">
        <v>2804961000</v>
      </c>
      <c r="AB22" s="137" t="n">
        <v>2941391000</v>
      </c>
      <c r="AC22" s="137" t="n">
        <v>1700286000</v>
      </c>
      <c r="AD22" s="137" t="n">
        <v>1751214000</v>
      </c>
      <c r="AE22" s="137" t="n">
        <v>1891968000</v>
      </c>
      <c r="AF22" s="137" t="n">
        <v>1055277000</v>
      </c>
      <c r="AG22" s="137" t="n">
        <v>1053747000</v>
      </c>
      <c r="AH22" s="137" t="n">
        <v>1049423000</v>
      </c>
      <c r="AI22" s="137" t="n">
        <v>1313297000</v>
      </c>
      <c r="AJ22" s="137" t="n">
        <v>1399361000</v>
      </c>
      <c r="AK22" s="137" t="n">
        <v>1689288000</v>
      </c>
      <c r="AL22" s="137" t="n">
        <v>-49824000</v>
      </c>
      <c r="AM22" s="137" t="n">
        <v>-70502000</v>
      </c>
      <c r="AN22" s="137" t="n">
        <v>13324000</v>
      </c>
      <c r="AO22" s="137" t="n">
        <v>-64508000</v>
      </c>
      <c r="AP22" s="137" t="n">
        <v>-96617000</v>
      </c>
      <c r="AQ22" s="137" t="n">
        <v>-10108000</v>
      </c>
      <c r="AR22" s="142" t="n">
        <v>0.035</v>
      </c>
      <c r="AS22" s="142" t="n">
        <v>0.035</v>
      </c>
      <c r="AT22" s="84" t="n">
        <v>0</v>
      </c>
      <c r="AU22" s="51" t="inlineStr">
        <is>
          <t>Medical devices</t>
        </is>
      </c>
      <c r="AV22" s="51" t="inlineStr">
        <is>
          <t>Rule 8.05(3)</t>
        </is>
      </c>
      <c r="AW22" s="136" t="n">
        <v>46112</v>
      </c>
      <c r="AX22" s="137" t="n">
        <v>38047000</v>
      </c>
      <c r="AY22" s="117" t="n">
        <v>321227000</v>
      </c>
      <c r="AZ22" s="117" t="n">
        <v>68211000</v>
      </c>
      <c r="BA22" s="117" t="n">
        <v>0</v>
      </c>
      <c r="BB22" s="138" t="n">
        <v>0.155</v>
      </c>
      <c r="BC22" s="139" t="n">
        <v>1</v>
      </c>
      <c r="BD22" s="80" t="n">
        <v>1</v>
      </c>
      <c r="BE22" s="161" t="n">
        <v>1</v>
      </c>
      <c r="BF22" s="161" t="n">
        <v>1</v>
      </c>
      <c r="BG22" s="161" t="n">
        <v>0</v>
      </c>
      <c r="BH22" s="161" t="n">
        <v>1</v>
      </c>
      <c r="BI22" s="161" t="n">
        <v>1</v>
      </c>
      <c r="BJ22" s="162" t="inlineStr">
        <is>
          <t>Gao Ling; Shenzhen Capital Group; Sino-Rock; Kangjun Zhongyuan Fund</t>
        </is>
      </c>
      <c r="BK22" s="163" t="n">
        <v>0.2079</v>
      </c>
      <c r="BL22" s="161" t="n">
        <v>1</v>
      </c>
      <c r="BM22" s="164" t="inlineStr">
        <is>
          <t>Series A</t>
        </is>
      </c>
      <c r="BN22" s="165" t="n">
        <v>10.5</v>
      </c>
      <c r="BO22" s="51" t="inlineStr">
        <is>
          <t>Individual</t>
        </is>
      </c>
      <c r="BP22" s="135" t="n">
        <v>0.367</v>
      </c>
      <c r="BQ22" s="135" t="n">
        <v>0.367</v>
      </c>
      <c r="BR22" s="137" t="n">
        <v>435819000</v>
      </c>
      <c r="BS22" s="51" t="inlineStr">
        <is>
          <t>Commercialized</t>
        </is>
      </c>
      <c r="BT22" s="142" t="n">
        <v>0</v>
      </c>
      <c r="BU22" s="60" t="inlineStr">
        <is>
          <t>Main Board</t>
        </is>
      </c>
      <c r="BV22" s="89" t="inlineStr">
        <is>
          <t>H Shares</t>
        </is>
      </c>
      <c r="BW22" s="61" t="n">
        <v>0</v>
      </c>
      <c r="BX22" s="77" t="n">
        <v>0</v>
      </c>
      <c r="BY22" s="77" t="n">
        <v>0</v>
      </c>
      <c r="BZ22" s="78" t="n">
        <v>0</v>
      </c>
      <c r="CA22" s="60" t="inlineStr">
        <is>
          <t>282010</t>
        </is>
      </c>
      <c r="CB22" s="76" t="inlineStr">
        <is>
          <t>HSICS (Hang Seng Industry Classification System) 2026</t>
        </is>
      </c>
      <c r="CC22" s="140" t="n">
        <v>40659</v>
      </c>
      <c r="CD22" s="171" t="n">
        <v>15.37</v>
      </c>
      <c r="CE22" s="76" t="inlineStr">
        <is>
          <t>PRC</t>
        </is>
      </c>
      <c r="CF22" s="89" t="inlineStr">
        <is>
          <t>Shenzhen</t>
        </is>
      </c>
      <c r="CG22" s="91" t="n"/>
      <c r="CH22" s="60" t="inlineStr">
        <is>
          <t>IFRS</t>
        </is>
      </c>
      <c r="CI22" s="141" t="n">
        <v>45017</v>
      </c>
      <c r="CJ22" s="141" t="n">
        <v>45382</v>
      </c>
      <c r="CK22" s="141" t="n">
        <v>45383</v>
      </c>
      <c r="CL22" s="141" t="n">
        <v>45747</v>
      </c>
      <c r="CM22" s="141" t="n">
        <v>45748</v>
      </c>
      <c r="CN22" s="64" t="n">
        <v>1689288000</v>
      </c>
      <c r="CO22" s="64" t="n">
        <v>13324000</v>
      </c>
      <c r="CP22" s="64" t="n">
        <v>-10108000</v>
      </c>
      <c r="CQ22" s="141" t="n">
        <v>46262</v>
      </c>
      <c r="CR22" s="141" t="n">
        <v>46267</v>
      </c>
      <c r="CS22" s="63" t="n">
        <v>479221686</v>
      </c>
      <c r="CT22" s="64" t="n">
        <v>229204000</v>
      </c>
      <c r="CU22" s="64" t="n">
        <v>22688000</v>
      </c>
      <c r="CV22" s="59" t="inlineStr">
        <is>
          <t>Unqualified</t>
        </is>
      </c>
      <c r="CW22" s="64" t="n">
        <v>103800000</v>
      </c>
      <c r="CX22" s="51" t="inlineStr">
        <is>
          <t>NA</t>
        </is>
      </c>
      <c r="CY22" s="142" t="n">
        <v>0</v>
      </c>
      <c r="CZ22" s="136" t="inlineStr">
        <is>
          <t>NA</t>
        </is>
      </c>
      <c r="DA22" s="143" t="n">
        <v>436.37</v>
      </c>
      <c r="DB22" s="63" t="n">
        <v>57305</v>
      </c>
      <c r="DC22" s="63" t="n">
        <v>1697974600</v>
      </c>
      <c r="DD22" s="59" t="inlineStr">
        <is>
          <t>Subscription level 436.37 times</t>
        </is>
      </c>
      <c r="DE22" s="141" t="inlineStr">
        <is>
          <t>NA</t>
        </is>
      </c>
      <c r="DF22" s="141" t="n">
        <v>46269</v>
      </c>
      <c r="DG22" s="63" t="n">
        <v>38910600</v>
      </c>
      <c r="DH22" s="63" t="n">
        <v>3891100</v>
      </c>
      <c r="DI22" s="63" t="n">
        <v>35019500</v>
      </c>
      <c r="DJ22" s="63" t="inlineStr">
        <is>
          <t>NaN</t>
        </is>
      </c>
      <c r="DK22" s="169" t="n">
        <v>0</v>
      </c>
      <c r="DL22" s="59" t="inlineStr">
        <is>
          <t>Claw-back triggered: N/A</t>
        </is>
      </c>
      <c r="DM22" s="144" t="n">
        <v>496200000</v>
      </c>
      <c r="DN22" s="142" t="n">
        <v>0.4263</v>
      </c>
      <c r="DO22" s="51" t="n">
        <v>538626686</v>
      </c>
      <c r="DP22" s="142" t="n">
        <v>0.0722</v>
      </c>
      <c r="DQ22" s="59" t="inlineStr">
        <is>
          <t>Free float denominator = total issued shares upon listing (col_CZ); numerator = offer shares minus cornerstone allocation</t>
        </is>
      </c>
      <c r="DR22" s="63" t="n">
        <v>538626686</v>
      </c>
      <c r="DS22" s="142" t="n">
        <v>-0.01133618</v>
      </c>
      <c r="DT22" s="80" t="n">
        <v>42</v>
      </c>
      <c r="DU22" s="142" t="n">
        <v>0.0278821</v>
      </c>
      <c r="DV22" s="144" t="n">
        <v>54202000000</v>
      </c>
      <c r="DW22" s="145" t="n">
        <v>8.800000000000001</v>
      </c>
      <c r="DX22" s="169" t="n">
        <v>-0.429313</v>
      </c>
      <c r="DY22" s="172" t="n">
        <v>-257588172</v>
      </c>
      <c r="DZ22" s="146" t="n">
        <v>10</v>
      </c>
      <c r="EA22" s="146" t="n">
        <v>10.9</v>
      </c>
      <c r="EB22" s="146" t="n">
        <v>8.41</v>
      </c>
      <c r="EC22" s="63" t="n">
        <v>12158500</v>
      </c>
      <c r="ED22" s="169" t="n">
        <v>0.312473</v>
      </c>
      <c r="EE22" s="64" t="n">
        <v>128712100</v>
      </c>
      <c r="EF22" s="60" t="inlineStr">
        <is>
          <t>Mechanism B</t>
        </is>
      </c>
      <c r="EG22" s="59" t="inlineStr">
        <is>
          <t>FINI (from 22/11/2023); 2025-08-04 pricing reform (Mechanism A/B; six-month cornerstone lock-up retained); this IPO: Mechanism B</t>
        </is>
      </c>
      <c r="EH22" t="inlineStr">
        <is>
          <t>麦科田</t>
        </is>
      </c>
      <c r="EI22" s="174" t="inlineStr">
        <is>
          <t>Active</t>
        </is>
      </c>
      <c r="EJ22" s="175" t="n"/>
      <c r="EK22" s="176" t="n"/>
      <c r="EL22" s="176" t="n"/>
      <c r="EM22" s="176" t="n"/>
      <c r="EN22" s="176" t="n"/>
      <c r="EO22" s="179" t="n"/>
      <c r="EP22" s="179" t="n"/>
      <c r="EQ22" s="178" t="n"/>
      <c r="ER22" s="175" t="n"/>
      <c r="ES22" s="176" t="n"/>
      <c r="ET22" s="176" t="n"/>
      <c r="EU22" s="176" t="n"/>
      <c r="EV22" s="176" t="n"/>
      <c r="EW22" s="179" t="n"/>
      <c r="EX22" s="179" t="n"/>
      <c r="EY22" s="178" t="n"/>
      <c r="EZ22" s="176" t="n"/>
      <c r="FA22" s="176" t="n"/>
      <c r="FB22" s="179" t="n"/>
      <c r="FC22" s="176" t="n"/>
      <c r="FD22" s="179" t="n"/>
      <c r="FE22" s="174" t="inlineStr">
        <is>
          <t>Standard</t>
        </is>
      </c>
      <c r="FF22" s="181" t="inlineStr">
        <is>
          <t>China International Capital Corporation / Sponsor-OC</t>
        </is>
      </c>
      <c r="FG22" s="185" t="inlineStr">
        <is>
          <t>2026-10-07</t>
        </is>
      </c>
      <c r="FH22" s="183" t="n">
        <v>0</v>
      </c>
      <c r="FI22" s="178" t="n">
        <v>0</v>
      </c>
      <c r="FJ22" s="176" t="n">
        <v>0.15</v>
      </c>
      <c r="FK22" s="185" t="inlineStr">
        <is>
          <t>2026-10-07</t>
        </is>
      </c>
      <c r="FL22" s="178" t="n">
        <v>0</v>
      </c>
      <c r="FM22" s="176" t="n">
        <v>0</v>
      </c>
      <c r="FN22" s="176" t="n"/>
      <c r="FO22" s="176" t="n"/>
      <c r="FP22" s="176" t="n"/>
      <c r="FQ22" s="176" t="n">
        <v>-0.002273</v>
      </c>
      <c r="FR22" s="179" t="n">
        <v>1.0222</v>
      </c>
      <c r="FS22" s="176" t="n"/>
      <c r="FT22" s="179" t="n"/>
      <c r="FU22" s="176" t="n"/>
      <c r="FV22" s="179" t="n"/>
      <c r="FW22" s="179" t="n"/>
      <c r="FX22" s="178" t="n"/>
      <c r="FY22" s="186" t="n">
        <v>0.007705933333333333</v>
      </c>
      <c r="FZ22" s="183" t="n">
        <v>0</v>
      </c>
      <c r="GA22" s="176" t="n">
        <v>0.1162642846072606</v>
      </c>
      <c r="GB22" s="176" t="n">
        <v>0.264679</v>
      </c>
      <c r="GC22" s="185" t="inlineStr">
        <is>
          <t>2027-03-07</t>
        </is>
      </c>
      <c r="GD22" s="185" t="inlineStr">
        <is>
          <t>2027-09-07</t>
        </is>
      </c>
      <c r="GE22" s="176" t="n"/>
      <c r="GF22" s="176" t="n"/>
      <c r="GG22" s="179" t="n"/>
      <c r="GH22" s="181" t="inlineStr">
        <is>
          <t>CICC</t>
        </is>
      </c>
      <c r="GI22" s="183" t="n">
        <v>2</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POST_2025_REFORM</t>
        </is>
      </c>
    </row>
    <row r="23" ht="68" customFormat="1" customHeight="1" s="11">
      <c r="A23" s="43" t="n">
        <v>108</v>
      </c>
      <c r="B23" s="47" t="inlineStr">
        <is>
          <t>9976.HK</t>
        </is>
      </c>
      <c r="C23" s="44" t="inlineStr">
        <is>
          <t>Shenzhen Longsys Electronics Co., Ltd. - H Shares</t>
        </is>
      </c>
      <c r="D23" s="130" t="n">
        <v>46265</v>
      </c>
      <c r="E23" s="48" t="n">
        <v>46273</v>
      </c>
      <c r="F23" s="43" t="inlineStr">
        <is>
          <t>CITIC Securities (Hong Kong) Limited /
Citigroup Global Markets Asia Limited</t>
        </is>
      </c>
      <c r="G23" s="43" t="inlineStr">
        <is>
          <t>Ernst &amp; Young</t>
        </is>
      </c>
      <c r="H23" s="43" t="n"/>
      <c r="I23" s="131" t="n">
        <v>615440800</v>
      </c>
      <c r="J23" s="148" t="n">
        <v>6462069400</v>
      </c>
      <c r="K23" s="133" t="n">
        <v>236</v>
      </c>
      <c r="L23" t="n">
        <v>455745949</v>
      </c>
      <c r="M23" s="67" t="n">
        <v>26077800</v>
      </c>
      <c r="N23" t="n">
        <v>429668149</v>
      </c>
      <c r="O23" t="n">
        <v>429668149</v>
      </c>
      <c r="P23" t="n">
        <v>0</v>
      </c>
      <c r="Q23" t="n">
        <v>26077800</v>
      </c>
      <c r="R23" s="67" t="n">
        <v>23470000</v>
      </c>
      <c r="S23" s="67" t="n">
        <v>2607800</v>
      </c>
      <c r="T23" s="147" t="n">
        <v>240.6</v>
      </c>
      <c r="U23" s="147" t="inlineStr">
        <is>
          <t>NaN</t>
        </is>
      </c>
      <c r="V23" s="169" t="n">
        <v>0</v>
      </c>
      <c r="W23" s="169" t="n">
        <v>0</v>
      </c>
      <c r="X23" s="170" t="inlineStr">
        <is>
          <t>Fixed price</t>
        </is>
      </c>
      <c r="Y23" s="26" t="inlineStr">
        <is>
          <t>RMB</t>
        </is>
      </c>
      <c r="Z23" s="137" t="n">
        <v>16896667000</v>
      </c>
      <c r="AA23" s="137" t="n">
        <v>22750717000</v>
      </c>
      <c r="AB23" s="137" t="n">
        <v>37244312000</v>
      </c>
      <c r="AC23" s="137" t="n">
        <v>6899505000</v>
      </c>
      <c r="AD23" s="137" t="n">
        <v>8361665000</v>
      </c>
      <c r="AE23" s="137" t="n">
        <v>14810263000</v>
      </c>
      <c r="AF23" s="137" t="n">
        <v>9997162000</v>
      </c>
      <c r="AG23" s="137" t="n">
        <v>14389052000</v>
      </c>
      <c r="AH23" s="137" t="n">
        <v>22434049000</v>
      </c>
      <c r="AI23" s="137" t="n">
        <v>17463650000</v>
      </c>
      <c r="AJ23" s="137" t="n">
        <v>22766170000</v>
      </c>
      <c r="AK23" s="137" t="n">
        <v>44119863000</v>
      </c>
      <c r="AL23" s="137" t="n">
        <v>589656000</v>
      </c>
      <c r="AM23" s="137" t="n">
        <v>1744965000</v>
      </c>
      <c r="AN23" s="137" t="n">
        <v>23175585000</v>
      </c>
      <c r="AO23" s="137" t="n">
        <v>505231000</v>
      </c>
      <c r="AP23" s="137" t="n">
        <v>1497771000</v>
      </c>
      <c r="AQ23" s="137" t="n">
        <v>19281489000</v>
      </c>
      <c r="AR23" s="142" t="n">
        <v>0.017</v>
      </c>
      <c r="AS23" s="142" t="n">
        <v>0.017</v>
      </c>
      <c r="AT23" s="84" t="n">
        <v>0.15</v>
      </c>
      <c r="AU23" s="51" t="inlineStr">
        <is>
          <t>Design, back-end manufacturing and sales of semiconductor memory products (embedded storage, SSDs, mobile storage and DIMMs)</t>
        </is>
      </c>
      <c r="AV23" s="51" t="inlineStr">
        <is>
          <t>Chapter 19A of the Main Board Listing Rules (PRC issuer with other listed shares)</t>
        </is>
      </c>
      <c r="AW23" s="136" t="n">
        <v>46142</v>
      </c>
      <c r="AX23" s="137" t="n">
        <v>-2947514000</v>
      </c>
      <c r="AY23" s="117" t="n">
        <v>3607769000</v>
      </c>
      <c r="AZ23" s="117" t="n">
        <v>374595000</v>
      </c>
      <c r="BA23" s="117" t="n">
        <v>0</v>
      </c>
      <c r="BB23" s="138" t="n">
        <v>0.283</v>
      </c>
      <c r="BC23" s="139" t="n">
        <v>1</v>
      </c>
      <c r="BD23" s="80" t="n">
        <v>1</v>
      </c>
      <c r="BE23" s="161" t="n">
        <v>1</v>
      </c>
      <c r="BF23" s="161" t="n">
        <v>0</v>
      </c>
      <c r="BG23" s="161" t="n">
        <v>0</v>
      </c>
      <c r="BH23" s="161" t="n">
        <v>1</v>
      </c>
      <c r="BI23" s="161" t="n">
        <v>0</v>
      </c>
      <c r="BJ23" s="162" t="inlineStr">
        <is>
          <t>Yuanhe Puhua (Jiangsu Jiequan Yuanhe Puhua Equity Investment Partnership); National IC Industry Investment Fund; Shanghai Juyuan Juxin IC Industry Fund; Suzhou Shangkai Venture Capital; Shenzhen Lihe Venture Capital</t>
        </is>
      </c>
      <c r="BK23" s="163" t="n">
        <v>16.75</v>
      </c>
      <c r="BL23" s="161" t="n">
        <v>1</v>
      </c>
      <c r="BM23" s="164" t="inlineStr">
        <is>
          <t>Capital Increase (June 12, 2018)</t>
        </is>
      </c>
      <c r="BN23" s="165" t="n">
        <v>8.220000000000001</v>
      </c>
      <c r="BO23" s="51" t="inlineStr">
        <is>
          <t>Individual / Founder (Mr. Cai Huabo and Ms. Cai Lijiang)</t>
        </is>
      </c>
      <c r="BP23" s="135" t="n">
        <v>0.3879</v>
      </c>
      <c r="BQ23" s="135" t="n">
        <v>0.3879</v>
      </c>
      <c r="BR23" s="137" t="n">
        <v>16129110000</v>
      </c>
      <c r="BS23" s="51" t="inlineStr">
        <is>
          <t>Commercialized (mass production and sales of semiconductor memory products; revenue RMB22.8B in 2025)</t>
        </is>
      </c>
      <c r="BT23" s="142" t="n">
        <v>0</v>
      </c>
      <c r="BU23" s="60" t="inlineStr">
        <is>
          <t>Main Board</t>
        </is>
      </c>
      <c r="BV23" s="89" t="inlineStr">
        <is>
          <t>H Shares</t>
        </is>
      </c>
      <c r="BW23" s="61" t="n">
        <v>1</v>
      </c>
      <c r="BX23" s="77" t="n">
        <v>0</v>
      </c>
      <c r="BY23" s="77" t="n">
        <v>0</v>
      </c>
      <c r="BZ23" s="78" t="n">
        <v>0</v>
      </c>
      <c r="CA23" s="60" t="inlineStr">
        <is>
          <t>703010</t>
        </is>
      </c>
      <c r="CB23" s="76" t="inlineStr">
        <is>
          <t>HSICS (Hang Seng Industry Classification System) 2026</t>
        </is>
      </c>
      <c r="CC23" s="140" t="n">
        <v>36277</v>
      </c>
      <c r="CD23" s="171" t="n">
        <v>27.37</v>
      </c>
      <c r="CE23" s="76" t="inlineStr">
        <is>
          <t>PRC</t>
        </is>
      </c>
      <c r="CF23" s="89" t="inlineStr">
        <is>
          <t>Units 2001, 2201, 2301, B Tower, Horoy Qianhai Finance Centre Phase II, No. 5059, Tinghai Avenue, Nanshan Street, Shenzhen-Hong Kong Cooperation Zone, Qianhai, Shenzhen, China</t>
        </is>
      </c>
      <c r="CG23" s="91" t="n"/>
      <c r="CH23" s="60" t="inlineStr">
        <is>
          <t>IFRS Accounting Standards</t>
        </is>
      </c>
      <c r="CI23" s="141" t="n">
        <v>45047</v>
      </c>
      <c r="CJ23" s="141" t="n">
        <v>45412</v>
      </c>
      <c r="CK23" s="141" t="n">
        <v>45413</v>
      </c>
      <c r="CL23" s="141" t="n">
        <v>45777</v>
      </c>
      <c r="CM23" s="141" t="n">
        <v>45778</v>
      </c>
      <c r="CN23" s="64" t="n">
        <v>44119863000</v>
      </c>
      <c r="CO23" s="64" t="n">
        <v>23175585000</v>
      </c>
      <c r="CP23" s="64" t="n">
        <v>19281489000</v>
      </c>
      <c r="CQ23" s="141" t="n">
        <v>46265</v>
      </c>
      <c r="CR23" s="141" t="n">
        <v>46268</v>
      </c>
      <c r="CS23" s="63" t="n">
        <v>26077800</v>
      </c>
      <c r="CT23" s="64" t="n">
        <v>8459876000</v>
      </c>
      <c r="CU23" s="64" t="n">
        <v>220791000</v>
      </c>
      <c r="CV23" s="59" t="inlineStr">
        <is>
          <t>Unqualified (true and fair view)</t>
        </is>
      </c>
      <c r="CW23" s="64" t="n">
        <v>242400000</v>
      </c>
      <c r="CX23" s="51" t="inlineStr">
        <is>
          <t>Transsion International Limited; YuFeng Financial Group Limited; YuFeng Project 1 Limited Partnership Fund; CITIC Securities Asset Management (HK) Limited; Admiralty Harbour Growth Opportunities SPC; Lenovo Group Limited; Lens Technology (HK) Co., Limited; Ingenic Semiconductor (Hong Kong) Group Limited; Ju Yuen (Hong Kong) International Limited; Colorful Technology Company Limited; HOSIN Global (HK) Electronics Co., Limited; Huadeng Tech Bright Investment Ltd; Wind Sabre Fund SPC; CQTech Limited; SDMC Technology (Hong Kong) Limited</t>
        </is>
      </c>
      <c r="CY23" s="142" t="n">
        <v>0.1675</v>
      </c>
      <c r="CZ23" s="136" t="n">
        <v>46454</v>
      </c>
      <c r="DA23" s="143" t="n">
        <v>40.32</v>
      </c>
      <c r="DB23" s="63" t="n">
        <v>36285</v>
      </c>
      <c r="DC23" s="63" t="n">
        <v>105146500</v>
      </c>
      <c r="DD23" s="59" t="inlineStr">
        <is>
          <t>Subscription level 40.32 times</t>
        </is>
      </c>
      <c r="DE23" s="141" t="inlineStr">
        <is>
          <t>NA</t>
        </is>
      </c>
      <c r="DF23" s="141" t="n">
        <v>46272</v>
      </c>
      <c r="DG23" s="63" t="n">
        <v>29989450</v>
      </c>
      <c r="DH23" s="63" t="n">
        <v>2607800</v>
      </c>
      <c r="DI23" s="63" t="n">
        <v>27381650</v>
      </c>
      <c r="DJ23" s="63" t="inlineStr">
        <is>
          <t>NaN</t>
        </is>
      </c>
      <c r="DK23" s="169" t="n">
        <v>0</v>
      </c>
      <c r="DL23" s="59" t="inlineStr">
        <is>
          <t>Claw-back triggered: N/A; Number of Offer Shares reallocated from the International Offering: 0; Final HK Public Offer shares: 2,607,800</t>
        </is>
      </c>
      <c r="DM23" s="144" t="n">
        <v>6803200000</v>
      </c>
      <c r="DN23" s="142" t="n">
        <v>0.06519999999999999</v>
      </c>
      <c r="DO23" s="51" t="n">
        <v>459657599</v>
      </c>
      <c r="DP23" s="142" t="n">
        <v>0.0543</v>
      </c>
      <c r="DQ23" s="59" t="inlineStr">
        <is>
          <t>Free float = Offer Shares excluding Shares held by Cornerstone Investors (6-month lock-up); denominator = total issued Shares upon Listing = col_CZ</t>
        </is>
      </c>
      <c r="DR23" s="63" t="n">
        <v>459657599</v>
      </c>
      <c r="DS23" s="142" t="n">
        <v>-0.01157611</v>
      </c>
      <c r="DT23" s="80" t="n">
        <v>42</v>
      </c>
      <c r="DU23" s="142" t="n">
        <v>0.0285</v>
      </c>
      <c r="DV23" s="144" t="n">
        <v>54190000000</v>
      </c>
      <c r="DW23" s="145" t="n">
        <v>233.6</v>
      </c>
      <c r="DX23" s="169" t="n">
        <v>-0.010169</v>
      </c>
      <c r="DY23" s="172" t="n">
        <v>-71974680</v>
      </c>
      <c r="DZ23" s="146" t="n">
        <v>236</v>
      </c>
      <c r="EA23" s="146" t="n">
        <v>236.6</v>
      </c>
      <c r="EB23" s="146" t="n">
        <v>231.2</v>
      </c>
      <c r="EC23" s="63" t="n">
        <v>7384400</v>
      </c>
      <c r="ED23" s="169" t="n">
        <v>0.246233</v>
      </c>
      <c r="EE23" s="64" t="n">
        <v>1728374600</v>
      </c>
      <c r="EF23" s="60" t="inlineStr">
        <is>
          <t>Mechanism B</t>
        </is>
      </c>
      <c r="EG23" s="59" t="inlineStr">
        <is>
          <t>FINI (from 22/11/2023); 2025-08-04 pricing reform (Mechanism A/B; six-month cornerstone lock-up retained); this IPO: Mechanism B</t>
        </is>
      </c>
      <c r="EH23" t="inlineStr">
        <is>
          <t>深圳市江波龍電子股份有限公司</t>
        </is>
      </c>
      <c r="EI23" s="174" t="inlineStr">
        <is>
          <t>Active</t>
        </is>
      </c>
      <c r="EJ23" s="175" t="n"/>
      <c r="EK23" s="176" t="n"/>
      <c r="EL23" s="176" t="n"/>
      <c r="EM23" s="176" t="n"/>
      <c r="EN23" s="176" t="n"/>
      <c r="EO23" s="179" t="n"/>
      <c r="EP23" s="179" t="n"/>
      <c r="EQ23" s="178" t="n"/>
      <c r="ER23" s="175" t="n"/>
      <c r="ES23" s="176" t="n"/>
      <c r="ET23" s="176" t="n"/>
      <c r="EU23" s="176" t="n"/>
      <c r="EV23" s="176" t="n"/>
      <c r="EW23" s="179" t="n"/>
      <c r="EX23" s="179" t="n"/>
      <c r="EY23" s="178" t="n"/>
      <c r="EZ23" s="176" t="n"/>
      <c r="FA23" s="176" t="n"/>
      <c r="FB23" s="179" t="n"/>
      <c r="FC23" s="176" t="n"/>
      <c r="FD23" s="179" t="n"/>
      <c r="FE23" s="174" t="inlineStr">
        <is>
          <t>Standard</t>
        </is>
      </c>
      <c r="FF23" s="181" t="inlineStr">
        <is>
          <t>China International Capital Corporation / Sponsor-OC</t>
        </is>
      </c>
      <c r="FG23" s="185" t="inlineStr">
        <is>
          <t>2026-10-08</t>
        </is>
      </c>
      <c r="FH23" s="183" t="n">
        <v>0</v>
      </c>
      <c r="FI23" s="178" t="n">
        <v>0</v>
      </c>
      <c r="FJ23" s="176" t="n">
        <v>0.15</v>
      </c>
      <c r="FK23" s="185" t="inlineStr">
        <is>
          <t>2026-10-08</t>
        </is>
      </c>
      <c r="FL23" s="178" t="n">
        <v>0</v>
      </c>
      <c r="FM23" s="176" t="n">
        <v>0</v>
      </c>
      <c r="FN23" s="176" t="n"/>
      <c r="FO23" s="176" t="n"/>
      <c r="FP23" s="176" t="n"/>
      <c r="FQ23" s="176" t="n">
        <v>-0.200342</v>
      </c>
      <c r="FR23" s="179" t="n">
        <v>0.8125</v>
      </c>
      <c r="FS23" s="176" t="n"/>
      <c r="FT23" s="179" t="n"/>
      <c r="FU23" s="176" t="n"/>
      <c r="FV23" s="179" t="n"/>
      <c r="FW23" s="179" t="n"/>
      <c r="FX23" s="178" t="n"/>
      <c r="FY23" s="186" t="n">
        <v>0.000273</v>
      </c>
      <c r="FZ23" s="183" t="n">
        <v>0</v>
      </c>
      <c r="GA23" s="176" t="n">
        <v>0.04582067894347114</v>
      </c>
      <c r="GB23" s="176" t="n">
        <v>0.241336</v>
      </c>
      <c r="GC23" s="185" t="inlineStr">
        <is>
          <t>2027-03-08</t>
        </is>
      </c>
      <c r="GD23" s="185" t="inlineStr">
        <is>
          <t>2027-09-08</t>
        </is>
      </c>
      <c r="GE23" s="176" t="n"/>
      <c r="GF23" s="176" t="n"/>
      <c r="GG23" s="179" t="n"/>
      <c r="GH23" s="181" t="inlineStr">
        <is>
          <t>CICC</t>
        </is>
      </c>
      <c r="GI23" s="183" t="n">
        <v>2</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POST_2025_REFORM</t>
        </is>
      </c>
    </row>
    <row r="24" ht="68" customFormat="1" customHeight="1" s="11">
      <c r="A24" s="43" t="n">
        <v>109</v>
      </c>
      <c r="B24" s="47" t="inlineStr">
        <is>
          <t>3231.HK</t>
        </is>
      </c>
      <c r="C24" s="44" t="inlineStr">
        <is>
          <t>Excelland Robotics (Wuxi) Co. Ltd. - H Shares</t>
        </is>
      </c>
      <c r="D24" s="130" t="n">
        <v>46265</v>
      </c>
      <c r="E24" s="48" t="n">
        <v>46274</v>
      </c>
      <c r="F24" s="43" t="inlineStr">
        <is>
          <t>Silver Nile Global Investments Limited</t>
        </is>
      </c>
      <c r="G24" s="43" t="inlineStr">
        <is>
          <t>Ernst &amp; Young</t>
        </is>
      </c>
      <c r="H24" s="43" t="n"/>
      <c r="I24" s="131" t="n">
        <v>40197010</v>
      </c>
      <c r="J24" s="148" t="n">
        <v>610052990</v>
      </c>
      <c r="K24" s="133" t="n">
        <v>14.45</v>
      </c>
      <c r="L24" t="n">
        <v>416368421</v>
      </c>
      <c r="M24" s="67" t="n">
        <v>45000000</v>
      </c>
      <c r="N24" t="n">
        <v>371368421</v>
      </c>
      <c r="O24" t="n">
        <v>371368421</v>
      </c>
      <c r="P24" t="n">
        <v>0</v>
      </c>
      <c r="Q24" t="n">
        <v>45000000</v>
      </c>
      <c r="R24" s="67" t="n">
        <v>42750000</v>
      </c>
      <c r="S24" s="67" t="n">
        <v>2250000</v>
      </c>
      <c r="T24" s="147" t="n">
        <v>19.55</v>
      </c>
      <c r="U24" s="147" t="n">
        <v>14.45</v>
      </c>
      <c r="V24" s="169" t="n">
        <v>-0.15</v>
      </c>
      <c r="W24" s="169" t="n">
        <v>0.3</v>
      </c>
      <c r="X24" s="170" t="inlineStr">
        <is>
          <t>At low</t>
        </is>
      </c>
      <c r="Y24" s="26" t="inlineStr">
        <is>
          <t>RMB</t>
        </is>
      </c>
      <c r="Z24" s="137" t="n">
        <v>400022000</v>
      </c>
      <c r="AA24" s="137" t="n">
        <v>371851000</v>
      </c>
      <c r="AB24" s="137" t="n">
        <v>422894000</v>
      </c>
      <c r="AC24" s="137" t="n">
        <v>149221000</v>
      </c>
      <c r="AD24" s="137" t="n">
        <v>121625000</v>
      </c>
      <c r="AE24" s="137" t="n">
        <v>90502000</v>
      </c>
      <c r="AF24" s="137" t="n">
        <v>250801000</v>
      </c>
      <c r="AG24" s="137" t="n">
        <v>250226000</v>
      </c>
      <c r="AH24" s="137" t="n">
        <v>332392000</v>
      </c>
      <c r="AI24" s="137" t="n">
        <v>267107000</v>
      </c>
      <c r="AJ24" s="137" t="n">
        <v>317707000</v>
      </c>
      <c r="AK24" s="137" t="n">
        <v>306052000</v>
      </c>
      <c r="AL24" s="137" t="n">
        <v>-151444000</v>
      </c>
      <c r="AM24" s="137" t="n">
        <v>-110859000</v>
      </c>
      <c r="AN24" s="137" t="n">
        <v>-124932000</v>
      </c>
      <c r="AO24" s="137" t="n">
        <v>-151444000</v>
      </c>
      <c r="AP24" s="137" t="n">
        <v>-110786000</v>
      </c>
      <c r="AQ24" s="137" t="n">
        <v>-124864000</v>
      </c>
      <c r="AR24" s="142" t="n">
        <v>0.035</v>
      </c>
      <c r="AS24" s="142" t="n">
        <v>0.035</v>
      </c>
      <c r="AT24" s="84" t="n">
        <v>0</v>
      </c>
      <c r="AU24" s="51" t="inlineStr">
        <is>
          <t>Commercial service robotic products and AI vision model solutions</t>
        </is>
      </c>
      <c r="AV24" s="51" t="inlineStr">
        <is>
          <t>Chapter 18C of the Listing Rules (Specialist Technology Company - Commercial Company)</t>
        </is>
      </c>
      <c r="AW24" s="136" t="n">
        <v>46112</v>
      </c>
      <c r="AX24" s="137" t="n">
        <v>-25481000</v>
      </c>
      <c r="AY24" s="117" t="n">
        <v>64402000</v>
      </c>
      <c r="AZ24" s="117" t="n">
        <v>20912000</v>
      </c>
      <c r="BA24" s="117" t="n">
        <v>0</v>
      </c>
      <c r="BB24" s="138" t="n">
        <v>0.832</v>
      </c>
      <c r="BC24" s="139" t="n">
        <v>1</v>
      </c>
      <c r="BD24" s="80" t="n">
        <v>1</v>
      </c>
      <c r="BE24" s="161" t="n">
        <v>1</v>
      </c>
      <c r="BF24" s="161" t="n">
        <v>1</v>
      </c>
      <c r="BG24" s="161" t="n">
        <v>1</v>
      </c>
      <c r="BH24" s="161" t="n">
        <v>1</v>
      </c>
      <c r="BI24" s="161" t="n">
        <v>1</v>
      </c>
      <c r="BJ24" s="162" t="inlineStr">
        <is>
          <t>Legend Chengye; Rajax; Hainan Yunfeng; Jiujiang Youdi; Xunfei Yunchuang; BTG Hotels Group; Huazhu Investment; New Hengji Investment; Zhongbang Hongxiang; Wuxi Shangwei</t>
        </is>
      </c>
      <c r="BK24" s="163" t="n">
        <v>0.6516</v>
      </c>
      <c r="BL24" s="161" t="n">
        <v>1</v>
      </c>
      <c r="BM24" s="164" t="inlineStr">
        <is>
          <t>Series A</t>
        </is>
      </c>
      <c r="BN24" s="165" t="n">
        <v>9.99</v>
      </c>
      <c r="BO24" s="51" t="inlineStr">
        <is>
          <t>Individual (Mr. LU Ying and Single Largest Group of Shareholders)</t>
        </is>
      </c>
      <c r="BP24" s="135" t="n">
        <v>0.2979</v>
      </c>
      <c r="BQ24" s="135" t="n">
        <v>0.2979</v>
      </c>
      <c r="BR24" s="137" t="n">
        <v>211710000</v>
      </c>
      <c r="BS24" s="51" t="inlineStr">
        <is>
          <t>Commercial Company (Chapter 18C Commercial Company - commercialised stage)</t>
        </is>
      </c>
      <c r="BT24" s="142" t="n">
        <v>0.045</v>
      </c>
      <c r="BU24" s="60" t="inlineStr">
        <is>
          <t>Main Board</t>
        </is>
      </c>
      <c r="BV24" s="89" t="inlineStr">
        <is>
          <t>H Shares</t>
        </is>
      </c>
      <c r="BW24" s="61" t="n">
        <v>0</v>
      </c>
      <c r="BX24" s="77" t="n">
        <v>0</v>
      </c>
      <c r="BY24" s="77" t="n">
        <v>0</v>
      </c>
      <c r="BZ24" s="78" t="n">
        <v>1</v>
      </c>
      <c r="CA24" s="60" t="inlineStr">
        <is>
          <t>701030</t>
        </is>
      </c>
      <c r="CB24" s="76" t="inlineStr">
        <is>
          <t>HSICS (Hang Seng Industry Classification System) 2026</t>
        </is>
      </c>
      <c r="CC24" s="140" t="n">
        <v>41346</v>
      </c>
      <c r="CD24" s="171" t="n">
        <v>13.49</v>
      </c>
      <c r="CE24" s="76" t="inlineStr">
        <is>
          <t>PRC</t>
        </is>
      </c>
      <c r="CF24" s="89" t="inlineStr">
        <is>
          <t>Shenzhen, Guangdong Province, PRC</t>
        </is>
      </c>
      <c r="CG24" s="91" t="n"/>
      <c r="CH24" s="60" t="inlineStr">
        <is>
          <t>IFRS</t>
        </is>
      </c>
      <c r="CI24" s="141" t="n">
        <v>45017</v>
      </c>
      <c r="CJ24" s="141" t="n">
        <v>45382</v>
      </c>
      <c r="CK24" s="141" t="n">
        <v>45383</v>
      </c>
      <c r="CL24" s="141" t="n">
        <v>45747</v>
      </c>
      <c r="CM24" s="141" t="n">
        <v>45748</v>
      </c>
      <c r="CN24" s="64" t="n">
        <v>306052000</v>
      </c>
      <c r="CO24" s="64" t="n">
        <v>-124932000</v>
      </c>
      <c r="CP24" s="64" t="n">
        <v>-124864000</v>
      </c>
      <c r="CQ24" s="141" t="n">
        <v>46265</v>
      </c>
      <c r="CR24" s="141" t="n">
        <v>46269</v>
      </c>
      <c r="CS24" s="63" t="n">
        <v>282232625</v>
      </c>
      <c r="CT24" s="64" t="n">
        <v>8597000</v>
      </c>
      <c r="CU24" s="64" t="n">
        <v>3000000</v>
      </c>
      <c r="CV24" s="59" t="inlineStr">
        <is>
          <t>Unqualified / True and fair view</t>
        </is>
      </c>
      <c r="CW24" s="64" t="n">
        <v>79300000</v>
      </c>
      <c r="CX24" s="51" t="inlineStr">
        <is>
          <t>SensePower Management Limited; CYGG Holding Limited</t>
        </is>
      </c>
      <c r="CY24" s="142" t="n">
        <v>0.0363</v>
      </c>
      <c r="CZ24" s="136" t="n">
        <v>46455</v>
      </c>
      <c r="DA24" s="143" t="n">
        <v>140.02</v>
      </c>
      <c r="DB24" s="63" t="n">
        <v>27933</v>
      </c>
      <c r="DC24" s="63" t="n">
        <v>315045600</v>
      </c>
      <c r="DD24" s="59" t="inlineStr">
        <is>
          <t>Subscription level 140.02 times</t>
        </is>
      </c>
      <c r="DE24" s="141" t="inlineStr">
        <is>
          <t>NA</t>
        </is>
      </c>
      <c r="DF24" s="141" t="n">
        <v>46273</v>
      </c>
      <c r="DG24" s="63" t="n">
        <v>45000000</v>
      </c>
      <c r="DH24" s="63" t="n">
        <v>2781800</v>
      </c>
      <c r="DI24" s="63" t="n">
        <v>42218200</v>
      </c>
      <c r="DJ24" s="63" t="inlineStr">
        <is>
          <t>NaN</t>
        </is>
      </c>
      <c r="DK24" s="169" t="n">
        <v>0</v>
      </c>
      <c r="DL24" s="59" t="inlineStr">
        <is>
          <t>Claw-back triggered: No. No. of Offer Shares reallocated from the International Offering: 531,800</t>
        </is>
      </c>
      <c r="DM24" s="144" t="n">
        <v>576600000</v>
      </c>
      <c r="DN24" s="142" t="n">
        <v>0.6778</v>
      </c>
      <c r="DO24" s="51" t="n">
        <v>416368421</v>
      </c>
      <c r="DP24" s="142" t="n">
        <v>0.1042</v>
      </c>
      <c r="DQ24" s="59" t="inlineStr">
        <is>
          <t>excluding Offer Shares allocated to Cornerstone Investors (9-month lock-up) and H Shares converted from Unlisted Shares (12-month lock-up); denominator = total issued Shares upon Listing = col_CZ</t>
        </is>
      </c>
      <c r="DR24" s="63" t="n">
        <v>416368421</v>
      </c>
      <c r="DS24" s="142" t="n">
        <v>-0.01157611</v>
      </c>
      <c r="DT24" s="80" t="n">
        <v>42</v>
      </c>
      <c r="DU24" s="142" t="n">
        <v>0.0285</v>
      </c>
      <c r="DV24" s="144" t="n">
        <v>54190000000</v>
      </c>
      <c r="DW24" s="145" t="n">
        <v>36.68</v>
      </c>
      <c r="DX24" s="169" t="n">
        <v>1.538408</v>
      </c>
      <c r="DY24" s="172" t="n">
        <v>1000350000</v>
      </c>
      <c r="DZ24" s="146" t="n">
        <v>35</v>
      </c>
      <c r="EA24" s="146" t="n">
        <v>39.96</v>
      </c>
      <c r="EB24" s="146" t="n">
        <v>30.84</v>
      </c>
      <c r="EC24" s="63" t="n">
        <v>7167201</v>
      </c>
      <c r="ED24" s="169" t="n">
        <v>0.159271</v>
      </c>
      <c r="EE24" s="64" t="n">
        <v>227391000</v>
      </c>
      <c r="EF24" s="60" t="inlineStr">
        <is>
          <t>Mechanism A</t>
        </is>
      </c>
      <c r="EG24" s="59" t="inlineStr">
        <is>
          <t>FINI (from 22/11/2023); 2025-08-04 pricing reform (Mechanism A/B; six-month cornerstone lock-up retained); this IPO: Mechanism A</t>
        </is>
      </c>
      <c r="EH24" t="inlineStr">
        <is>
          <t>優地機器人（無錫）股份有限公司</t>
        </is>
      </c>
      <c r="EI24" s="174" t="inlineStr">
        <is>
          <t>Active</t>
        </is>
      </c>
      <c r="EJ24" s="175" t="n"/>
      <c r="EK24" s="176" t="n"/>
      <c r="EL24" s="176" t="n"/>
      <c r="EM24" s="176" t="n"/>
      <c r="EN24" s="176" t="n"/>
      <c r="EO24" s="179" t="n"/>
      <c r="EP24" s="179" t="n"/>
      <c r="EQ24" s="178" t="n"/>
      <c r="ER24" s="175" t="n"/>
      <c r="ES24" s="176" t="n"/>
      <c r="ET24" s="176" t="n"/>
      <c r="EU24" s="176" t="n"/>
      <c r="EV24" s="176" t="n"/>
      <c r="EW24" s="179" t="n"/>
      <c r="EX24" s="179" t="n"/>
      <c r="EY24" s="178" t="n"/>
      <c r="EZ24" s="176" t="n"/>
      <c r="FA24" s="176" t="n"/>
      <c r="FB24" s="179" t="n"/>
      <c r="FC24" s="176" t="n"/>
      <c r="FD24" s="179" t="n"/>
      <c r="FE24" s="174" t="inlineStr">
        <is>
          <t>18C (Specialist Tech)</t>
        </is>
      </c>
      <c r="FF24" s="181" t="inlineStr">
        <is>
          <t>China International Capital Corporation / Sponsor-OC</t>
        </is>
      </c>
      <c r="FG24" s="185" t="inlineStr">
        <is>
          <t>2026-10-09</t>
        </is>
      </c>
      <c r="FH24" s="183" t="n">
        <v>0</v>
      </c>
      <c r="FI24" s="178" t="n">
        <v>0</v>
      </c>
      <c r="FJ24" s="176" t="n">
        <v>0.15</v>
      </c>
      <c r="FK24" s="185" t="inlineStr">
        <is>
          <t>2026-10-09</t>
        </is>
      </c>
      <c r="FL24" s="178" t="n">
        <v>0</v>
      </c>
      <c r="FM24" s="176" t="n">
        <v>0</v>
      </c>
      <c r="FN24" s="176" t="n"/>
      <c r="FO24" s="176" t="n"/>
      <c r="FP24" s="176" t="n"/>
      <c r="FQ24" s="176" t="n">
        <v>0.046892</v>
      </c>
      <c r="FR24" s="179" t="n">
        <v>1.0727</v>
      </c>
      <c r="FS24" s="176" t="n"/>
      <c r="FT24" s="179" t="n"/>
      <c r="FU24" s="176" t="n"/>
      <c r="FV24" s="179" t="n"/>
      <c r="FW24" s="179" t="n"/>
      <c r="FX24" s="178" t="n"/>
      <c r="FY24" s="186" t="n">
        <v>0.004164153846153846</v>
      </c>
      <c r="FZ24" s="183" t="n">
        <v>0</v>
      </c>
      <c r="GA24" s="176" t="n">
        <v>0.4337536693363453</v>
      </c>
      <c r="GB24" s="176" t="n">
        <v>0.227917</v>
      </c>
      <c r="GC24" s="185" t="inlineStr">
        <is>
          <t>2027-03-09</t>
        </is>
      </c>
      <c r="GD24" s="185" t="inlineStr">
        <is>
          <t>2027-09-09</t>
        </is>
      </c>
      <c r="GE24" s="176" t="n"/>
      <c r="GF24" s="176" t="n"/>
      <c r="GG24" s="179" t="n"/>
      <c r="GH24" s="181" t="inlineStr">
        <is>
          <t>CICC</t>
        </is>
      </c>
      <c r="GI24" s="183" t="n">
        <v>2</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POST_2025_REFORM</t>
        </is>
      </c>
    </row>
    <row r="25" ht="51" customFormat="1" customHeight="1" s="11">
      <c r="A25" s="43" t="n"/>
      <c r="B25" s="47" t="n"/>
      <c r="C25" s="44" t="n"/>
      <c r="D25" s="130" t="n"/>
      <c r="E25" s="48" t="n"/>
      <c r="F25" s="43" t="n"/>
      <c r="G25" s="43" t="n"/>
      <c r="H25" s="43" t="n"/>
      <c r="I25" s="131" t="n"/>
      <c r="J25" s="148" t="n"/>
      <c r="K25" s="133" t="n"/>
      <c r="M25" s="67" t="n"/>
      <c r="R25" s="67" t="n"/>
      <c r="S25" s="67" t="n"/>
      <c r="T25" s="147" t="n"/>
      <c r="U25" s="147" t="n"/>
      <c r="V25" s="169" t="n"/>
      <c r="W25" s="169" t="n"/>
      <c r="X25" s="170" t="n"/>
      <c r="Y25" s="26" t="n"/>
      <c r="Z25" s="137" t="n"/>
      <c r="AA25" s="137" t="n"/>
      <c r="AB25" s="137" t="n"/>
      <c r="AC25" s="137" t="n"/>
      <c r="AD25" s="137" t="n"/>
      <c r="AE25" s="137" t="n"/>
      <c r="AF25" s="137" t="n"/>
      <c r="AG25" s="137" t="n"/>
      <c r="AH25" s="137" t="n"/>
      <c r="AI25" s="137" t="n"/>
      <c r="AJ25" s="137" t="n"/>
      <c r="AK25" s="137" t="n"/>
      <c r="AL25" s="137" t="n"/>
      <c r="AM25" s="137" t="n"/>
      <c r="AN25" s="137" t="n"/>
      <c r="AO25" s="137" t="n"/>
      <c r="AP25" s="137" t="n"/>
      <c r="AQ25" s="137" t="n"/>
      <c r="AR25" s="142" t="n"/>
      <c r="AS25" s="142" t="n"/>
      <c r="AT25" s="84" t="n"/>
      <c r="AU25" s="51" t="n"/>
      <c r="AV25" s="51" t="n"/>
      <c r="AW25" s="136" t="n"/>
      <c r="AX25" s="137" t="n"/>
      <c r="AY25" s="117" t="n"/>
      <c r="AZ25" s="117" t="n"/>
      <c r="BA25" s="117" t="n"/>
      <c r="BB25" s="138" t="n"/>
      <c r="BC25" s="139" t="n"/>
      <c r="BD25" s="80" t="n"/>
      <c r="BE25" s="161" t="n"/>
      <c r="BF25" s="161" t="n"/>
      <c r="BG25" s="161" t="n"/>
      <c r="BH25" s="161" t="n"/>
      <c r="BI25" s="161" t="n"/>
      <c r="BJ25" s="162" t="n"/>
      <c r="BK25" s="163" t="n"/>
      <c r="BL25" s="161" t="n"/>
      <c r="BM25" s="164" t="n"/>
      <c r="BN25" s="165" t="n"/>
      <c r="BO25" s="51" t="n"/>
      <c r="BP25" s="135" t="n"/>
      <c r="BQ25" s="135" t="n"/>
      <c r="BR25" s="137" t="n"/>
      <c r="BS25" s="51" t="n"/>
      <c r="BT25" s="142" t="n"/>
      <c r="BU25" s="60" t="n"/>
      <c r="BV25" s="89" t="n"/>
      <c r="BW25" s="61" t="n"/>
      <c r="BX25" s="77" t="n"/>
      <c r="BY25" s="77" t="n"/>
      <c r="BZ25" s="78" t="n"/>
      <c r="CA25" s="60" t="n"/>
      <c r="CB25" s="76" t="n"/>
      <c r="CC25" s="140" t="n"/>
      <c r="CD25" s="171" t="n"/>
      <c r="CE25" s="76" t="n"/>
      <c r="CF25" s="89" t="n"/>
      <c r="CG25" s="91" t="n"/>
      <c r="CH25" s="60" t="n"/>
      <c r="CI25" s="141" t="n"/>
      <c r="CJ25" s="141" t="n"/>
      <c r="CK25" s="141" t="n"/>
      <c r="CL25" s="141" t="n"/>
      <c r="CM25" s="141" t="n"/>
      <c r="CN25" s="64" t="n"/>
      <c r="CO25" s="64" t="n"/>
      <c r="CP25" s="64" t="n"/>
      <c r="CQ25" s="141" t="n"/>
      <c r="CR25" s="141" t="n"/>
      <c r="CS25" s="63" t="n"/>
      <c r="CT25" s="64" t="n"/>
      <c r="CU25" s="64" t="n"/>
      <c r="CV25" s="59" t="n"/>
      <c r="CW25" s="64" t="n"/>
      <c r="CX25" s="51" t="n"/>
      <c r="CY25" s="142" t="n"/>
      <c r="CZ25" s="136" t="n"/>
      <c r="DA25" s="143" t="n"/>
      <c r="DB25" s="63" t="n"/>
      <c r="DC25" s="63" t="n"/>
      <c r="DD25" s="59" t="n"/>
      <c r="DE25" s="141" t="n"/>
      <c r="DF25" s="141" t="n"/>
      <c r="DG25" s="63" t="n"/>
      <c r="DH25" s="63" t="n"/>
      <c r="DI25" s="63" t="n"/>
      <c r="DJ25" s="63" t="n"/>
      <c r="DK25" s="169" t="n"/>
      <c r="DL25" s="59" t="n"/>
      <c r="DM25" s="144" t="n"/>
      <c r="DN25" s="142" t="n"/>
      <c r="DO25" s="51" t="n"/>
      <c r="DP25" s="142" t="n"/>
      <c r="DQ25" s="59" t="n"/>
      <c r="DR25" s="63" t="n"/>
      <c r="DS25" s="142" t="n"/>
      <c r="DT25" s="80" t="n"/>
      <c r="DU25" s="142" t="n"/>
      <c r="DV25" s="144" t="n"/>
      <c r="DW25" s="145" t="n"/>
      <c r="DX25" s="169" t="n"/>
      <c r="DY25" s="172" t="n"/>
      <c r="DZ25" s="146" t="n"/>
      <c r="EA25" s="146" t="n"/>
      <c r="EB25" s="146" t="n"/>
      <c r="EC25" s="63" t="n"/>
      <c r="ED25" s="169" t="n"/>
      <c r="EE25" s="64" t="n"/>
      <c r="EF25" s="60" t="n"/>
      <c r="EG25" s="59" t="n"/>
      <c r="EI25" s="174" t="n"/>
      <c r="EJ25" s="175" t="n"/>
      <c r="EK25" s="176" t="n"/>
      <c r="EL25" s="176" t="n"/>
      <c r="EM25" s="176" t="n"/>
      <c r="EN25" s="176" t="n"/>
      <c r="EO25" s="179" t="n"/>
      <c r="EP25" s="179" t="n"/>
      <c r="EQ25" s="178" t="n"/>
      <c r="ER25" s="175" t="n"/>
      <c r="ES25" s="176" t="n"/>
      <c r="ET25" s="176" t="n"/>
      <c r="EU25" s="176" t="n"/>
      <c r="EV25" s="176" t="n"/>
      <c r="EW25" s="179" t="n"/>
      <c r="EX25" s="179" t="n"/>
      <c r="EY25" s="178" t="n"/>
      <c r="EZ25" s="176" t="n"/>
      <c r="FA25" s="176" t="n"/>
      <c r="FB25" s="179" t="n"/>
      <c r="FC25" s="176" t="n"/>
      <c r="FD25" s="179" t="n"/>
      <c r="FE25" s="174" t="n"/>
      <c r="FF25" s="181" t="n"/>
      <c r="FG25" s="185" t="n"/>
      <c r="FH25" s="183" t="n"/>
      <c r="FI25" s="178" t="n"/>
      <c r="FJ25" s="176" t="n"/>
      <c r="FK25" s="185" t="n"/>
      <c r="FL25" s="178" t="n"/>
      <c r="FM25" s="176" t="n"/>
      <c r="FN25" s="176" t="n"/>
      <c r="FO25" s="176" t="n"/>
      <c r="FP25" s="176" t="n"/>
      <c r="FQ25" s="176" t="n"/>
      <c r="FR25" s="179" t="n"/>
      <c r="FS25" s="176" t="n"/>
      <c r="FT25" s="179" t="n"/>
      <c r="FU25" s="176" t="n"/>
      <c r="FV25" s="179" t="n"/>
      <c r="FW25" s="179" t="n"/>
      <c r="FX25" s="178" t="n"/>
      <c r="FY25" s="186" t="n"/>
      <c r="FZ25" s="183" t="n"/>
      <c r="GA25" s="176" t="n"/>
      <c r="GB25" s="176" t="n"/>
      <c r="GC25" s="185" t="n"/>
      <c r="GD25" s="185" t="n"/>
      <c r="GE25" s="176" t="n"/>
      <c r="GF25" s="176" t="n"/>
      <c r="GG25" s="179" t="n"/>
      <c r="GH25" s="181" t="n"/>
      <c r="GI25" s="183" t="n"/>
      <c r="GJ25" s="183" t="n"/>
      <c r="GK25" s="176" t="n"/>
      <c r="GL25" s="176" t="n"/>
      <c r="GM25" s="176" t="n"/>
      <c r="GN25" s="183" t="n"/>
      <c r="GO25" s="183" t="n"/>
      <c r="GP25" s="183" t="n"/>
      <c r="GQ25" s="183" t="n"/>
      <c r="GR25" s="183" t="n"/>
      <c r="GS25" s="181" t="n"/>
      <c r="GT25" s="181" t="n"/>
    </row>
    <row r="26" ht="34" customFormat="1" customHeight="1" s="11">
      <c r="A26" s="43" t="n"/>
      <c r="B26" s="47" t="n"/>
      <c r="C26" s="44" t="n"/>
      <c r="D26" s="130" t="n"/>
      <c r="E26" s="48" t="n"/>
      <c r="F26" s="43" t="n"/>
      <c r="G26" s="43" t="n"/>
      <c r="H26" s="43" t="n"/>
      <c r="I26" s="131" t="n"/>
      <c r="J26" s="148" t="n"/>
      <c r="K26" s="133" t="n"/>
      <c r="M26" s="67" t="n"/>
      <c r="R26" s="67" t="n"/>
      <c r="S26" s="67" t="n"/>
      <c r="T26" s="147" t="n"/>
      <c r="U26" s="147" t="n"/>
      <c r="V26" s="169" t="n"/>
      <c r="W26" s="169" t="n"/>
      <c r="X26" s="170" t="n"/>
      <c r="Y26" s="26" t="n"/>
      <c r="Z26" s="137" t="n"/>
      <c r="AA26" s="137" t="n"/>
      <c r="AB26" s="137" t="n"/>
      <c r="AC26" s="137" t="n"/>
      <c r="AD26" s="137" t="n"/>
      <c r="AE26" s="137" t="n"/>
      <c r="AF26" s="137" t="n"/>
      <c r="AG26" s="137" t="n"/>
      <c r="AH26" s="137" t="n"/>
      <c r="AI26" s="137" t="n"/>
      <c r="AJ26" s="137" t="n"/>
      <c r="AK26" s="137" t="n"/>
      <c r="AL26" s="137" t="n"/>
      <c r="AM26" s="137" t="n"/>
      <c r="AN26" s="137" t="n"/>
      <c r="AO26" s="137" t="n"/>
      <c r="AP26" s="137" t="n"/>
      <c r="AQ26" s="137" t="n"/>
      <c r="AR26" s="142" t="n"/>
      <c r="AS26" s="142" t="n"/>
      <c r="AT26" s="84" t="n"/>
      <c r="AU26" s="51" t="n"/>
      <c r="AV26" s="51" t="n"/>
      <c r="AW26" s="136" t="n"/>
      <c r="AX26" s="137" t="n"/>
      <c r="AY26" s="117" t="n"/>
      <c r="AZ26" s="117" t="n"/>
      <c r="BA26" s="117" t="n"/>
      <c r="BB26" s="138" t="n"/>
      <c r="BC26" s="139" t="n"/>
      <c r="BD26" s="80" t="n"/>
      <c r="BE26" s="161" t="n"/>
      <c r="BF26" s="161" t="n"/>
      <c r="BG26" s="161" t="n"/>
      <c r="BH26" s="161" t="n"/>
      <c r="BI26" s="161" t="n"/>
      <c r="BJ26" s="162" t="n"/>
      <c r="BK26" s="163" t="n"/>
      <c r="BL26" s="161" t="n"/>
      <c r="BM26" s="164" t="n"/>
      <c r="BN26" s="165" t="n"/>
      <c r="BO26" s="51" t="n"/>
      <c r="BP26" s="135" t="n"/>
      <c r="BQ26" s="135" t="n"/>
      <c r="BR26" s="137" t="n"/>
      <c r="BS26" s="51" t="n"/>
      <c r="BT26" s="142" t="n"/>
      <c r="BU26" s="60" t="n"/>
      <c r="BV26" s="89" t="n"/>
      <c r="BW26" s="61" t="n"/>
      <c r="BX26" s="77" t="n"/>
      <c r="BY26" s="77" t="n"/>
      <c r="BZ26" s="78" t="n"/>
      <c r="CA26" s="60" t="n"/>
      <c r="CB26" s="76" t="n"/>
      <c r="CC26" s="140" t="n"/>
      <c r="CD26" s="171" t="n"/>
      <c r="CE26" s="76" t="n"/>
      <c r="CF26" s="89" t="n"/>
      <c r="CG26" s="91" t="n"/>
      <c r="CH26" s="60" t="n"/>
      <c r="CI26" s="141" t="n"/>
      <c r="CJ26" s="141" t="n"/>
      <c r="CK26" s="141" t="n"/>
      <c r="CL26" s="141" t="n"/>
      <c r="CM26" s="141" t="n"/>
      <c r="CN26" s="64" t="n"/>
      <c r="CO26" s="64" t="n"/>
      <c r="CP26" s="64" t="n"/>
      <c r="CQ26" s="141" t="n"/>
      <c r="CR26" s="141" t="n"/>
      <c r="CS26" s="63" t="n"/>
      <c r="CT26" s="64" t="n"/>
      <c r="CU26" s="64" t="n"/>
      <c r="CV26" s="59" t="n"/>
      <c r="CW26" s="64" t="n"/>
      <c r="CX26" s="51" t="n"/>
      <c r="CY26" s="142" t="n"/>
      <c r="CZ26" s="136" t="n"/>
      <c r="DA26" s="143" t="n"/>
      <c r="DB26" s="63" t="n"/>
      <c r="DC26" s="63" t="n"/>
      <c r="DD26" s="59" t="n"/>
      <c r="DE26" s="141" t="n"/>
      <c r="DF26" s="141" t="n"/>
      <c r="DG26" s="63" t="n"/>
      <c r="DH26" s="63" t="n"/>
      <c r="DI26" s="63" t="n"/>
      <c r="DJ26" s="63" t="n"/>
      <c r="DK26" s="169" t="n"/>
      <c r="DL26" s="59" t="n"/>
      <c r="DM26" s="144" t="n"/>
      <c r="DN26" s="142" t="n"/>
      <c r="DO26" s="51" t="n"/>
      <c r="DP26" s="142" t="n"/>
      <c r="DQ26" s="59" t="n"/>
      <c r="DR26" s="63" t="n"/>
      <c r="DS26" s="142" t="n"/>
      <c r="DT26" s="80" t="n"/>
      <c r="DU26" s="142" t="n"/>
      <c r="DV26" s="144" t="n"/>
      <c r="DW26" s="145" t="n"/>
      <c r="DX26" s="169" t="n"/>
      <c r="DY26" s="172" t="n"/>
      <c r="DZ26" s="146" t="n"/>
      <c r="EA26" s="146" t="n"/>
      <c r="EB26" s="146" t="n"/>
      <c r="EC26" s="63" t="n"/>
      <c r="ED26" s="169" t="n"/>
      <c r="EE26" s="64" t="n"/>
      <c r="EF26" s="60" t="n"/>
      <c r="EG26" s="59" t="n"/>
      <c r="EI26" s="174" t="n"/>
      <c r="EJ26" s="175" t="n"/>
      <c r="EK26" s="176" t="n"/>
      <c r="EL26" s="176" t="n"/>
      <c r="EM26" s="176" t="n"/>
      <c r="EN26" s="176" t="n"/>
      <c r="EO26" s="179" t="n"/>
      <c r="EP26" s="179" t="n"/>
      <c r="EQ26" s="178" t="n"/>
      <c r="ER26" s="175" t="n"/>
      <c r="ES26" s="176" t="n"/>
      <c r="ET26" s="176" t="n"/>
      <c r="EU26" s="176" t="n"/>
      <c r="EV26" s="176" t="n"/>
      <c r="EW26" s="179" t="n"/>
      <c r="EX26" s="179" t="n"/>
      <c r="EY26" s="178" t="n"/>
      <c r="EZ26" s="176" t="n"/>
      <c r="FA26" s="176" t="n"/>
      <c r="FB26" s="179" t="n"/>
      <c r="FC26" s="176" t="n"/>
      <c r="FD26" s="179" t="n"/>
      <c r="FE26" s="174" t="n"/>
      <c r="FF26" s="181" t="n"/>
      <c r="FG26" s="185" t="n"/>
      <c r="FH26" s="183" t="n"/>
      <c r="FI26" s="178" t="n"/>
      <c r="FJ26" s="176" t="n"/>
      <c r="FK26" s="185" t="n"/>
      <c r="FL26" s="178" t="n"/>
      <c r="FM26" s="176" t="n"/>
      <c r="FN26" s="176" t="n"/>
      <c r="FO26" s="176" t="n"/>
      <c r="FP26" s="176" t="n"/>
      <c r="FQ26" s="176" t="n"/>
      <c r="FR26" s="179" t="n"/>
      <c r="FS26" s="176" t="n"/>
      <c r="FT26" s="179" t="n"/>
      <c r="FU26" s="176" t="n"/>
      <c r="FV26" s="179" t="n"/>
      <c r="FW26" s="179" t="n"/>
      <c r="FX26" s="178" t="n"/>
      <c r="FY26" s="186" t="n"/>
      <c r="FZ26" s="183" t="n"/>
      <c r="GA26" s="176" t="n"/>
      <c r="GB26" s="176" t="n"/>
      <c r="GC26" s="185" t="n"/>
      <c r="GD26" s="185" t="n"/>
      <c r="GE26" s="176" t="n"/>
      <c r="GF26" s="176" t="n"/>
      <c r="GG26" s="179" t="n"/>
      <c r="GH26" s="181" t="n"/>
      <c r="GI26" s="183" t="n"/>
      <c r="GJ26" s="183" t="n"/>
      <c r="GK26" s="176" t="n"/>
      <c r="GL26" s="176" t="n"/>
      <c r="GM26" s="176" t="n"/>
      <c r="GN26" s="183" t="n"/>
      <c r="GO26" s="183" t="n"/>
      <c r="GP26" s="183" t="n"/>
      <c r="GQ26" s="183" t="n"/>
      <c r="GR26" s="183" t="n"/>
      <c r="GS26" s="181" t="n"/>
      <c r="GT26" s="181" t="n"/>
    </row>
    <row r="27" ht="51" customFormat="1" customHeight="1" s="11">
      <c r="A27" s="43" t="n"/>
      <c r="B27" s="47" t="n"/>
      <c r="C27" s="44" t="n"/>
      <c r="D27" s="130" t="n"/>
      <c r="E27" s="48" t="n"/>
      <c r="F27" s="43" t="n"/>
      <c r="G27" s="43" t="n"/>
      <c r="H27" s="43" t="n"/>
      <c r="I27" s="131" t="n"/>
      <c r="J27" s="148" t="n"/>
      <c r="K27" s="133" t="n"/>
      <c r="M27" s="67" t="n"/>
      <c r="R27" s="67" t="n"/>
      <c r="S27" s="67" t="n"/>
      <c r="T27" s="147" t="n"/>
      <c r="U27" s="147" t="n"/>
      <c r="V27" s="169" t="n"/>
      <c r="W27" s="169" t="n"/>
      <c r="X27" s="170" t="n"/>
      <c r="Y27" s="26" t="n"/>
      <c r="Z27" s="137" t="n"/>
      <c r="AA27" s="137" t="n"/>
      <c r="AB27" s="137" t="n"/>
      <c r="AC27" s="137" t="n"/>
      <c r="AD27" s="137" t="n"/>
      <c r="AE27" s="137" t="n"/>
      <c r="AF27" s="137" t="n"/>
      <c r="AG27" s="137" t="n"/>
      <c r="AH27" s="137" t="n"/>
      <c r="AI27" s="137" t="n"/>
      <c r="AJ27" s="137" t="n"/>
      <c r="AK27" s="137" t="n"/>
      <c r="AL27" s="137" t="n"/>
      <c r="AM27" s="137" t="n"/>
      <c r="AN27" s="137" t="n"/>
      <c r="AO27" s="137" t="n"/>
      <c r="AP27" s="137" t="n"/>
      <c r="AQ27" s="137" t="n"/>
      <c r="AR27" s="142" t="n"/>
      <c r="AS27" s="142" t="n"/>
      <c r="AT27" s="84" t="n"/>
      <c r="AU27" s="51" t="n"/>
      <c r="AV27" s="51" t="n"/>
      <c r="AW27" s="136" t="n"/>
      <c r="AX27" s="137" t="n"/>
      <c r="AY27" s="117" t="n"/>
      <c r="AZ27" s="117" t="n"/>
      <c r="BA27" s="117" t="n"/>
      <c r="BB27" s="138" t="n"/>
      <c r="BC27" s="139" t="n"/>
      <c r="BD27" s="80" t="n"/>
      <c r="BE27" s="161" t="n"/>
      <c r="BF27" s="161" t="n"/>
      <c r="BG27" s="161" t="n"/>
      <c r="BH27" s="161" t="n"/>
      <c r="BI27" s="161" t="n"/>
      <c r="BJ27" s="162" t="n"/>
      <c r="BK27" s="163" t="n"/>
      <c r="BL27" s="161" t="n"/>
      <c r="BM27" s="164" t="n"/>
      <c r="BN27" s="165" t="n"/>
      <c r="BO27" s="51" t="n"/>
      <c r="BP27" s="135" t="n"/>
      <c r="BQ27" s="135" t="n"/>
      <c r="BR27" s="137" t="n"/>
      <c r="BS27" s="51" t="n"/>
      <c r="BT27" s="142" t="n"/>
      <c r="BU27" s="60" t="n"/>
      <c r="BV27" s="89" t="n"/>
      <c r="BW27" s="61" t="n"/>
      <c r="BX27" s="77" t="n"/>
      <c r="BY27" s="77" t="n"/>
      <c r="BZ27" s="78" t="n"/>
      <c r="CA27" s="60" t="n"/>
      <c r="CB27" s="76" t="n"/>
      <c r="CC27" s="140" t="n"/>
      <c r="CD27" s="171" t="n"/>
      <c r="CE27" s="76" t="n"/>
      <c r="CF27" s="89" t="n"/>
      <c r="CG27" s="91" t="n"/>
      <c r="CH27" s="60" t="n"/>
      <c r="CI27" s="141" t="n"/>
      <c r="CJ27" s="141" t="n"/>
      <c r="CK27" s="141" t="n"/>
      <c r="CL27" s="141" t="n"/>
      <c r="CM27" s="141" t="n"/>
      <c r="CN27" s="64" t="n"/>
      <c r="CO27" s="64" t="n"/>
      <c r="CP27" s="64" t="n"/>
      <c r="CQ27" s="141" t="n"/>
      <c r="CR27" s="141" t="n"/>
      <c r="CS27" s="63" t="n"/>
      <c r="CT27" s="64" t="n"/>
      <c r="CU27" s="64" t="n"/>
      <c r="CV27" s="59" t="n"/>
      <c r="CW27" s="64" t="n"/>
      <c r="CX27" s="51" t="n"/>
      <c r="CY27" s="142" t="n"/>
      <c r="CZ27" s="136" t="n"/>
      <c r="DA27" s="143" t="n"/>
      <c r="DB27" s="63" t="n"/>
      <c r="DC27" s="63" t="n"/>
      <c r="DD27" s="59" t="n"/>
      <c r="DE27" s="141" t="n"/>
      <c r="DF27" s="141" t="n"/>
      <c r="DG27" s="63" t="n"/>
      <c r="DH27" s="63" t="n"/>
      <c r="DI27" s="63" t="n"/>
      <c r="DJ27" s="63" t="n"/>
      <c r="DK27" s="169" t="n"/>
      <c r="DL27" s="59" t="n"/>
      <c r="DM27" s="144" t="n"/>
      <c r="DN27" s="142" t="n"/>
      <c r="DO27" s="51" t="n"/>
      <c r="DP27" s="142" t="n"/>
      <c r="DQ27" s="59" t="n"/>
      <c r="DR27" s="63" t="n"/>
      <c r="DS27" s="142" t="n"/>
      <c r="DT27" s="80" t="n"/>
      <c r="DU27" s="142" t="n"/>
      <c r="DV27" s="144" t="n"/>
      <c r="DW27" s="145" t="n"/>
      <c r="DX27" s="169" t="n"/>
      <c r="DY27" s="172" t="n"/>
      <c r="DZ27" s="146" t="n"/>
      <c r="EA27" s="146" t="n"/>
      <c r="EB27" s="146" t="n"/>
      <c r="EC27" s="63" t="n"/>
      <c r="ED27" s="169" t="n"/>
      <c r="EE27" s="64" t="n"/>
      <c r="EF27" s="60" t="n"/>
      <c r="EG27" s="59" t="n"/>
      <c r="EI27" s="174" t="n"/>
      <c r="EJ27" s="175" t="n"/>
      <c r="EK27" s="176" t="n"/>
      <c r="EL27" s="176" t="n"/>
      <c r="EM27" s="176" t="n"/>
      <c r="EN27" s="176" t="n"/>
      <c r="EO27" s="179" t="n"/>
      <c r="EP27" s="179" t="n"/>
      <c r="EQ27" s="178" t="n"/>
      <c r="ER27" s="175" t="n"/>
      <c r="ES27" s="176" t="n"/>
      <c r="ET27" s="176" t="n"/>
      <c r="EU27" s="176" t="n"/>
      <c r="EV27" s="176" t="n"/>
      <c r="EW27" s="179" t="n"/>
      <c r="EX27" s="179" t="n"/>
      <c r="EY27" s="178" t="n"/>
      <c r="EZ27" s="176" t="n"/>
      <c r="FA27" s="176" t="n"/>
      <c r="FB27" s="179" t="n"/>
      <c r="FC27" s="176" t="n"/>
      <c r="FD27" s="179" t="n"/>
      <c r="FE27" s="174" t="n"/>
      <c r="FF27" s="181" t="n"/>
      <c r="FG27" s="185" t="n"/>
      <c r="FH27" s="183" t="n"/>
      <c r="FI27" s="178" t="n"/>
      <c r="FJ27" s="176" t="n"/>
      <c r="FK27" s="185" t="n"/>
      <c r="FL27" s="178" t="n"/>
      <c r="FM27" s="176" t="n"/>
      <c r="FN27" s="176" t="n"/>
      <c r="FO27" s="176" t="n"/>
      <c r="FP27" s="176" t="n"/>
      <c r="FQ27" s="176" t="n"/>
      <c r="FR27" s="179" t="n"/>
      <c r="FS27" s="176" t="n"/>
      <c r="FT27" s="179" t="n"/>
      <c r="FU27" s="176" t="n"/>
      <c r="FV27" s="179" t="n"/>
      <c r="FW27" s="179" t="n"/>
      <c r="FX27" s="178" t="n"/>
      <c r="FY27" s="186" t="n"/>
      <c r="FZ27" s="183" t="n"/>
      <c r="GA27" s="176" t="n"/>
      <c r="GB27" s="176" t="n"/>
      <c r="GC27" s="185" t="n"/>
      <c r="GD27" s="185" t="n"/>
      <c r="GE27" s="176" t="n"/>
      <c r="GF27" s="176" t="n"/>
      <c r="GG27" s="179" t="n"/>
      <c r="GH27" s="181" t="n"/>
      <c r="GI27" s="183" t="n"/>
      <c r="GJ27" s="183" t="n"/>
      <c r="GK27" s="176" t="n"/>
      <c r="GL27" s="176" t="n"/>
      <c r="GM27" s="176" t="n"/>
      <c r="GN27" s="183" t="n"/>
      <c r="GO27" s="183" t="n"/>
      <c r="GP27" s="183" t="n"/>
      <c r="GQ27" s="183" t="n"/>
      <c r="GR27" s="183" t="n"/>
      <c r="GS27" s="181" t="n"/>
      <c r="GT27" s="181" t="n"/>
    </row>
    <row r="28" ht="51" customFormat="1" customHeight="1" s="11">
      <c r="A28" s="43" t="n"/>
      <c r="B28" s="47" t="n"/>
      <c r="C28" s="44" t="n"/>
      <c r="D28" s="130" t="n"/>
      <c r="E28" s="48" t="n"/>
      <c r="F28" s="43" t="n"/>
      <c r="G28" s="43" t="n"/>
      <c r="H28" s="43" t="n"/>
      <c r="I28" s="131" t="n"/>
      <c r="J28" s="148" t="n"/>
      <c r="K28" s="133" t="n"/>
      <c r="M28" s="67" t="n"/>
      <c r="R28" s="67" t="n"/>
      <c r="S28" s="67" t="n"/>
      <c r="T28" s="147" t="n"/>
      <c r="U28" s="147" t="n"/>
      <c r="V28" s="169" t="n"/>
      <c r="W28" s="169" t="n"/>
      <c r="X28" s="170" t="n"/>
      <c r="Y28" s="26" t="n"/>
      <c r="Z28" s="137" t="n"/>
      <c r="AA28" s="137" t="n"/>
      <c r="AB28" s="137" t="n"/>
      <c r="AC28" s="137" t="n"/>
      <c r="AD28" s="137" t="n"/>
      <c r="AE28" s="137" t="n"/>
      <c r="AF28" s="137" t="n"/>
      <c r="AG28" s="137" t="n"/>
      <c r="AH28" s="137" t="n"/>
      <c r="AI28" s="137" t="n"/>
      <c r="AJ28" s="137" t="n"/>
      <c r="AK28" s="137" t="n"/>
      <c r="AL28" s="137" t="n"/>
      <c r="AM28" s="137" t="n"/>
      <c r="AN28" s="137" t="n"/>
      <c r="AO28" s="137" t="n"/>
      <c r="AP28" s="137" t="n"/>
      <c r="AQ28" s="137" t="n"/>
      <c r="AR28" s="142" t="n"/>
      <c r="AS28" s="142" t="n"/>
      <c r="AT28" s="84" t="n"/>
      <c r="AU28" s="51" t="n"/>
      <c r="AV28" s="51" t="n"/>
      <c r="AW28" s="136" t="n"/>
      <c r="AX28" s="137" t="n"/>
      <c r="AY28" s="117" t="n"/>
      <c r="AZ28" s="117" t="n"/>
      <c r="BA28" s="117" t="n"/>
      <c r="BB28" s="138" t="n"/>
      <c r="BC28" s="139" t="n"/>
      <c r="BD28" s="80" t="n"/>
      <c r="BE28" s="161" t="n"/>
      <c r="BF28" s="161" t="n"/>
      <c r="BG28" s="161" t="n"/>
      <c r="BH28" s="161" t="n"/>
      <c r="BI28" s="161" t="n"/>
      <c r="BJ28" s="162" t="n"/>
      <c r="BK28" s="163" t="n"/>
      <c r="BL28" s="161" t="n"/>
      <c r="BM28" s="164" t="n"/>
      <c r="BN28" s="165" t="n"/>
      <c r="BO28" s="51" t="n"/>
      <c r="BP28" s="135" t="n"/>
      <c r="BQ28" s="135" t="n"/>
      <c r="BR28" s="137" t="n"/>
      <c r="BS28" s="51" t="n"/>
      <c r="BT28" s="142" t="n"/>
      <c r="BU28" s="60" t="n"/>
      <c r="BV28" s="89" t="n"/>
      <c r="BW28" s="61" t="n"/>
      <c r="BX28" s="77" t="n"/>
      <c r="BY28" s="77" t="n"/>
      <c r="BZ28" s="78" t="n"/>
      <c r="CA28" s="60" t="n"/>
      <c r="CB28" s="76" t="n"/>
      <c r="CC28" s="140" t="n"/>
      <c r="CD28" s="171" t="n"/>
      <c r="CE28" s="76" t="n"/>
      <c r="CF28" s="89" t="n"/>
      <c r="CG28" s="91" t="n"/>
      <c r="CH28" s="60" t="n"/>
      <c r="CI28" s="141" t="n"/>
      <c r="CJ28" s="141" t="n"/>
      <c r="CK28" s="141" t="n"/>
      <c r="CL28" s="141" t="n"/>
      <c r="CM28" s="141" t="n"/>
      <c r="CN28" s="64" t="n"/>
      <c r="CO28" s="64" t="n"/>
      <c r="CP28" s="64" t="n"/>
      <c r="CQ28" s="141" t="n"/>
      <c r="CR28" s="141" t="n"/>
      <c r="CS28" s="63" t="n"/>
      <c r="CT28" s="64" t="n"/>
      <c r="CU28" s="64" t="n"/>
      <c r="CV28" s="59" t="n"/>
      <c r="CW28" s="64" t="n"/>
      <c r="CX28" s="51" t="n"/>
      <c r="CY28" s="142" t="n"/>
      <c r="CZ28" s="136" t="n"/>
      <c r="DA28" s="143" t="n"/>
      <c r="DB28" s="63" t="n"/>
      <c r="DC28" s="63" t="n"/>
      <c r="DD28" s="59" t="n"/>
      <c r="DE28" s="141" t="n"/>
      <c r="DF28" s="141" t="n"/>
      <c r="DG28" s="63" t="n"/>
      <c r="DH28" s="63" t="n"/>
      <c r="DI28" s="63" t="n"/>
      <c r="DJ28" s="63" t="n"/>
      <c r="DK28" s="169" t="n"/>
      <c r="DL28" s="59" t="n"/>
      <c r="DM28" s="144" t="n"/>
      <c r="DN28" s="142" t="n"/>
      <c r="DO28" s="51" t="n"/>
      <c r="DP28" s="142" t="n"/>
      <c r="DQ28" s="59" t="n"/>
      <c r="DR28" s="63" t="n"/>
      <c r="DS28" s="142" t="n"/>
      <c r="DT28" s="80" t="n"/>
      <c r="DU28" s="142" t="n"/>
      <c r="DV28" s="144" t="n"/>
      <c r="DW28" s="145" t="n"/>
      <c r="DX28" s="169" t="n"/>
      <c r="DY28" s="172" t="n"/>
      <c r="DZ28" s="146" t="n"/>
      <c r="EA28" s="146" t="n"/>
      <c r="EB28" s="146" t="n"/>
      <c r="EC28" s="63" t="n"/>
      <c r="ED28" s="169" t="n"/>
      <c r="EE28" s="64" t="n"/>
      <c r="EF28" s="60" t="n"/>
      <c r="EG28" s="59" t="n"/>
      <c r="EI28" s="174" t="n"/>
      <c r="EJ28" s="175" t="n"/>
      <c r="EK28" s="176" t="n"/>
      <c r="EL28" s="176" t="n"/>
      <c r="EM28" s="176" t="n"/>
      <c r="EN28" s="176" t="n"/>
      <c r="EO28" s="179" t="n"/>
      <c r="EP28" s="179" t="n"/>
      <c r="EQ28" s="178" t="n"/>
      <c r="ER28" s="175" t="n"/>
      <c r="ES28" s="176" t="n"/>
      <c r="ET28" s="176" t="n"/>
      <c r="EU28" s="176" t="n"/>
      <c r="EV28" s="176" t="n"/>
      <c r="EW28" s="179" t="n"/>
      <c r="EX28" s="179" t="n"/>
      <c r="EY28" s="178" t="n"/>
      <c r="EZ28" s="176" t="n"/>
      <c r="FA28" s="176" t="n"/>
      <c r="FB28" s="179" t="n"/>
      <c r="FC28" s="176" t="n"/>
      <c r="FD28" s="179" t="n"/>
      <c r="FE28" s="174" t="n"/>
      <c r="FF28" s="181" t="n"/>
      <c r="FG28" s="185" t="n"/>
      <c r="FH28" s="183" t="n"/>
      <c r="FI28" s="178" t="n"/>
      <c r="FJ28" s="176" t="n"/>
      <c r="FK28" s="185" t="n"/>
      <c r="FL28" s="178" t="n"/>
      <c r="FM28" s="176" t="n"/>
      <c r="FN28" s="176" t="n"/>
      <c r="FO28" s="176" t="n"/>
      <c r="FP28" s="176" t="n"/>
      <c r="FQ28" s="176" t="n"/>
      <c r="FR28" s="179" t="n"/>
      <c r="FS28" s="176" t="n"/>
      <c r="FT28" s="179" t="n"/>
      <c r="FU28" s="176" t="n"/>
      <c r="FV28" s="179" t="n"/>
      <c r="FW28" s="179" t="n"/>
      <c r="FX28" s="178" t="n"/>
      <c r="FY28" s="186" t="n"/>
      <c r="FZ28" s="183" t="n"/>
      <c r="GA28" s="176" t="n"/>
      <c r="GB28" s="176" t="n"/>
      <c r="GC28" s="185" t="n"/>
      <c r="GD28" s="185" t="n"/>
      <c r="GE28" s="176" t="n"/>
      <c r="GF28" s="176" t="n"/>
      <c r="GG28" s="179" t="n"/>
      <c r="GH28" s="181" t="n"/>
      <c r="GI28" s="183" t="n"/>
      <c r="GJ28" s="183" t="n"/>
      <c r="GK28" s="176" t="n"/>
      <c r="GL28" s="176" t="n"/>
      <c r="GM28" s="176" t="n"/>
      <c r="GN28" s="183" t="n"/>
      <c r="GO28" s="183" t="n"/>
      <c r="GP28" s="183" t="n"/>
      <c r="GQ28" s="183" t="n"/>
      <c r="GR28" s="183" t="n"/>
      <c r="GS28" s="181" t="n"/>
      <c r="GT28" s="181" t="n"/>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2026-09-29T13:26:24Z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