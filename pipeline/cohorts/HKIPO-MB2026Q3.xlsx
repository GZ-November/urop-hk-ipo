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12776703000</v>
      </c>
      <c r="AA2" s="117" t="n">
        <v>16603708000</v>
      </c>
      <c r="AB2" s="117" t="n">
        <v>20066893000</v>
      </c>
      <c r="AC2" s="117" t="n">
        <v>8161299000</v>
      </c>
      <c r="AD2" s="117" t="n">
        <v>9144520000</v>
      </c>
      <c r="AE2" s="117" t="n">
        <v>10711670000</v>
      </c>
      <c r="AF2" s="117" t="n">
        <v>4615404000</v>
      </c>
      <c r="AG2" s="117" t="n">
        <v>7459188000</v>
      </c>
      <c r="AH2" s="117" t="n">
        <v>9355223000</v>
      </c>
      <c r="AI2" s="117" t="n">
        <v>17507203000</v>
      </c>
      <c r="AJ2" s="117" t="n">
        <v>24710080000</v>
      </c>
      <c r="AK2" s="117" t="n">
        <v>30514403000</v>
      </c>
      <c r="AL2" s="117" t="n">
        <v>1812512000</v>
      </c>
      <c r="AM2" s="117" t="n">
        <v>2348349000</v>
      </c>
      <c r="AN2" s="117" t="n">
        <v>2922474000</v>
      </c>
      <c r="AO2" s="117" t="n">
        <v>1693939000</v>
      </c>
      <c r="AP2" s="117" t="n">
        <v>2211124000</v>
      </c>
      <c r="AQ2" s="117" t="n">
        <v>2617194000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46022</v>
      </c>
      <c r="AX2" s="137" t="n">
        <v>480807000</v>
      </c>
      <c r="AY2" s="117" t="n">
        <v>3067742000</v>
      </c>
      <c r="AZ2" s="117" t="n">
        <v>2892785000</v>
      </c>
      <c r="BA2" s="117" t="n">
        <v>0</v>
      </c>
      <c r="BB2" s="138" t="n">
        <v>0.08599999999999999</v>
      </c>
      <c r="BC2" s="139" t="n">
        <v>1</v>
      </c>
      <c r="BD2" s="80" t="inlineStr">
        <is>
          <t>NaN</t>
        </is>
      </c>
      <c r="BE2" s="161" t="inlineStr">
        <is>
          <t>NaN</t>
        </is>
      </c>
      <c r="BF2" s="161" t="inlineStr">
        <is>
          <t>NaN</t>
        </is>
      </c>
      <c r="BG2" s="161" t="inlineStr">
        <is>
          <t>NaN</t>
        </is>
      </c>
      <c r="BH2" s="161" t="inlineStr">
        <is>
          <t>NaN</t>
        </is>
      </c>
      <c r="BI2" s="161" t="inlineStr">
        <is>
          <t>NaN</t>
        </is>
      </c>
      <c r="BJ2" s="162" t="inlineStr">
        <is>
          <t>NA</t>
        </is>
      </c>
      <c r="BK2" s="163" t="inlineStr">
        <is>
          <t>NaN</t>
        </is>
      </c>
      <c r="BL2" s="161" t="inlineStr">
        <is>
          <t>NaN</t>
        </is>
      </c>
      <c r="BM2" s="164" t="inlineStr">
        <is>
          <t>NA</t>
        </is>
      </c>
      <c r="BN2" s="165" t="inlineStr">
        <is>
          <t>NaN</t>
        </is>
      </c>
      <c r="BO2" s="51" t="inlineStr">
        <is>
          <t>Individual natural person(s) acting in concert (Mr. Yang and Ms. He)</t>
        </is>
      </c>
      <c r="BP2" s="135" t="n">
        <v>0.4327</v>
      </c>
      <c r="BQ2" s="135" t="n">
        <v>0.4327</v>
      </c>
      <c r="BR2" s="137" t="n">
        <v>2918825000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v>1000</v>
      </c>
      <c r="CH2" s="60" t="inlineStr">
        <is>
          <t>IFRS Accounting Standards</t>
        </is>
      </c>
      <c r="CI2" s="141" t="n">
        <v>44927</v>
      </c>
      <c r="CJ2" s="141" t="n">
        <v>45291</v>
      </c>
      <c r="CK2" s="141" t="n">
        <v>45292</v>
      </c>
      <c r="CL2" s="141" t="n">
        <v>45657</v>
      </c>
      <c r="CM2" s="141" t="n">
        <v>45658</v>
      </c>
      <c r="CN2" s="92" t="n">
        <v>30514403000</v>
      </c>
      <c r="CO2" s="64" t="n">
        <v>2922474000</v>
      </c>
      <c r="CP2" s="64" t="n">
        <v>2617194000</v>
      </c>
      <c r="CQ2" s="141" t="n">
        <v>46196</v>
      </c>
      <c r="CR2" s="141" t="n">
        <v>46199</v>
      </c>
      <c r="CS2" s="63" t="n">
        <v>46632800</v>
      </c>
      <c r="CT2" s="64" t="n">
        <v>13386431000</v>
      </c>
      <c r="CU2" s="64" t="n">
        <v>365120000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114.9</v>
      </c>
      <c r="DX2" s="169" t="n">
        <v>0.156867</v>
      </c>
      <c r="DY2" s="172" t="n">
        <v>726539024</v>
      </c>
      <c r="DZ2" s="146" t="n">
        <v>99.3</v>
      </c>
      <c r="EA2" s="146" t="n">
        <v>114.9</v>
      </c>
      <c r="EB2" s="146" t="n">
        <v>90</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0.079724</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Hong Kong Securities Limited</t>
        </is>
      </c>
      <c r="FG2" s="185" t="inlineStr">
        <is>
          <t>2026-07-26</t>
        </is>
      </c>
      <c r="FH2" s="183" t="n"/>
      <c r="FI2" s="178" t="n">
        <v>6994900</v>
      </c>
      <c r="FJ2" s="176" t="n"/>
      <c r="FK2" s="185" t="inlineStr">
        <is>
          <t>2026-07-26</t>
        </is>
      </c>
      <c r="FL2" s="178" t="n">
        <v>3443300</v>
      </c>
      <c r="FM2" s="176" t="n">
        <v>0.4923</v>
      </c>
      <c r="FN2" s="176" t="n">
        <v>0.044802</v>
      </c>
      <c r="FO2" s="176" t="n">
        <v>0.148008</v>
      </c>
      <c r="FP2" s="176" t="n">
        <v>0.414426</v>
      </c>
      <c r="FQ2" s="176" t="n">
        <v>-0.08774</v>
      </c>
      <c r="FR2" s="179" t="n">
        <v>0.8691</v>
      </c>
      <c r="FS2" s="176" t="n">
        <v>-0.06668200000000001</v>
      </c>
      <c r="FT2" s="179" t="n">
        <v>0.8338</v>
      </c>
      <c r="FU2" s="176" t="n"/>
      <c r="FV2" s="179" t="n"/>
      <c r="FW2" s="179" t="n"/>
      <c r="FX2" s="178" t="n"/>
      <c r="FY2" s="186" t="n"/>
      <c r="FZ2" s="183" t="n"/>
      <c r="GA2" s="176" t="n"/>
      <c r="GB2" s="176" t="n"/>
      <c r="GC2" s="185" t="inlineStr">
        <is>
          <t>2027-01-03</t>
        </is>
      </c>
      <c r="GD2" s="185" t="inlineStr">
        <is>
          <t>2027-07-03</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inlineStr">
        <is>
          <t>NaN</t>
        </is>
      </c>
      <c r="BJ3" s="162" t="inlineStr">
        <is>
          <t>TRT Senior Care Fund; TRT Medical Fund; Tongqing Fund; Tongkang Fund; Mr. Zhu; Ms. Pan</t>
        </is>
      </c>
      <c r="BK3" s="163" t="n">
        <v>0.1214</v>
      </c>
      <c r="BL3" s="161" t="inlineStr">
        <is>
          <t>NaN</t>
        </is>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Hong Kong Securities Limited</t>
        </is>
      </c>
      <c r="FG3" s="185" t="n"/>
      <c r="FH3" s="183" t="n"/>
      <c r="FI3" s="178" t="n"/>
      <c r="FJ3" s="176" t="n">
        <v>0.15</v>
      </c>
      <c r="FK3" s="185" t="inlineStr">
        <is>
          <t>2026-07-07</t>
        </is>
      </c>
      <c r="FL3" s="178" t="n">
        <v>0</v>
      </c>
      <c r="FM3" s="176" t="n">
        <v>0</v>
      </c>
      <c r="FN3" s="176" t="n"/>
      <c r="FO3" s="176" t="n"/>
      <c r="FP3" s="176" t="n"/>
      <c r="FQ3" s="176" t="n">
        <v>-0.202985</v>
      </c>
      <c r="FR3" s="179" t="n">
        <v>0.7734</v>
      </c>
      <c r="FS3" s="176" t="n">
        <v>-0.104478</v>
      </c>
      <c r="FT3" s="179" t="n">
        <v>0.8090000000000001</v>
      </c>
      <c r="FU3" s="176" t="n"/>
      <c r="FV3" s="179" t="n"/>
      <c r="FW3" s="179" t="n"/>
      <c r="FX3" s="178" t="n"/>
      <c r="FY3" s="186" t="n"/>
      <c r="FZ3" s="183" t="n"/>
      <c r="GA3" s="176" t="n"/>
      <c r="GB3" s="176" t="n"/>
      <c r="GC3" s="185" t="inlineStr">
        <is>
          <t>2027-01-08</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Hong Kong Securities Limited</t>
        </is>
      </c>
      <c r="FG4" s="185" t="n"/>
      <c r="FH4" s="183" t="n"/>
      <c r="FI4" s="178" t="n"/>
      <c r="FJ4" s="176" t="n"/>
      <c r="FK4" s="185" t="inlineStr">
        <is>
          <t>2026-06-29</t>
        </is>
      </c>
      <c r="FL4" s="178" t="n"/>
      <c r="FM4" s="176" t="n"/>
      <c r="FN4" s="176" t="n"/>
      <c r="FO4" s="176" t="n"/>
      <c r="FP4" s="176" t="n"/>
      <c r="FQ4" s="176" t="n">
        <v>0</v>
      </c>
      <c r="FR4" s="179" t="n">
        <v>0.9942</v>
      </c>
      <c r="FS4" s="176" t="n">
        <v>-0.140054</v>
      </c>
      <c r="FT4" s="179" t="n">
        <v>0.8048999999999999</v>
      </c>
      <c r="FU4" s="176" t="n"/>
      <c r="FV4" s="179" t="n"/>
      <c r="FW4" s="179" t="n"/>
      <c r="FX4" s="178" t="n"/>
      <c r="FY4" s="186" t="n"/>
      <c r="FZ4" s="183" t="n"/>
      <c r="GA4" s="176" t="n"/>
      <c r="GB4" s="176" t="n"/>
      <c r="GC4" s="185" t="inlineStr">
        <is>
          <t>2027-01-09</t>
        </is>
      </c>
      <c r="GD4" s="185" t="inlineStr">
        <is>
          <t>2027-07-09</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inlineStr">
        <is>
          <t>2026-07-08</t>
        </is>
      </c>
      <c r="FL5" s="178" t="n"/>
      <c r="FM5" s="176" t="n"/>
      <c r="FN5" s="176" t="n"/>
      <c r="FO5" s="176" t="n"/>
      <c r="FP5" s="176" t="n"/>
      <c r="FQ5" s="176" t="n">
        <v>0.375238</v>
      </c>
      <c r="FR5" s="179" t="n">
        <v>1.3673</v>
      </c>
      <c r="FS5" s="176" t="n">
        <v>0.431429</v>
      </c>
      <c r="FT5" s="179" t="n">
        <v>1.3399</v>
      </c>
      <c r="FU5" s="176" t="n"/>
      <c r="FV5" s="179" t="n"/>
      <c r="FW5" s="179" t="n"/>
      <c r="FX5" s="178" t="n"/>
      <c r="FY5" s="186" t="n"/>
      <c r="FZ5" s="183" t="n"/>
      <c r="GA5" s="176" t="n"/>
      <c r="GB5" s="176" t="n"/>
      <c r="GC5" s="185" t="n"/>
      <c r="GD5" s="185" t="inlineStr">
        <is>
          <t>2027-07-09</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inlineStr">
        <is>
          <t>NaN</t>
        </is>
      </c>
      <c r="BL6" s="161" t="inlineStr">
        <is>
          <t>NaN</t>
        </is>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inlineStr">
        <is>
          <t>2026-08-02</t>
        </is>
      </c>
      <c r="FH6" s="183" t="n"/>
      <c r="FI6" s="178" t="n">
        <v>3919800</v>
      </c>
      <c r="FJ6" s="176" t="n"/>
      <c r="FK6" s="185" t="inlineStr">
        <is>
          <t>2026-08-02</t>
        </is>
      </c>
      <c r="FL6" s="178" t="n">
        <v>2771050</v>
      </c>
      <c r="FM6" s="176" t="n">
        <v>0.7069</v>
      </c>
      <c r="FN6" s="176" t="n">
        <v>-0.129545</v>
      </c>
      <c r="FO6" s="176" t="n">
        <v>-0.103142</v>
      </c>
      <c r="FP6" s="176" t="n">
        <v>0.127787</v>
      </c>
      <c r="FQ6" s="176" t="n">
        <v>-0.07600800000000001</v>
      </c>
      <c r="FR6" s="179" t="n">
        <v>0.9186</v>
      </c>
      <c r="FS6" s="176" t="n">
        <v>-0.140641</v>
      </c>
      <c r="FT6" s="179" t="n">
        <v>0.8044</v>
      </c>
      <c r="FU6" s="176" t="n"/>
      <c r="FV6" s="179" t="n"/>
      <c r="FW6" s="179" t="n"/>
      <c r="FX6" s="178" t="n"/>
      <c r="FY6" s="186" t="n"/>
      <c r="FZ6" s="183" t="n"/>
      <c r="GA6" s="176" t="n"/>
      <c r="GB6" s="176" t="n"/>
      <c r="GC6" s="185" t="inlineStr">
        <is>
          <t>2027-01-09</t>
        </is>
      </c>
      <c r="GD6" s="185" t="inlineStr">
        <is>
          <t>2027-07-09</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inlineStr">
        <is>
          <t>NaN</t>
        </is>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v>0.2</v>
      </c>
      <c r="FK7" s="185" t="inlineStr">
        <is>
          <t>2026-07-08</t>
        </is>
      </c>
      <c r="FL7" s="178" t="n">
        <v>0</v>
      </c>
      <c r="FM7" s="176" t="n">
        <v>0</v>
      </c>
      <c r="FN7" s="176" t="n"/>
      <c r="FO7" s="176" t="n"/>
      <c r="FP7" s="176" t="n"/>
      <c r="FQ7" s="176" t="n">
        <v>0.270319</v>
      </c>
      <c r="FR7" s="179" t="n">
        <v>1.2629</v>
      </c>
      <c r="FS7" s="176" t="n">
        <v>0.5608070000000001</v>
      </c>
      <c r="FT7" s="179" t="n">
        <v>1.461</v>
      </c>
      <c r="FU7" s="176" t="n"/>
      <c r="FV7" s="179" t="n"/>
      <c r="FW7" s="179" t="n"/>
      <c r="FX7" s="178" t="n"/>
      <c r="FY7" s="186" t="n"/>
      <c r="FZ7" s="183" t="n"/>
      <c r="GA7" s="176" t="n"/>
      <c r="GB7" s="176" t="n"/>
      <c r="GC7" s="185" t="n"/>
      <c r="GD7" s="185" t="inlineStr">
        <is>
          <t>2027-07-09</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3265683000</v>
      </c>
      <c r="AA8" s="137" t="n">
        <v>3852922000</v>
      </c>
      <c r="AB8" s="137" t="n">
        <v>3584586000</v>
      </c>
      <c r="AC8" s="137" t="n">
        <v>2889230000</v>
      </c>
      <c r="AD8" s="137" t="n">
        <v>3167740000</v>
      </c>
      <c r="AE8" s="137" t="n">
        <v>3160818000</v>
      </c>
      <c r="AF8" s="137" t="n">
        <v>376453000</v>
      </c>
      <c r="AG8" s="137" t="n">
        <v>685182000</v>
      </c>
      <c r="AH8" s="137" t="n">
        <v>423768000</v>
      </c>
      <c r="AI8" s="137" t="n">
        <v>670538000</v>
      </c>
      <c r="AJ8" s="137" t="n">
        <v>775826000</v>
      </c>
      <c r="AK8" s="137" t="n">
        <v>900234000</v>
      </c>
      <c r="AL8" s="137" t="n">
        <v>113838000</v>
      </c>
      <c r="AM8" s="137" t="n">
        <v>76818000</v>
      </c>
      <c r="AN8" s="137" t="n">
        <v>91053000</v>
      </c>
      <c r="AO8" s="137" t="n">
        <v>107953000</v>
      </c>
      <c r="AP8" s="137" t="n">
        <v>92303000</v>
      </c>
      <c r="AQ8" s="137" t="n">
        <v>86083000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46022</v>
      </c>
      <c r="AX8" s="137" t="n">
        <v>85311000</v>
      </c>
      <c r="AY8" s="117" t="n">
        <v>330566000</v>
      </c>
      <c r="AZ8" s="117" t="n">
        <v>225895000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89872000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v>1000</v>
      </c>
      <c r="CH8" s="60" t="inlineStr">
        <is>
          <t>IFRS Accounting Standards</t>
        </is>
      </c>
      <c r="CI8" s="141" t="n">
        <v>44927</v>
      </c>
      <c r="CJ8" s="141" t="n">
        <v>45291</v>
      </c>
      <c r="CK8" s="141" t="n">
        <v>45292</v>
      </c>
      <c r="CL8" s="141" t="n">
        <v>45657</v>
      </c>
      <c r="CM8" s="141" t="n">
        <v>45658</v>
      </c>
      <c r="CN8" s="64" t="n">
        <v>900234000</v>
      </c>
      <c r="CO8" s="64" t="n">
        <v>91053000</v>
      </c>
      <c r="CP8" s="64" t="n">
        <v>86083000</v>
      </c>
      <c r="CQ8" s="141" t="n">
        <v>46203</v>
      </c>
      <c r="CR8" s="141" t="n">
        <v>46209</v>
      </c>
      <c r="CS8" s="63" t="n">
        <v>24802200</v>
      </c>
      <c r="CT8" s="64" t="n">
        <v>475717000</v>
      </c>
      <c r="CU8" s="64" t="n">
        <v>55585000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v>-0.061806</v>
      </c>
      <c r="FR8" s="179" t="n">
        <v>0.9135</v>
      </c>
      <c r="FS8" s="176" t="n">
        <v>-0.106944</v>
      </c>
      <c r="FT8" s="179" t="n">
        <v>0.8280999999999999</v>
      </c>
      <c r="FU8" s="176" t="n"/>
      <c r="FV8" s="179" t="n"/>
      <c r="FW8" s="179" t="n"/>
      <c r="FX8" s="178" t="n"/>
      <c r="FY8" s="186" t="n"/>
      <c r="FZ8" s="183" t="n"/>
      <c r="GA8" s="176" t="n"/>
      <c r="GB8" s="176" t="n"/>
      <c r="GC8" s="185" t="inlineStr">
        <is>
          <t>2027-01-10</t>
        </is>
      </c>
      <c r="GD8" s="185" t="inlineStr">
        <is>
          <t>2027-07-10</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3179443000</v>
      </c>
      <c r="AA9" s="137" t="n">
        <v>3520596000</v>
      </c>
      <c r="AB9" s="137" t="n">
        <v>4538074000</v>
      </c>
      <c r="AC9" s="137" t="n">
        <v>2319541000</v>
      </c>
      <c r="AD9" s="137" t="n">
        <v>2479467000</v>
      </c>
      <c r="AE9" s="137" t="n">
        <v>2648954000</v>
      </c>
      <c r="AF9" s="137" t="n">
        <v>859902000</v>
      </c>
      <c r="AG9" s="137" t="n">
        <v>1041129000</v>
      </c>
      <c r="AH9" s="137" t="n">
        <v>1889120000</v>
      </c>
      <c r="AI9" s="137" t="n">
        <v>1295121000</v>
      </c>
      <c r="AJ9" s="137" t="n">
        <v>1552635000</v>
      </c>
      <c r="AK9" s="137" t="n">
        <v>2084177000</v>
      </c>
      <c r="AL9" s="137" t="n">
        <v>248270000</v>
      </c>
      <c r="AM9" s="137" t="n">
        <v>257779000</v>
      </c>
      <c r="AN9" s="137" t="n">
        <v>491750000</v>
      </c>
      <c r="AO9" s="137" t="n">
        <v>219485000</v>
      </c>
      <c r="AP9" s="137" t="n">
        <v>227306000</v>
      </c>
      <c r="AQ9" s="137" t="n">
        <v>431641000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46022</v>
      </c>
      <c r="AX9" s="137" t="n">
        <v>290852000</v>
      </c>
      <c r="AY9" s="117" t="n">
        <v>271331000</v>
      </c>
      <c r="AZ9" s="117" t="n">
        <v>135894000</v>
      </c>
      <c r="BA9" s="117" t="n">
        <v>0</v>
      </c>
      <c r="BB9" s="138" t="n">
        <v>0.308</v>
      </c>
      <c r="BC9" s="139" t="n">
        <v>1</v>
      </c>
      <c r="BD9" s="80" t="n">
        <v>1</v>
      </c>
      <c r="BE9" s="161" t="n">
        <v>1</v>
      </c>
      <c r="BF9" s="161" t="n">
        <v>1</v>
      </c>
      <c r="BG9" s="161" t="inlineStr">
        <is>
          <t>NaN</t>
        </is>
      </c>
      <c r="BH9" s="161" t="inlineStr">
        <is>
          <t>NaN</t>
        </is>
      </c>
      <c r="BI9" s="161" t="inlineStr">
        <is>
          <t>NaN</t>
        </is>
      </c>
      <c r="BJ9" s="162" t="inlineStr">
        <is>
          <t>Dongguan Sci Tech Innovation Boxin Equity Investment Partnership Enterprise (Limited Partnership); Jinshi Kunxiang Equity Investment (Hangzhou) Partnership (Limited Partnership)</t>
        </is>
      </c>
      <c r="BK9" s="163" t="inlineStr">
        <is>
          <t>NaN</t>
        </is>
      </c>
      <c r="BL9" s="161" t="inlineStr">
        <is>
          <t>NaN</t>
        </is>
      </c>
      <c r="BM9" s="164" t="inlineStr">
        <is>
          <t>NA</t>
        </is>
      </c>
      <c r="BN9" s="165" t="inlineStr">
        <is>
          <t>NaN</t>
        </is>
      </c>
      <c r="BO9" s="51" t="inlineStr">
        <is>
          <t>Natural persons (family group acting in concert led by Ms. WANG Xin)</t>
        </is>
      </c>
      <c r="BP9" s="135" t="n">
        <v>0.7751</v>
      </c>
      <c r="BQ9" s="135" t="n">
        <v>0.7751</v>
      </c>
      <c r="BR9" s="137" t="n">
        <v>624974000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v>1000</v>
      </c>
      <c r="CH9" s="60" t="inlineStr">
        <is>
          <t>IFRS</t>
        </is>
      </c>
      <c r="CI9" s="141" t="n">
        <v>44927</v>
      </c>
      <c r="CJ9" s="141" t="n">
        <v>45291</v>
      </c>
      <c r="CK9" s="141" t="n">
        <v>45292</v>
      </c>
      <c r="CL9" s="141" t="n">
        <v>45657</v>
      </c>
      <c r="CM9" s="141" t="n">
        <v>45658</v>
      </c>
      <c r="CN9" s="64" t="n">
        <v>2084177000</v>
      </c>
      <c r="CO9" s="64" t="n">
        <v>491750000</v>
      </c>
      <c r="CP9" s="64" t="n">
        <v>431641000</v>
      </c>
      <c r="CQ9" s="141" t="n">
        <v>46203</v>
      </c>
      <c r="CR9" s="141" t="n">
        <v>46209</v>
      </c>
      <c r="CS9" s="63" t="n">
        <v>12632000</v>
      </c>
      <c r="CT9" s="64" t="n">
        <v>843032000</v>
      </c>
      <c r="CU9" s="64" t="n">
        <v>495904000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373.2</v>
      </c>
      <c r="DX9" s="169" t="n">
        <v>-0.017895</v>
      </c>
      <c r="DY9" s="172" t="n">
        <v>-85897600</v>
      </c>
      <c r="DZ9" s="146" t="n">
        <v>330</v>
      </c>
      <c r="EA9" s="146" t="n">
        <v>388</v>
      </c>
      <c r="EB9" s="146" t="n">
        <v>330</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-0.036901</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v>0.1</v>
      </c>
      <c r="FK9" s="185" t="inlineStr">
        <is>
          <t>2026-07-09</t>
        </is>
      </c>
      <c r="FL9" s="178" t="n">
        <v>0</v>
      </c>
      <c r="FM9" s="176" t="n">
        <v>0</v>
      </c>
      <c r="FN9" s="176" t="n"/>
      <c r="FO9" s="176" t="n"/>
      <c r="FP9" s="176" t="n"/>
      <c r="FQ9" s="176" t="n">
        <v>0.116653</v>
      </c>
      <c r="FR9" s="179" t="n">
        <v>1.0872</v>
      </c>
      <c r="FS9" s="176" t="n">
        <v>-0.019353</v>
      </c>
      <c r="FT9" s="179" t="n">
        <v>0.9093</v>
      </c>
      <c r="FU9" s="176" t="n"/>
      <c r="FV9" s="179" t="n"/>
      <c r="FW9" s="179" t="n"/>
      <c r="FX9" s="178" t="n"/>
      <c r="FY9" s="186" t="n"/>
      <c r="FZ9" s="183" t="n"/>
      <c r="GA9" s="176" t="n"/>
      <c r="GB9" s="176" t="n"/>
      <c r="GC9" s="185" t="inlineStr">
        <is>
          <t>2027-01-10</t>
        </is>
      </c>
      <c r="GD9" s="185" t="inlineStr">
        <is>
          <t>2027-07-10</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inlineStr">
        <is>
          <t>NaN</t>
        </is>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inlineStr">
        <is>
          <t>2026-07-09</t>
        </is>
      </c>
      <c r="FL10" s="178" t="n">
        <v>0</v>
      </c>
      <c r="FM10" s="176" t="n">
        <v>0</v>
      </c>
      <c r="FN10" s="176" t="n"/>
      <c r="FO10" s="176" t="n"/>
      <c r="FP10" s="176" t="n"/>
      <c r="FQ10" s="176" t="n">
        <v>-0.034375</v>
      </c>
      <c r="FR10" s="179" t="n">
        <v>0.9402</v>
      </c>
      <c r="FS10" s="176" t="n">
        <v>0.25125</v>
      </c>
      <c r="FT10" s="179" t="n">
        <v>1.1602</v>
      </c>
      <c r="FU10" s="176" t="n"/>
      <c r="FV10" s="179" t="n"/>
      <c r="FW10" s="179" t="n"/>
      <c r="FX10" s="178" t="n"/>
      <c r="FY10" s="186" t="n"/>
      <c r="FZ10" s="183" t="n"/>
      <c r="GA10" s="176" t="n"/>
      <c r="GB10" s="176" t="n"/>
      <c r="GC10" s="185" t="inlineStr">
        <is>
          <t>2027-01-10</t>
        </is>
      </c>
      <c r="GD10" s="185" t="inlineStr">
        <is>
          <t>2027-07-10</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161992100000</v>
      </c>
      <c r="AA11" s="137" t="n">
        <v>223827586000</v>
      </c>
      <c r="AB11" s="137" t="n">
        <v>306537675000</v>
      </c>
      <c r="AC11" s="137" t="n">
        <v>70284865000</v>
      </c>
      <c r="AD11" s="137" t="n">
        <v>84687125000</v>
      </c>
      <c r="AE11" s="137" t="n">
        <v>104020233000</v>
      </c>
      <c r="AF11" s="137" t="n">
        <v>91707235000</v>
      </c>
      <c r="AG11" s="137" t="n">
        <v>139140461000</v>
      </c>
      <c r="AH11" s="137" t="n">
        <v>202517442000</v>
      </c>
      <c r="AI11" s="137" t="n">
        <v>231905460000</v>
      </c>
      <c r="AJ11" s="137" t="n">
        <v>268794738000</v>
      </c>
      <c r="AK11" s="137" t="n">
        <v>332344443000</v>
      </c>
      <c r="AL11" s="137" t="n">
        <v>12885042000</v>
      </c>
      <c r="AM11" s="137" t="n">
        <v>16108739000</v>
      </c>
      <c r="AN11" s="137" t="n">
        <v>19549858000</v>
      </c>
      <c r="AO11" s="137" t="n">
        <v>12243213000</v>
      </c>
      <c r="AP11" s="137" t="n">
        <v>14579044000</v>
      </c>
      <c r="AQ11" s="137" t="n">
        <v>18170237000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46022</v>
      </c>
      <c r="AX11" s="137" t="n">
        <v>17325330000</v>
      </c>
      <c r="AY11" s="117" t="n">
        <v>59340613000</v>
      </c>
      <c r="AZ11" s="117" t="n">
        <v>11428041000</v>
      </c>
      <c r="BA11" s="117" t="n">
        <v>90951000</v>
      </c>
      <c r="BB11" s="138" t="n">
        <v>0.65</v>
      </c>
      <c r="BC11" s="139" t="n">
        <v>1</v>
      </c>
      <c r="BD11" s="80" t="inlineStr">
        <is>
          <t>NaN</t>
        </is>
      </c>
      <c r="BE11" s="161" t="inlineStr">
        <is>
          <t>NaN</t>
        </is>
      </c>
      <c r="BF11" s="161" t="inlineStr">
        <is>
          <t>NaN</t>
        </is>
      </c>
      <c r="BG11" s="161" t="inlineStr">
        <is>
          <t>NaN</t>
        </is>
      </c>
      <c r="BH11" s="161" t="inlineStr">
        <is>
          <t>NaN</t>
        </is>
      </c>
      <c r="BI11" s="161" t="inlineStr">
        <is>
          <t>NaN</t>
        </is>
      </c>
      <c r="BJ11" s="162" t="inlineStr">
        <is>
          <t>NA</t>
        </is>
      </c>
      <c r="BK11" s="163" t="inlineStr">
        <is>
          <t>NaN</t>
        </is>
      </c>
      <c r="BL11" s="161" t="inlineStr">
        <is>
          <t>NaN</t>
        </is>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v>1000</v>
      </c>
      <c r="CH11" s="60" t="inlineStr">
        <is>
          <t>IFRS Accounting Standards</t>
        </is>
      </c>
      <c r="CI11" s="141" t="n">
        <v>44927</v>
      </c>
      <c r="CJ11" s="141" t="n">
        <v>45291</v>
      </c>
      <c r="CK11" s="141" t="n">
        <v>45292</v>
      </c>
      <c r="CL11" s="141" t="n">
        <v>45657</v>
      </c>
      <c r="CM11" s="141" t="n">
        <v>45658</v>
      </c>
      <c r="CN11" s="64" t="n">
        <v>332344443000</v>
      </c>
      <c r="CO11" s="64" t="n">
        <v>19549858000</v>
      </c>
      <c r="CP11" s="64" t="n">
        <v>18170237000</v>
      </c>
      <c r="CQ11" s="141" t="n">
        <v>46203</v>
      </c>
      <c r="CR11" s="141" t="n">
        <v>46209</v>
      </c>
      <c r="CS11" s="63" t="n">
        <v>383472800</v>
      </c>
      <c r="CT11" s="64" t="n">
        <v>38443840000</v>
      </c>
      <c r="CU11" s="64" t="n">
        <v>17904338000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62.3</v>
      </c>
      <c r="DX11" s="169" t="n">
        <v>-0.015487</v>
      </c>
      <c r="DY11" s="172" t="n">
        <v>-375803344</v>
      </c>
      <c r="DZ11" s="146" t="n">
        <v>63.25</v>
      </c>
      <c r="EA11" s="146" t="n">
        <v>63.25</v>
      </c>
      <c r="EB11" s="146" t="n">
        <v>57.2</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-0.074868</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Goldman Sachs (Asia) L.L.C.</t>
        </is>
      </c>
      <c r="FG11" s="185" t="inlineStr">
        <is>
          <t>2026-08-05</t>
        </is>
      </c>
      <c r="FH11" s="183" t="n"/>
      <c r="FI11" s="178" t="n">
        <v>57520900</v>
      </c>
      <c r="FJ11" s="176" t="n"/>
      <c r="FK11" s="185" t="inlineStr">
        <is>
          <t>2026-08-05</t>
        </is>
      </c>
      <c r="FL11" s="178" t="n">
        <v>12541900</v>
      </c>
      <c r="FM11" s="176" t="n">
        <v>0.218</v>
      </c>
      <c r="FN11" s="176" t="n">
        <v>0.076241</v>
      </c>
      <c r="FO11" s="176" t="n">
        <v>0.086439</v>
      </c>
      <c r="FP11" s="176" t="n">
        <v>0.457967</v>
      </c>
      <c r="FQ11" s="176" t="n">
        <v>0.011259</v>
      </c>
      <c r="FR11" s="179" t="n">
        <v>0.9846</v>
      </c>
      <c r="FS11" s="176" t="n">
        <v>-0.060316</v>
      </c>
      <c r="FT11" s="179" t="n">
        <v>0.8713</v>
      </c>
      <c r="FU11" s="176" t="n"/>
      <c r="FV11" s="179" t="n"/>
      <c r="FW11" s="179" t="n"/>
      <c r="FX11" s="178" t="n"/>
      <c r="FY11" s="186" t="n"/>
      <c r="FZ11" s="183" t="n"/>
      <c r="GA11" s="176" t="n"/>
      <c r="GB11" s="176" t="n"/>
      <c r="GC11" s="185" t="inlineStr">
        <is>
          <t>2027-01-10</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inlineStr">
        <is>
          <t>NaN</t>
        </is>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Zhongtai International Securities Limited</t>
        </is>
      </c>
      <c r="FG12" s="185" t="n"/>
      <c r="FH12" s="183" t="n"/>
      <c r="FI12" s="178" t="n"/>
      <c r="FJ12" s="176" t="n"/>
      <c r="FK12" s="185" t="n"/>
      <c r="FL12" s="178" t="n">
        <v>0</v>
      </c>
      <c r="FM12" s="176" t="n">
        <v>0</v>
      </c>
      <c r="FN12" s="176" t="n"/>
      <c r="FO12" s="176" t="n"/>
      <c r="FP12" s="176" t="n"/>
      <c r="FQ12" s="176" t="n">
        <v>0.022857</v>
      </c>
      <c r="FR12" s="179" t="n">
        <v>0.9959</v>
      </c>
      <c r="FS12" s="176" t="n">
        <v>2.292857</v>
      </c>
      <c r="FT12" s="179" t="n">
        <v>3.0533</v>
      </c>
      <c r="FU12" s="176" t="n"/>
      <c r="FV12" s="179" t="n"/>
      <c r="FW12" s="179" t="n"/>
      <c r="FX12" s="178" t="n"/>
      <c r="FY12" s="186" t="n"/>
      <c r="FZ12" s="183" t="n"/>
      <c r="GA12" s="176" t="n"/>
      <c r="GB12" s="176" t="n"/>
      <c r="GC12" s="185" t="inlineStr">
        <is>
          <t>2027-01-10</t>
        </is>
      </c>
      <c r="GD12" s="185" t="inlineStr">
        <is>
          <t>2027-07-10</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inlineStr">
        <is>
          <t>NaN</t>
        </is>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Hong Kong Securities Limited</t>
        </is>
      </c>
      <c r="FG13" s="185" t="inlineStr">
        <is>
          <t>2026-08-05</t>
        </is>
      </c>
      <c r="FH13" s="183" t="n">
        <v>0</v>
      </c>
      <c r="FI13" s="178" t="n">
        <v>3454700</v>
      </c>
      <c r="FJ13" s="176" t="n">
        <v>0.15</v>
      </c>
      <c r="FK13" s="185" t="inlineStr">
        <is>
          <t>2026-08-05</t>
        </is>
      </c>
      <c r="FL13" s="178" t="n">
        <v>3454700</v>
      </c>
      <c r="FM13" s="176" t="n">
        <v>1</v>
      </c>
      <c r="FN13" s="176" t="n">
        <v>0.249766</v>
      </c>
      <c r="FO13" s="176" t="n">
        <v>-0.251804</v>
      </c>
      <c r="FP13" s="176" t="n">
        <v>0.5162369999999999</v>
      </c>
      <c r="FQ13" s="176" t="n">
        <v>0.114664</v>
      </c>
      <c r="FR13" s="179" t="n">
        <v>1.0853</v>
      </c>
      <c r="FS13" s="176" t="n">
        <v>0.582915</v>
      </c>
      <c r="FT13" s="179" t="n">
        <v>1.4677</v>
      </c>
      <c r="FU13" s="176" t="n"/>
      <c r="FV13" s="179" t="n"/>
      <c r="FW13" s="179" t="n"/>
      <c r="FX13" s="178" t="n"/>
      <c r="FY13" s="186" t="n"/>
      <c r="FZ13" s="183" t="n"/>
      <c r="GA13" s="176" t="n"/>
      <c r="GB13" s="176" t="n"/>
      <c r="GC13" s="185" t="inlineStr">
        <is>
          <t>2027-01-10</t>
        </is>
      </c>
      <c r="GD13" s="185" t="inlineStr">
        <is>
          <t>2027-07-10</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21826964000</v>
      </c>
      <c r="AA14" s="137" t="n">
        <v>23915804000</v>
      </c>
      <c r="AB14" s="137" t="n">
        <v>26506089000</v>
      </c>
      <c r="AC14" s="137" t="n">
        <v>18239100000</v>
      </c>
      <c r="AD14" s="137" t="n">
        <v>19871768000</v>
      </c>
      <c r="AE14" s="137" t="n">
        <v>21663042000</v>
      </c>
      <c r="AF14" s="137" t="n">
        <v>3587864000</v>
      </c>
      <c r="AG14" s="137" t="n">
        <v>4044036000</v>
      </c>
      <c r="AH14" s="137" t="n">
        <v>4843047000</v>
      </c>
      <c r="AI14" s="137" t="n">
        <v>5681529000</v>
      </c>
      <c r="AJ14" s="137" t="n">
        <v>7266133000</v>
      </c>
      <c r="AK14" s="137" t="n">
        <v>8868527000</v>
      </c>
      <c r="AL14" s="137" t="n">
        <v>1782848000</v>
      </c>
      <c r="AM14" s="137" t="n">
        <v>2518943000</v>
      </c>
      <c r="AN14" s="137" t="n">
        <v>3008176000</v>
      </c>
      <c r="AO14" s="137" t="n">
        <v>1583151000</v>
      </c>
      <c r="AP14" s="137" t="n">
        <v>2190233000</v>
      </c>
      <c r="AQ14" s="137" t="n">
        <v>2616980000</v>
      </c>
      <c r="AR14" s="142" t="n">
        <v>0.008</v>
      </c>
      <c r="AS14" s="142" t="n">
        <v>0.008</v>
      </c>
      <c r="AT14" s="84" t="n">
        <v>0.15</v>
      </c>
      <c r="AU14" s="51" t="inlineStr">
        <is>
          <t>Electronic ceramic materials and components</t>
        </is>
      </c>
      <c r="AV14" s="51" t="inlineStr">
        <is>
          <t>Main Board</t>
        </is>
      </c>
      <c r="AW14" s="136" t="n">
        <v>46022</v>
      </c>
      <c r="AX14" s="137" t="n">
        <v>2877609000</v>
      </c>
      <c r="AY14" s="117" t="n">
        <v>2285396000</v>
      </c>
      <c r="AZ14" s="117" t="n">
        <v>653437000</v>
      </c>
      <c r="BA14" s="117" t="n">
        <v>0</v>
      </c>
      <c r="BB14" s="138" t="n">
        <v>0.152</v>
      </c>
      <c r="BC14" s="139" t="n">
        <v>1</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Individual (natural person)</t>
        </is>
      </c>
      <c r="BP14" s="135" t="n">
        <v>0.3516</v>
      </c>
      <c r="BQ14" s="135" t="n">
        <v>0.3516</v>
      </c>
      <c r="BR14" s="137" t="n">
        <v>586438000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v>1000</v>
      </c>
      <c r="CH14" s="60" t="inlineStr">
        <is>
          <t>IFRS Accounting Standards</t>
        </is>
      </c>
      <c r="CI14" s="141" t="n">
        <v>44927</v>
      </c>
      <c r="CJ14" s="141" t="n">
        <v>45291</v>
      </c>
      <c r="CK14" s="141" t="n">
        <v>45292</v>
      </c>
      <c r="CL14" s="141" t="n">
        <v>45657</v>
      </c>
      <c r="CM14" s="141" t="n">
        <v>45658</v>
      </c>
      <c r="CN14" s="64" t="n">
        <v>8868527000</v>
      </c>
      <c r="CO14" s="64" t="n">
        <v>3008176000</v>
      </c>
      <c r="CP14" s="64" t="n">
        <v>2616980000</v>
      </c>
      <c r="CQ14" s="141" t="n">
        <v>46203</v>
      </c>
      <c r="CR14" s="141" t="n">
        <v>46209</v>
      </c>
      <c r="CS14" s="63" t="n">
        <v>71364300</v>
      </c>
      <c r="CT14" s="64" t="n">
        <v>3542782000</v>
      </c>
      <c r="CU14" s="64" t="n">
        <v>578546000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v>10704600</v>
      </c>
      <c r="FJ14" s="176" t="n"/>
      <c r="FK14" s="185" t="n"/>
      <c r="FL14" s="178" t="n">
        <v>8856900</v>
      </c>
      <c r="FM14" s="176" t="n">
        <v>0.8273999999999999</v>
      </c>
      <c r="FN14" s="176" t="n"/>
      <c r="FO14" s="176" t="n"/>
      <c r="FP14" s="176" t="n"/>
      <c r="FQ14" s="176" t="n">
        <v>-0.017143</v>
      </c>
      <c r="FR14" s="179" t="n">
        <v>0.9569</v>
      </c>
      <c r="FS14" s="176" t="n">
        <v>0.057143</v>
      </c>
      <c r="FT14" s="179" t="n">
        <v>0.9802</v>
      </c>
      <c r="FU14" s="176" t="n"/>
      <c r="FV14" s="179" t="n"/>
      <c r="FW14" s="179" t="n"/>
      <c r="FX14" s="178" t="n"/>
      <c r="FY14" s="186" t="n"/>
      <c r="FZ14" s="183" t="n"/>
      <c r="GA14" s="176" t="n"/>
      <c r="GB14" s="176" t="n"/>
      <c r="GC14" s="185" t="inlineStr">
        <is>
          <t>2027-01-10</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48156278000</v>
      </c>
      <c r="AA15" s="137" t="n">
        <v>50398582000</v>
      </c>
      <c r="AB15" s="137" t="n">
        <v>53297969000</v>
      </c>
      <c r="AC15" s="137" t="n">
        <v>22138164000</v>
      </c>
      <c r="AD15" s="137" t="n">
        <v>26088968000</v>
      </c>
      <c r="AE15" s="137" t="n">
        <v>28087689000</v>
      </c>
      <c r="AF15" s="137" t="n">
        <v>26018114000</v>
      </c>
      <c r="AG15" s="137" t="n">
        <v>24309614000</v>
      </c>
      <c r="AH15" s="137" t="n">
        <v>25210280000</v>
      </c>
      <c r="AI15" s="137" t="n">
        <v>7182744000</v>
      </c>
      <c r="AJ15" s="137" t="n">
        <v>9119580000</v>
      </c>
      <c r="AK15" s="137" t="n">
        <v>10388302000</v>
      </c>
      <c r="AL15" s="137" t="n">
        <v>119341000</v>
      </c>
      <c r="AM15" s="137" t="n">
        <v>482460000</v>
      </c>
      <c r="AN15" s="137" t="n">
        <v>466694000</v>
      </c>
      <c r="AO15" s="137" t="n">
        <v>119165000</v>
      </c>
      <c r="AP15" s="137" t="n">
        <v>482197000</v>
      </c>
      <c r="AQ15" s="137" t="n">
        <v>466498000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46022</v>
      </c>
      <c r="AX15" s="137" t="n">
        <v>3842920000</v>
      </c>
      <c r="AY15" s="117" t="n">
        <v>2276620000</v>
      </c>
      <c r="AZ15" s="117" t="n">
        <v>1453400000</v>
      </c>
      <c r="BA15" s="117" t="n">
        <v>0</v>
      </c>
      <c r="BB15" s="138" t="n">
        <v>0.579</v>
      </c>
      <c r="BC15" s="139" t="n">
        <v>1</v>
      </c>
      <c r="BD15" s="80" t="n">
        <v>1</v>
      </c>
      <c r="BE15" s="161" t="inlineStr">
        <is>
          <t>NaN</t>
        </is>
      </c>
      <c r="BF15" s="161" t="n">
        <v>1</v>
      </c>
      <c r="BG15" s="161" t="n">
        <v>1</v>
      </c>
      <c r="BH15" s="161" t="n">
        <v>1</v>
      </c>
      <c r="BI15" s="161" t="inlineStr">
        <is>
          <t>NaN</t>
        </is>
      </c>
      <c r="BJ15" s="162" t="inlineStr">
        <is>
          <t>Hefei Xinping; PIHC; Huaqin Technology; Hefei Qinhe</t>
        </is>
      </c>
      <c r="BK15" s="163" t="inlineStr">
        <is>
          <t>NaN</t>
        </is>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21508961000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v>1000</v>
      </c>
      <c r="CH15" s="60" t="inlineStr">
        <is>
          <t>IFRS Accounting Standards</t>
        </is>
      </c>
      <c r="CI15" s="141" t="n">
        <v>44927</v>
      </c>
      <c r="CJ15" s="141" t="n">
        <v>45291</v>
      </c>
      <c r="CK15" s="141" t="n">
        <v>45292</v>
      </c>
      <c r="CL15" s="141" t="n">
        <v>45657</v>
      </c>
      <c r="CM15" s="141" t="n">
        <v>45658</v>
      </c>
      <c r="CN15" s="64" t="n">
        <v>10388302000</v>
      </c>
      <c r="CO15" s="64" t="n">
        <v>466694000</v>
      </c>
      <c r="CP15" s="64" t="n">
        <v>466498000</v>
      </c>
      <c r="CQ15" s="141" t="n">
        <v>46203</v>
      </c>
      <c r="CR15" s="141" t="n">
        <v>46210</v>
      </c>
      <c r="CS15" s="63" t="n">
        <v>216167000</v>
      </c>
      <c r="CT15" s="64" t="n">
        <v>2358065000</v>
      </c>
      <c r="CU15" s="64" t="n">
        <v>9303151000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Hong Kong Securities Limited</t>
        </is>
      </c>
      <c r="FG15" s="185" t="inlineStr">
        <is>
          <t>2026-08-06</t>
        </is>
      </c>
      <c r="FH15" s="183" t="n"/>
      <c r="FI15" s="178" t="n">
        <v>32425000</v>
      </c>
      <c r="FJ15" s="176" t="n"/>
      <c r="FK15" s="185" t="inlineStr">
        <is>
          <t>2026-08-06</t>
        </is>
      </c>
      <c r="FL15" s="178" t="n">
        <v>10886900</v>
      </c>
      <c r="FM15" s="176" t="n">
        <v>0.3358</v>
      </c>
      <c r="FN15" s="176" t="n">
        <v>0.216023</v>
      </c>
      <c r="FO15" s="176" t="n">
        <v>-0.110063</v>
      </c>
      <c r="FP15" s="176" t="n">
        <v>0.204679</v>
      </c>
      <c r="FQ15" s="176" t="n">
        <v>-0.042724</v>
      </c>
      <c r="FR15" s="179" t="n">
        <v>0.9254</v>
      </c>
      <c r="FS15" s="176" t="n">
        <v>-0.01548</v>
      </c>
      <c r="FT15" s="179" t="n">
        <v>0.9323</v>
      </c>
      <c r="FU15" s="176" t="n"/>
      <c r="FV15" s="179" t="n"/>
      <c r="FW15" s="179" t="n"/>
      <c r="FX15" s="178" t="n"/>
      <c r="FY15" s="186" t="n"/>
      <c r="FZ15" s="183" t="n"/>
      <c r="GA15" s="176" t="n"/>
      <c r="GB15" s="176" t="n"/>
      <c r="GC15" s="185" t="inlineStr">
        <is>
          <t>2027-01-11</t>
        </is>
      </c>
      <c r="GD15" s="185" t="inlineStr">
        <is>
          <t>2027-07-11</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21134389000</v>
      </c>
      <c r="AA16" s="137" t="n">
        <v>22956459000</v>
      </c>
      <c r="AB16" s="137" t="n">
        <v>24259291000</v>
      </c>
      <c r="AC16" s="137" t="n">
        <v>11524020000</v>
      </c>
      <c r="AD16" s="137" t="n">
        <v>11382714000</v>
      </c>
      <c r="AE16" s="137" t="n">
        <v>12152769000</v>
      </c>
      <c r="AF16" s="137" t="n">
        <v>9610369000</v>
      </c>
      <c r="AG16" s="137" t="n">
        <v>11573745000</v>
      </c>
      <c r="AH16" s="137" t="n">
        <v>12106522000</v>
      </c>
      <c r="AI16" s="137" t="n">
        <v>7305904000</v>
      </c>
      <c r="AJ16" s="137" t="n">
        <v>10228062000</v>
      </c>
      <c r="AK16" s="137" t="n">
        <v>14836442000</v>
      </c>
      <c r="AL16" s="137" t="n">
        <v>484154000</v>
      </c>
      <c r="AM16" s="137" t="n">
        <v>121427000</v>
      </c>
      <c r="AN16" s="137" t="n">
        <v>355662000</v>
      </c>
      <c r="AO16" s="137" t="n">
        <v>398904000</v>
      </c>
      <c r="AP16" s="137" t="n">
        <v>217255000</v>
      </c>
      <c r="AQ16" s="137" t="n">
        <v>235492000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46022</v>
      </c>
      <c r="AX16" s="137" t="n">
        <v>2865408000</v>
      </c>
      <c r="AY16" s="117" t="n">
        <v>1701588000</v>
      </c>
      <c r="AZ16" s="117" t="n">
        <v>173193000</v>
      </c>
      <c r="BA16" s="117" t="n">
        <v>0</v>
      </c>
      <c r="BB16" s="138" t="n">
        <v>0.213</v>
      </c>
      <c r="BC16" s="139" t="n">
        <v>1</v>
      </c>
      <c r="BD16" s="80" t="inlineStr">
        <is>
          <t>NaN</t>
        </is>
      </c>
      <c r="BE16" s="161" t="inlineStr">
        <is>
          <t>NaN</t>
        </is>
      </c>
      <c r="BF16" s="161" t="inlineStr">
        <is>
          <t>NaN</t>
        </is>
      </c>
      <c r="BG16" s="161" t="inlineStr">
        <is>
          <t>NaN</t>
        </is>
      </c>
      <c r="BH16" s="161" t="inlineStr">
        <is>
          <t>NaN</t>
        </is>
      </c>
      <c r="BI16" s="161" t="inlineStr">
        <is>
          <t>NaN</t>
        </is>
      </c>
      <c r="BJ16" s="162" t="inlineStr">
        <is>
          <t>NA</t>
        </is>
      </c>
      <c r="BK16" s="163" t="inlineStr">
        <is>
          <t>NaN</t>
        </is>
      </c>
      <c r="BL16" s="161" t="inlineStr">
        <is>
          <t>NaN</t>
        </is>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9317372000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v>1000</v>
      </c>
      <c r="CH16" s="60" t="inlineStr">
        <is>
          <t>IFRS Accounting Standards</t>
        </is>
      </c>
      <c r="CI16" s="141" t="n">
        <v>44927</v>
      </c>
      <c r="CJ16" s="141" t="n">
        <v>45291</v>
      </c>
      <c r="CK16" s="141" t="n">
        <v>45292</v>
      </c>
      <c r="CL16" s="141" t="n">
        <v>45657</v>
      </c>
      <c r="CM16" s="141" t="n">
        <v>45658</v>
      </c>
      <c r="CN16" s="64" t="n">
        <v>14836442000</v>
      </c>
      <c r="CO16" s="64" t="n">
        <v>355662000</v>
      </c>
      <c r="CP16" s="64" t="n">
        <v>235492000</v>
      </c>
      <c r="CQ16" s="141" t="n">
        <v>46203</v>
      </c>
      <c r="CR16" s="141" t="n">
        <v>46210</v>
      </c>
      <c r="CS16" s="63" t="n">
        <v>352126000</v>
      </c>
      <c r="CT16" s="64" t="n">
        <v>1455575000</v>
      </c>
      <c r="CU16" s="64" t="n">
        <v>828964000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inlineStr">
        <is>
          <t>2026-07-10</t>
        </is>
      </c>
      <c r="FL16" s="178" t="n"/>
      <c r="FM16" s="176" t="n"/>
      <c r="FN16" s="176" t="n"/>
      <c r="FO16" s="176" t="n"/>
      <c r="FP16" s="176" t="n"/>
      <c r="FQ16" s="176" t="n">
        <v>0.07420499999999999</v>
      </c>
      <c r="FR16" s="179" t="n">
        <v>1.0384</v>
      </c>
      <c r="FS16" s="176" t="n">
        <v>0.222615</v>
      </c>
      <c r="FT16" s="179" t="n">
        <v>1.1577</v>
      </c>
      <c r="FU16" s="176" t="n"/>
      <c r="FV16" s="179" t="n"/>
      <c r="FW16" s="179" t="n"/>
      <c r="FX16" s="178" t="n"/>
      <c r="FY16" s="186" t="n"/>
      <c r="FZ16" s="183" t="n"/>
      <c r="GA16" s="176" t="n"/>
      <c r="GB16" s="176" t="n"/>
      <c r="GC16" s="185" t="n"/>
      <c r="GD16" s="185" t="n"/>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0.25</v>
      </c>
      <c r="BD17" s="80" t="inlineStr">
        <is>
          <t>NaN</t>
        </is>
      </c>
      <c r="BE17" s="161" t="inlineStr">
        <is>
          <t>NaN</t>
        </is>
      </c>
      <c r="BF17" s="161" t="inlineStr">
        <is>
          <t>NaN</t>
        </is>
      </c>
      <c r="BG17" s="161" t="inlineStr">
        <is>
          <t>NaN</t>
        </is>
      </c>
      <c r="BH17" s="161" t="inlineStr">
        <is>
          <t>NaN</t>
        </is>
      </c>
      <c r="BI17" s="161" t="inlineStr">
        <is>
          <t>NaN</t>
        </is>
      </c>
      <c r="BJ17" s="162" t="inlineStr">
        <is>
          <t>Google Capital (Hong Kong) Limited</t>
        </is>
      </c>
      <c r="BK17" s="163" t="inlineStr">
        <is>
          <t>NaN</t>
        </is>
      </c>
      <c r="BL17" s="161" t="inlineStr">
        <is>
          <t>NaN</t>
        </is>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45292</v>
      </c>
      <c r="CJ17" s="141" t="n">
        <v>45657</v>
      </c>
      <c r="CK17" s="141" t="n">
        <v>45658</v>
      </c>
      <c r="CL17" s="141" t="n">
        <v>46022</v>
      </c>
      <c r="CM17" s="141" t="n">
        <v>46023</v>
      </c>
      <c r="CN17" s="64" t="n">
        <v>19496398000</v>
      </c>
      <c r="CO17" s="64" t="n">
        <v>7535802000</v>
      </c>
      <c r="CP17" s="64" t="n">
        <v>6316792000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960</v>
      </c>
      <c r="DX17" s="169" t="n">
        <v>-0.020408</v>
      </c>
      <c r="DY17" s="172" t="n">
        <v>-1090000000</v>
      </c>
      <c r="DZ17" s="146" t="n">
        <v>971</v>
      </c>
      <c r="EA17" s="146" t="n">
        <v>973</v>
      </c>
      <c r="EB17" s="146" t="n">
        <v>880</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0.035796</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Goldman Sachs (Asia) L.L.C.</t>
        </is>
      </c>
      <c r="FG17" s="185" t="inlineStr">
        <is>
          <t>2026-08-26</t>
        </is>
      </c>
      <c r="FH17" s="183" t="n"/>
      <c r="FI17" s="178" t="n">
        <v>8175000</v>
      </c>
      <c r="FJ17" s="176" t="n">
        <v>0.06</v>
      </c>
      <c r="FK17" s="185" t="inlineStr">
        <is>
          <t>2026-08-26</t>
        </is>
      </c>
      <c r="FL17" s="178" t="n">
        <v>8175000</v>
      </c>
      <c r="FM17" s="176" t="n">
        <v>1</v>
      </c>
      <c r="FN17" s="176" t="n">
        <v>-0.094665</v>
      </c>
      <c r="FO17" s="176" t="n">
        <v>0.174019</v>
      </c>
      <c r="FP17" s="176" t="n">
        <v>0.734383</v>
      </c>
      <c r="FQ17" s="176" t="n">
        <v>0.162735</v>
      </c>
      <c r="FR17" s="179" t="n">
        <v>1.1602</v>
      </c>
      <c r="FS17" s="176" t="n">
        <v>0.057375</v>
      </c>
      <c r="FT17" s="179" t="n">
        <v>1.0659</v>
      </c>
      <c r="FU17" s="176" t="n"/>
      <c r="FV17" s="179" t="n"/>
      <c r="FW17" s="179" t="n"/>
      <c r="FX17" s="178" t="n"/>
      <c r="FY17" s="186" t="n"/>
      <c r="FZ17" s="183" t="n"/>
      <c r="GA17" s="176" t="n"/>
      <c r="GB17" s="176" t="n"/>
      <c r="GC17" s="185" t="inlineStr">
        <is>
          <t>2027-01-31</t>
        </is>
      </c>
      <c r="GD17" s="185" t="n"/>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0.25</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45292</v>
      </c>
      <c r="CJ18" s="141" t="n">
        <v>45657</v>
      </c>
      <c r="CK18" s="141" t="n">
        <v>45658</v>
      </c>
      <c r="CL18" s="141" t="n">
        <v>46022</v>
      </c>
      <c r="CM18" s="141" t="n">
        <v>46023</v>
      </c>
      <c r="CN18" s="64" t="n">
        <v>150816000</v>
      </c>
      <c r="CO18" s="64" t="n">
        <v>-54882000</v>
      </c>
      <c r="CP18" s="64" t="n">
        <v>-54882000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inlineStr">
        <is>
          <t>2026-08-07</t>
        </is>
      </c>
      <c r="FL18" s="178" t="n">
        <v>0</v>
      </c>
      <c r="FM18" s="176" t="n">
        <v>0</v>
      </c>
      <c r="FN18" s="176" t="n"/>
      <c r="FO18" s="176" t="n"/>
      <c r="FP18" s="176" t="n"/>
      <c r="FQ18" s="176" t="n">
        <v>-0.064327</v>
      </c>
      <c r="FR18" s="179" t="n">
        <v>0.9457</v>
      </c>
      <c r="FS18" s="176" t="n">
        <v>-0.134503</v>
      </c>
      <c r="FT18" s="179" t="n">
        <v>0.8811</v>
      </c>
      <c r="FU18" s="176" t="n"/>
      <c r="FV18" s="179" t="n"/>
      <c r="FW18" s="179" t="n"/>
      <c r="FX18" s="178" t="n"/>
      <c r="FY18" s="186" t="n"/>
      <c r="FZ18" s="183" t="n"/>
      <c r="GA18" s="176" t="n"/>
      <c r="GB18" s="176" t="n"/>
      <c r="GC18" s="185" t="inlineStr">
        <is>
          <t>2027-02-08</t>
        </is>
      </c>
      <c r="GD18" s="185" t="n"/>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0.25</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45292</v>
      </c>
      <c r="CJ19" s="141" t="n">
        <v>45657</v>
      </c>
      <c r="CK19" s="141" t="n">
        <v>45658</v>
      </c>
      <c r="CL19" s="141" t="n">
        <v>46022</v>
      </c>
      <c r="CM19" s="141" t="n">
        <v>46023</v>
      </c>
      <c r="CN19" s="64" t="n">
        <v>1559767000</v>
      </c>
      <c r="CO19" s="64" t="n">
        <v>363512000</v>
      </c>
      <c r="CP19" s="64" t="n">
        <v>320348000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Guotai Junan Securities (Hong Kong) Limited</t>
        </is>
      </c>
      <c r="FG19" s="185" t="n"/>
      <c r="FH19" s="183" t="n"/>
      <c r="FI19" s="178" t="n"/>
      <c r="FJ19" s="176" t="n"/>
      <c r="FK19" s="185" t="inlineStr">
        <is>
          <t>2026-08-25</t>
        </is>
      </c>
      <c r="FL19" s="178" t="n">
        <v>0</v>
      </c>
      <c r="FM19" s="176" t="n">
        <v>0</v>
      </c>
      <c r="FN19" s="176" t="n"/>
      <c r="FO19" s="176" t="n"/>
      <c r="FP19" s="176" t="n"/>
      <c r="FQ19" s="176" t="n">
        <v>0.015</v>
      </c>
      <c r="FR19" s="179" t="n">
        <v>1.0128</v>
      </c>
      <c r="FS19" s="176" t="n">
        <v>0.046</v>
      </c>
      <c r="FT19" s="179" t="n">
        <v>1.0656</v>
      </c>
      <c r="FU19" s="176" t="n"/>
      <c r="FV19" s="179" t="n"/>
      <c r="FW19" s="179" t="n"/>
      <c r="FX19" s="178" t="n"/>
      <c r="FY19" s="186" t="n"/>
      <c r="FZ19" s="183" t="n"/>
      <c r="GA19" s="176" t="n"/>
      <c r="GB19" s="176" t="n"/>
      <c r="GC19" s="185" t="n"/>
      <c r="GD19" s="185" t="n"/>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0.25</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45292</v>
      </c>
      <c r="CJ20" s="141" t="n">
        <v>45657</v>
      </c>
      <c r="CK20" s="141" t="n">
        <v>45658</v>
      </c>
      <c r="CL20" s="141" t="n">
        <v>46022</v>
      </c>
      <c r="CM20" s="141" t="n">
        <v>46023</v>
      </c>
      <c r="CN20" s="64" t="n">
        <v>9052000000</v>
      </c>
      <c r="CO20" s="64" t="n">
        <v>-20000000</v>
      </c>
      <c r="CP20" s="64" t="n">
        <v>-99000000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v>35.28</v>
      </c>
      <c r="EK20" s="176" t="n">
        <v>-0.272577</v>
      </c>
      <c r="EL20" s="176" t="n">
        <v>-0.273476</v>
      </c>
      <c r="EM20" s="176" t="n">
        <v>-0.027131</v>
      </c>
      <c r="EN20" s="176" t="n">
        <v>-0.056007</v>
      </c>
      <c r="EO20" s="179" t="n">
        <v>0.7477</v>
      </c>
      <c r="EP20" s="179" t="n">
        <v>0.7706</v>
      </c>
      <c r="EQ20" s="178" t="n">
        <v>238668213.5</v>
      </c>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v>0</v>
      </c>
      <c r="FM20" s="176" t="n">
        <v>0</v>
      </c>
      <c r="FN20" s="176" t="n"/>
      <c r="FO20" s="176" t="n"/>
      <c r="FP20" s="176" t="n"/>
      <c r="FQ20" s="176" t="n">
        <v>-0.188866</v>
      </c>
      <c r="FR20" s="179" t="n">
        <v>0.8085</v>
      </c>
      <c r="FS20" s="176" t="n">
        <v>-0.272577</v>
      </c>
      <c r="FT20" s="179" t="n"/>
      <c r="FU20" s="176" t="n"/>
      <c r="FV20" s="179" t="n"/>
      <c r="FW20" s="179" t="n"/>
      <c r="FX20" s="178" t="n"/>
      <c r="FY20" s="186" t="n"/>
      <c r="FZ20" s="183" t="n"/>
      <c r="GA20" s="176" t="n"/>
      <c r="GB20" s="176" t="n"/>
      <c r="GC20" s="185" t="inlineStr">
        <is>
          <t>2027-03-02</t>
        </is>
      </c>
      <c r="GD20" s="185" t="inlineStr">
        <is>
          <t>2027-09-02</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0.25</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45292</v>
      </c>
      <c r="CJ21" s="141" t="n">
        <v>45657</v>
      </c>
      <c r="CK21" s="141" t="n">
        <v>45658</v>
      </c>
      <c r="CL21" s="141" t="n">
        <v>46022</v>
      </c>
      <c r="CM21" s="141" t="n">
        <v>46023</v>
      </c>
      <c r="CN21" s="64" t="n">
        <v>106915000</v>
      </c>
      <c r="CO21" s="64" t="n">
        <v>-56376000</v>
      </c>
      <c r="CP21" s="64" t="n">
        <v>-56827000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v>79.5</v>
      </c>
      <c r="EK21" s="176" t="n">
        <v>-0.203407</v>
      </c>
      <c r="EL21" s="176" t="n">
        <v>-0.218289</v>
      </c>
      <c r="EM21" s="176" t="n">
        <v>-0.027131</v>
      </c>
      <c r="EN21" s="176" t="n">
        <v>-0.056007</v>
      </c>
      <c r="EO21" s="179" t="n">
        <v>0.8188</v>
      </c>
      <c r="EP21" s="179" t="n">
        <v>0.8439</v>
      </c>
      <c r="EQ21" s="178" t="n">
        <v>55375085</v>
      </c>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CLSA Limited</t>
        </is>
      </c>
      <c r="FG21" s="185" t="n"/>
      <c r="FH21" s="183" t="n"/>
      <c r="FI21" s="178" t="n"/>
      <c r="FJ21" s="176" t="n">
        <v>0.2</v>
      </c>
      <c r="FK21" s="185" t="inlineStr">
        <is>
          <t>2026-08-24</t>
        </is>
      </c>
      <c r="FL21" s="178" t="n">
        <v>0</v>
      </c>
      <c r="FM21" s="176" t="n">
        <v>0</v>
      </c>
      <c r="FN21" s="176" t="n"/>
      <c r="FO21" s="176" t="n"/>
      <c r="FP21" s="176" t="n"/>
      <c r="FQ21" s="176" t="n">
        <v>-0.207916</v>
      </c>
      <c r="FR21" s="179" t="n">
        <v>0.7895</v>
      </c>
      <c r="FS21" s="176" t="n">
        <v>-0.203407</v>
      </c>
      <c r="FT21" s="179" t="n"/>
      <c r="FU21" s="176" t="n"/>
      <c r="FV21" s="179" t="n"/>
      <c r="FW21" s="179" t="n"/>
      <c r="FX21" s="178" t="n"/>
      <c r="FY21" s="186" t="n"/>
      <c r="FZ21" s="183" t="n"/>
      <c r="GA21" s="176" t="n"/>
      <c r="GB21" s="176" t="n"/>
      <c r="GC21" s="185" t="n"/>
      <c r="GD21" s="185" t="inlineStr">
        <is>
          <t>2027-09-02</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0.25</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45292</v>
      </c>
      <c r="CJ22" s="141" t="n">
        <v>45657</v>
      </c>
      <c r="CK22" s="141" t="n">
        <v>45658</v>
      </c>
      <c r="CL22" s="141" t="n">
        <v>46022</v>
      </c>
      <c r="CM22" s="141" t="n">
        <v>46023</v>
      </c>
      <c r="CN22" s="64" t="n">
        <v>422322000</v>
      </c>
      <c r="CO22" s="64" t="n">
        <v>3331000</v>
      </c>
      <c r="CP22" s="64" t="n">
        <v>-2527000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inlineStr">
        <is>
          <t>2026-09-07</t>
        </is>
      </c>
      <c r="FL22" s="178" t="n"/>
      <c r="FM22" s="176" t="n"/>
      <c r="FN22" s="176" t="n"/>
      <c r="FO22" s="176" t="n"/>
      <c r="FP22" s="176" t="n"/>
      <c r="FQ22" s="176" t="n">
        <v>-0.002273</v>
      </c>
      <c r="FR22" s="179" t="n">
        <v>1.0222</v>
      </c>
      <c r="FS22" s="176" t="n"/>
      <c r="FT22" s="179" t="n"/>
      <c r="FU22" s="176" t="n"/>
      <c r="FV22" s="179" t="n"/>
      <c r="FW22" s="179" t="n"/>
      <c r="FX22" s="178" t="n"/>
      <c r="FY22" s="186" t="n"/>
      <c r="FZ22" s="183" t="n"/>
      <c r="GA22" s="176" t="n"/>
      <c r="GB22" s="176" t="n"/>
      <c r="GC22" s="185" t="inlineStr">
        <is>
          <t>2027-03-08</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0.333333</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0.1675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45292</v>
      </c>
      <c r="CJ23" s="141" t="n">
        <v>45657</v>
      </c>
      <c r="CK23" s="141" t="n">
        <v>45658</v>
      </c>
      <c r="CL23" s="141" t="n">
        <v>46022</v>
      </c>
      <c r="CM23" s="141" t="n">
        <v>46023</v>
      </c>
      <c r="CN23" s="64" t="n">
        <v>14706621000</v>
      </c>
      <c r="CO23" s="64" t="n">
        <v>7725195000</v>
      </c>
      <c r="CP23" s="64" t="n">
        <v>6427163000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CLSA Limited</t>
        </is>
      </c>
      <c r="FG23" s="185" t="n"/>
      <c r="FH23" s="183" t="n"/>
      <c r="FI23" s="178" t="n"/>
      <c r="FJ23" s="176" t="n">
        <v>0.15</v>
      </c>
      <c r="FK23" s="185" t="inlineStr">
        <is>
          <t>2026-09-08</t>
        </is>
      </c>
      <c r="FL23" s="178" t="n"/>
      <c r="FM23" s="176" t="n">
        <v>1</v>
      </c>
      <c r="FN23" s="176" t="n"/>
      <c r="FO23" s="176" t="n"/>
      <c r="FP23" s="176" t="n"/>
      <c r="FQ23" s="176" t="n">
        <v>-0.200342</v>
      </c>
      <c r="FR23" s="179" t="n">
        <v>0.8125</v>
      </c>
      <c r="FS23" s="176" t="n"/>
      <c r="FT23" s="179" t="n"/>
      <c r="FU23" s="176" t="n"/>
      <c r="FV23" s="179" t="n"/>
      <c r="FW23" s="179" t="n"/>
      <c r="FX23" s="178" t="n"/>
      <c r="FY23" s="186" t="n"/>
      <c r="FZ23" s="183" t="n"/>
      <c r="GA23" s="176" t="n"/>
      <c r="GB23" s="176" t="n"/>
      <c r="GC23" s="185" t="inlineStr">
        <is>
          <t>2027-03-09</t>
        </is>
      </c>
      <c r="GD23" s="185" t="inlineStr">
        <is>
          <t>2027-09-09</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0.25</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45292</v>
      </c>
      <c r="CJ24" s="141" t="n">
        <v>45657</v>
      </c>
      <c r="CK24" s="141" t="n">
        <v>45658</v>
      </c>
      <c r="CL24" s="141" t="n">
        <v>46022</v>
      </c>
      <c r="CM24" s="141" t="n">
        <v>46023</v>
      </c>
      <c r="CN24" s="64" t="n">
        <v>76513000</v>
      </c>
      <c r="CO24" s="64" t="n">
        <v>-31233000</v>
      </c>
      <c r="CP24" s="64" t="n">
        <v>-31216000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v>0.05</v>
      </c>
      <c r="FK24" s="185" t="n"/>
      <c r="FL24" s="178" t="n">
        <v>0</v>
      </c>
      <c r="FM24" s="176" t="n">
        <v>0</v>
      </c>
      <c r="FN24" s="176" t="n"/>
      <c r="FO24" s="176" t="n"/>
      <c r="FP24" s="176" t="n"/>
      <c r="FQ24" s="176" t="n">
        <v>0.046892</v>
      </c>
      <c r="FR24" s="179" t="n">
        <v>1.0727</v>
      </c>
      <c r="FS24" s="176" t="n"/>
      <c r="FT24" s="179" t="n"/>
      <c r="FU24" s="176" t="n"/>
      <c r="FV24" s="179" t="n"/>
      <c r="FW24" s="179" t="n"/>
      <c r="FX24" s="178" t="n"/>
      <c r="FY24" s="186" t="n"/>
      <c r="FZ24" s="183" t="n"/>
      <c r="GA24" s="176" t="n"/>
      <c r="GB24" s="176" t="n"/>
      <c r="GC24" s="185" t="n"/>
      <c r="GD24" s="185" t="inlineStr">
        <is>
          <t>2027-09-10</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v>110</v>
      </c>
      <c r="B25" s="47" t="inlineStr">
        <is>
          <t>6727.HK</t>
        </is>
      </c>
      <c r="C25" s="44" t="inlineStr">
        <is>
          <t>Transwarp Technology (Shanghai) Co., Ltd - H Shares</t>
        </is>
      </c>
      <c r="D25" s="130" t="n">
        <v>46276</v>
      </c>
      <c r="E25" s="48" t="n">
        <v>46286</v>
      </c>
      <c r="F25" s="43" t="inlineStr">
        <is>
          <t>Haitong International Capital Limited</t>
        </is>
      </c>
      <c r="G25" s="43" t="inlineStr">
        <is>
          <t>Deloitte Touche Tohmatsu</t>
        </is>
      </c>
      <c r="H25" s="43" t="n"/>
      <c r="I25" s="131" t="n">
        <v>137307800</v>
      </c>
      <c r="J25" s="148" t="n">
        <v>549221400</v>
      </c>
      <c r="K25" s="133" t="n">
        <v>49</v>
      </c>
      <c r="L25" t="n">
        <v>135146716</v>
      </c>
      <c r="M25" s="67" t="n">
        <v>14010800</v>
      </c>
      <c r="N25" t="inlineStr">
        <is>
          <t>NaN</t>
        </is>
      </c>
      <c r="O25" t="inlineStr">
        <is>
          <t>NaN</t>
        </is>
      </c>
      <c r="P25" t="n">
        <v>0</v>
      </c>
      <c r="Q25" t="n">
        <v>14010800</v>
      </c>
      <c r="R25" s="67" t="n">
        <v>13310200</v>
      </c>
      <c r="S25" s="67" t="n">
        <v>700600</v>
      </c>
      <c r="T25" s="147" t="n">
        <v>61</v>
      </c>
      <c r="U25" s="147" t="n">
        <v>49</v>
      </c>
      <c r="V25" s="169" t="n">
        <v>-0.109091</v>
      </c>
      <c r="W25" s="169" t="n">
        <v>0.218182</v>
      </c>
      <c r="X25" s="170" t="inlineStr">
        <is>
          <t>At low</t>
        </is>
      </c>
      <c r="Y25" s="26" t="inlineStr">
        <is>
          <t>RMB</t>
        </is>
      </c>
      <c r="Z25" s="137" t="n">
        <v>1396259000</v>
      </c>
      <c r="AA25" s="137" t="n">
        <v>1178048000</v>
      </c>
      <c r="AB25" s="137" t="n">
        <v>1084165000</v>
      </c>
      <c r="AC25" s="137" t="n">
        <v>1094441000</v>
      </c>
      <c r="AD25" s="137" t="n">
        <v>862512000</v>
      </c>
      <c r="AE25" s="137" t="n">
        <v>806513000</v>
      </c>
      <c r="AF25" s="137" t="n">
        <v>301818000</v>
      </c>
      <c r="AG25" s="137" t="n">
        <v>315536000</v>
      </c>
      <c r="AH25" s="137" t="n">
        <v>277652000</v>
      </c>
      <c r="AI25" s="137" t="n">
        <v>370755000</v>
      </c>
      <c r="AJ25" s="137" t="n">
        <v>447069000</v>
      </c>
      <c r="AK25" s="137" t="n">
        <v>324968000</v>
      </c>
      <c r="AL25" s="137" t="n">
        <v>-344281000</v>
      </c>
      <c r="AM25" s="137" t="n">
        <v>-245156000</v>
      </c>
      <c r="AN25" s="137" t="n">
        <v>-223996000</v>
      </c>
      <c r="AO25" s="137" t="n">
        <v>-344281000</v>
      </c>
      <c r="AP25" s="137" t="n">
        <v>-245170000</v>
      </c>
      <c r="AQ25" s="137" t="n">
        <v>-223996000</v>
      </c>
      <c r="AR25" s="142" t="n">
        <v>0.0401</v>
      </c>
      <c r="AS25" s="142" t="n">
        <v>0.0401</v>
      </c>
      <c r="AT25" s="84" t="n">
        <v>0</v>
      </c>
      <c r="AU25" s="51" t="inlineStr">
        <is>
          <t>AI and big data infrastructure software and related services</t>
        </is>
      </c>
      <c r="AV25" s="51" t="inlineStr">
        <is>
          <t>Chapter 18C (Main Board, Specialist Technology Company - Commercial Company)</t>
        </is>
      </c>
      <c r="AW25" s="136" t="n">
        <v>46112</v>
      </c>
      <c r="AX25" s="137" t="n">
        <v>-59320000</v>
      </c>
      <c r="AY25" s="117" t="n">
        <v>242910000</v>
      </c>
      <c r="AZ25" s="117" t="n">
        <v>46160000</v>
      </c>
      <c r="BA25" s="117" t="n">
        <v>9588000</v>
      </c>
      <c r="BB25" s="138" t="n">
        <v>0.348</v>
      </c>
      <c r="BC25" s="139" t="n">
        <v>0.25</v>
      </c>
      <c r="BD25" s="80" t="n">
        <v>1</v>
      </c>
      <c r="BE25" s="161" t="n">
        <v>1</v>
      </c>
      <c r="BF25" s="161" t="n">
        <v>1</v>
      </c>
      <c r="BG25" s="161" t="n">
        <v>1</v>
      </c>
      <c r="BH25" s="161" t="n">
        <v>1</v>
      </c>
      <c r="BI25" s="161" t="inlineStr">
        <is>
          <t>NaN</t>
        </is>
      </c>
      <c r="BJ25" s="162" t="inlineStr">
        <is>
          <t>Linzhi Lichuang Information Technology Co., Ltd. (Tencent subsidiary); Industry Investment Fund Co. Ltd.; Shanghai Yunyou Investment Office; CICC; SCGC Capital; Jinhua Yanghang CoStone Equity Investment Partnership; Suzhou Fangguang Venture Capital Partnership; Suzhou Qiming Ronghe Venture Capital Partnership; Hubei Changjiang Hezhi Equity Investment Fund Partnership; Hundsun Technologies Inc.; Shenzhen TCL Strategic Equity Investment Fund Partnership</t>
        </is>
      </c>
      <c r="BK25" s="163" t="n">
        <v>0.1087</v>
      </c>
      <c r="BL25" s="161" t="inlineStr">
        <is>
          <t>NaN</t>
        </is>
      </c>
      <c r="BM25" s="164" t="inlineStr">
        <is>
          <t>Series A Financing</t>
        </is>
      </c>
      <c r="BN25" s="165" t="n">
        <v>12.2</v>
      </c>
      <c r="BO25" s="51" t="inlineStr">
        <is>
          <t>Individual/Founder (Mr. SUN Yuanhao with acting-in-concert group)</t>
        </is>
      </c>
      <c r="BP25" s="135" t="n">
        <v>0.201</v>
      </c>
      <c r="BQ25" s="135" t="n">
        <v>0.201</v>
      </c>
      <c r="BR25" s="137" t="n">
        <v>21764000</v>
      </c>
      <c r="BS25" s="51" t="inlineStr">
        <is>
          <t>Commercialized (Commercial Company under Chapter 18C)</t>
        </is>
      </c>
      <c r="BT25" s="142" t="n">
        <v>0</v>
      </c>
      <c r="BU25" s="60" t="inlineStr">
        <is>
          <t>Main Board</t>
        </is>
      </c>
      <c r="BV25" s="89" t="inlineStr">
        <is>
          <t>H Shares</t>
        </is>
      </c>
      <c r="BW25" s="61" t="n">
        <v>1</v>
      </c>
      <c r="BX25" s="77" t="n">
        <v>0</v>
      </c>
      <c r="BY25" s="77" t="n">
        <v>0</v>
      </c>
      <c r="BZ25" s="78" t="n">
        <v>1</v>
      </c>
      <c r="CA25" s="60" t="inlineStr">
        <is>
          <t>702030</t>
        </is>
      </c>
      <c r="CB25" s="76" t="inlineStr">
        <is>
          <t>HSICS (Hang Seng Industry Classification System) 2026</t>
        </is>
      </c>
      <c r="CC25" s="140" t="n">
        <v>41430</v>
      </c>
      <c r="CD25" s="171" t="n">
        <v>13.3</v>
      </c>
      <c r="CE25" s="76" t="inlineStr">
        <is>
          <t>PRC</t>
        </is>
      </c>
      <c r="CF25" s="89" t="inlineStr">
        <is>
          <t>Shanghai, PRC</t>
        </is>
      </c>
      <c r="CG25" s="91" t="n">
        <v>1000</v>
      </c>
      <c r="CH25" s="60" t="inlineStr">
        <is>
          <t>IFRS</t>
        </is>
      </c>
      <c r="CI25" s="141" t="n">
        <v>45292</v>
      </c>
      <c r="CJ25" s="141" t="n">
        <v>45657</v>
      </c>
      <c r="CK25" s="141" t="n">
        <v>45658</v>
      </c>
      <c r="CL25" s="141" t="n">
        <v>46022</v>
      </c>
      <c r="CM25" s="141" t="n">
        <v>46023</v>
      </c>
      <c r="CN25" s="64" t="n">
        <v>81242000</v>
      </c>
      <c r="CO25" s="64" t="n">
        <v>-55999000</v>
      </c>
      <c r="CP25" s="64" t="n">
        <v>-55999000</v>
      </c>
      <c r="CQ25" s="141" t="n">
        <v>46276</v>
      </c>
      <c r="CR25" s="141" t="n">
        <v>46281</v>
      </c>
      <c r="CS25" s="63" t="n">
        <v>14010800</v>
      </c>
      <c r="CT25" s="64" t="n">
        <v>33635000</v>
      </c>
      <c r="CU25" s="64" t="n">
        <v>7700000</v>
      </c>
      <c r="CV25" s="59" t="inlineStr">
        <is>
          <t>Unqualified (true and fair view)</t>
        </is>
      </c>
      <c r="CW25" s="64" t="n">
        <v>69700000</v>
      </c>
      <c r="CX25" s="51" t="inlineStr">
        <is>
          <t>Electronic Channel Limited; LUOYANG Sci-Tech Inv. (Luoyang Science Technology Innovate Group, Ltd.)</t>
        </is>
      </c>
      <c r="CY25" s="142" t="n">
        <v>0.1075</v>
      </c>
      <c r="CZ25" s="136" t="n">
        <v>46467</v>
      </c>
      <c r="DA25" s="143" t="n">
        <v>73.86</v>
      </c>
      <c r="DB25" s="63" t="n">
        <v>20485</v>
      </c>
      <c r="DC25" s="63" t="n">
        <v>51749500</v>
      </c>
      <c r="DD25" s="59" t="inlineStr">
        <is>
          <t>Subscription level 73.86 times</t>
        </is>
      </c>
      <c r="DE25" s="141" t="inlineStr">
        <is>
          <t>NA</t>
        </is>
      </c>
      <c r="DF25" s="141" t="n">
        <v>46283</v>
      </c>
      <c r="DG25" s="63" t="n">
        <v>14010800</v>
      </c>
      <c r="DH25" s="63" t="n">
        <v>2802200</v>
      </c>
      <c r="DI25" s="63" t="n">
        <v>11208600</v>
      </c>
      <c r="DJ25" s="63" t="inlineStr">
        <is>
          <t>NaN</t>
        </is>
      </c>
      <c r="DK25" s="169" t="n">
        <v>0</v>
      </c>
      <c r="DL25" s="59" t="inlineStr">
        <is>
          <t>2,101,600 Offer Shares reallocated from the International Offering to the Hong Kong Public Offering (initial 700,600 -&gt; final 2,802,200)</t>
        </is>
      </c>
      <c r="DM25" s="144" t="n">
        <v>629450000</v>
      </c>
      <c r="DN25" s="142" t="n">
        <v>0.1037</v>
      </c>
      <c r="DO25" s="51" t="n">
        <v>135146716</v>
      </c>
      <c r="DP25" s="142" t="n">
        <v>0.0925</v>
      </c>
      <c r="DQ25" s="59" t="inlineStr">
        <is>
          <t>Denominator = total issued share capital upon Listing (excluding treasury shares) = 135,146,716; free float excludes cornerstone H Shares under 6-month lock-up ending March 20, 2027</t>
        </is>
      </c>
      <c r="DR25" s="63" t="n">
        <v>135146716</v>
      </c>
      <c r="DS25" s="142" t="n">
        <v>-0.0174055</v>
      </c>
      <c r="DT25" s="80" t="n">
        <v>43</v>
      </c>
      <c r="DU25" s="142" t="n">
        <v>0.028775</v>
      </c>
      <c r="DV25" s="144" t="n">
        <v>54003000000</v>
      </c>
      <c r="DW25" s="145" t="n">
        <v>44.5</v>
      </c>
      <c r="DX25" s="169" t="n">
        <v>-0.091837</v>
      </c>
      <c r="DY25" s="172" t="n">
        <v>-63048600</v>
      </c>
      <c r="DZ25" s="146" t="n">
        <v>49</v>
      </c>
      <c r="EA25" s="146" t="n">
        <v>49.5</v>
      </c>
      <c r="EB25" s="146" t="n">
        <v>44.5</v>
      </c>
      <c r="EC25" s="63" t="n">
        <v>4851900</v>
      </c>
      <c r="ED25" s="169" t="n">
        <v>0.346297</v>
      </c>
      <c r="EE25" s="64" t="n"/>
      <c r="EF25" s="60" t="inlineStr">
        <is>
          <t>Mechanism A</t>
        </is>
      </c>
      <c r="EG25" s="59" t="inlineStr">
        <is>
          <t>FINI (from 22/11/2023); 2025-08-04 pricing reform (Mechanism A/B; six-month cornerstone lock-up retained); this IPO: Mechanism A</t>
        </is>
      </c>
      <c r="EH25" t="inlineStr">
        <is>
          <t>星环信息科技（上海）股份有限公司</t>
        </is>
      </c>
      <c r="EI25" s="174" t="inlineStr">
        <is>
          <t>Active</t>
        </is>
      </c>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inlineStr">
        <is>
          <t>18C (Specialist Tech)</t>
        </is>
      </c>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inlineStr">
        <is>
          <t>POST_FINI</t>
        </is>
      </c>
      <c r="GT25" s="181" t="inlineStr">
        <is>
          <t>POST_2025_REFORM</t>
        </is>
      </c>
    </row>
    <row r="26" ht="34" customFormat="1" customHeight="1" s="11">
      <c r="A26" s="43" t="n">
        <v>111</v>
      </c>
      <c r="B26" s="47" t="inlineStr">
        <is>
          <t>9856.HK</t>
        </is>
      </c>
      <c r="C26" s="44" t="inlineStr">
        <is>
          <t>Ligent Technologies, Inc.</t>
        </is>
      </c>
      <c r="D26" s="130" t="n">
        <v>46279</v>
      </c>
      <c r="E26" s="48" t="n">
        <v>46287</v>
      </c>
      <c r="F26" s="43" t="inlineStr">
        <is>
          <t>Citigroup Global Markets Asia Limited / 
CITIC Securities (Hong Kong) Limited</t>
        </is>
      </c>
      <c r="G26" s="43" t="inlineStr">
        <is>
          <t>Ernst &amp; Young</t>
        </is>
      </c>
      <c r="H26" s="43" t="n"/>
      <c r="I26" s="131" t="n">
        <v>566961440</v>
      </c>
      <c r="J26" s="148" t="n">
        <v>5102643072</v>
      </c>
      <c r="K26" s="133" t="n">
        <v>32.96</v>
      </c>
      <c r="L26" t="n">
        <v>172014700</v>
      </c>
      <c r="M26" s="67" t="n">
        <v>172014700</v>
      </c>
      <c r="N26" t="inlineStr">
        <is>
          <t>NaN</t>
        </is>
      </c>
      <c r="O26" t="inlineStr">
        <is>
          <t>NaN</t>
        </is>
      </c>
      <c r="P26" t="n">
        <v>0</v>
      </c>
      <c r="Q26" t="n">
        <v>172014700</v>
      </c>
      <c r="R26" s="67" t="n">
        <v>154813200</v>
      </c>
      <c r="S26" s="67" t="n">
        <v>17201500</v>
      </c>
      <c r="T26" s="147" t="n">
        <v>32.96</v>
      </c>
      <c r="U26" s="147" t="n">
        <v>32.96</v>
      </c>
      <c r="V26" s="169" t="n">
        <v>0</v>
      </c>
      <c r="W26" s="169" t="n">
        <v>0</v>
      </c>
      <c r="X26" s="170" t="inlineStr">
        <is>
          <t>Fixed price</t>
        </is>
      </c>
      <c r="Y26" s="26" t="inlineStr">
        <is>
          <t>RMB</t>
        </is>
      </c>
      <c r="Z26" s="137" t="n">
        <v>7759869000</v>
      </c>
      <c r="AA26" s="137" t="n">
        <v>7743144000</v>
      </c>
      <c r="AB26" s="137" t="n">
        <v>11009094000</v>
      </c>
      <c r="AC26" s="137" t="n">
        <v>1928276000</v>
      </c>
      <c r="AD26" s="137" t="n">
        <v>3757722000</v>
      </c>
      <c r="AE26" s="137" t="n">
        <v>4387859000</v>
      </c>
      <c r="AF26" s="137" t="n">
        <v>5831593000</v>
      </c>
      <c r="AG26" s="137" t="n">
        <v>3985422000</v>
      </c>
      <c r="AH26" s="137" t="n">
        <v>6621235000</v>
      </c>
      <c r="AI26" s="137" t="n">
        <v>5086600000</v>
      </c>
      <c r="AJ26" s="137" t="n">
        <v>8354680000</v>
      </c>
      <c r="AK26" s="137" t="n">
        <v>10785296000</v>
      </c>
      <c r="AL26" s="137" t="n">
        <v>98399000</v>
      </c>
      <c r="AM26" s="137" t="n">
        <v>921584000</v>
      </c>
      <c r="AN26" s="137" t="n">
        <v>1587864000</v>
      </c>
      <c r="AO26" s="137" t="n">
        <v>89490000</v>
      </c>
      <c r="AP26" s="137" t="n">
        <v>872640000</v>
      </c>
      <c r="AQ26" s="137" t="n">
        <v>1321982000</v>
      </c>
      <c r="AR26" s="142" t="n">
        <v>0.028</v>
      </c>
      <c r="AS26" s="142" t="n">
        <v>0.028</v>
      </c>
      <c r="AT26" s="84" t="n">
        <v>0.15</v>
      </c>
      <c r="AU26" s="51" t="inlineStr">
        <is>
          <t>Design, development, manufacture and sales of optical transceivers, optical chips and optical network terminals</t>
        </is>
      </c>
      <c r="AV26" s="51" t="inlineStr">
        <is>
          <t>Main Board of the Stock Exchange (Rule 8.05(3) market capitalization/revenue test)</t>
        </is>
      </c>
      <c r="AW26" s="136" t="n">
        <v>46203</v>
      </c>
      <c r="AX26" s="137" t="n">
        <v>-1256318000</v>
      </c>
      <c r="AY26" s="117" t="n">
        <v>1584152000</v>
      </c>
      <c r="AZ26" s="117" t="n">
        <v>319973000</v>
      </c>
      <c r="BA26" s="117" t="n">
        <v>0</v>
      </c>
      <c r="BB26" s="138" t="n">
        <v>0.718</v>
      </c>
      <c r="BC26" s="139" t="n">
        <v>0.5</v>
      </c>
      <c r="BD26" s="80" t="n">
        <v>1</v>
      </c>
      <c r="BE26" s="161" t="inlineStr">
        <is>
          <t>NaN</t>
        </is>
      </c>
      <c r="BF26" s="161" t="n">
        <v>1</v>
      </c>
      <c r="BG26" s="161" t="inlineStr">
        <is>
          <t>NaN</t>
        </is>
      </c>
      <c r="BH26" s="161" t="n">
        <v>1</v>
      </c>
      <c r="BI26" s="161" t="inlineStr">
        <is>
          <t>NaN</t>
        </is>
      </c>
      <c r="BJ26" s="162" t="inlineStr">
        <is>
          <t>TransLight;Global Optical;Archcom LLC;CKL;Xiamen Guojuxiang;Xiamen Advanced Manufacturing Fund;Xiamen TorchRunxin</t>
        </is>
      </c>
      <c r="BK26" s="163" t="n">
        <v>0.4727</v>
      </c>
      <c r="BL26" s="161" t="n">
        <v>1</v>
      </c>
      <c r="BM26" s="164" t="inlineStr">
        <is>
          <t>Initial/founding investment round by TransLight (February 20, 2009)</t>
        </is>
      </c>
      <c r="BN26" s="165" t="n">
        <v>17.6</v>
      </c>
      <c r="BO26" s="51" t="inlineStr">
        <is>
          <t>Corporate group controller (Hisense Group Holding)</t>
        </is>
      </c>
      <c r="BP26" s="135" t="n">
        <v>0.4011</v>
      </c>
      <c r="BQ26" s="135" t="n">
        <v>0.4011</v>
      </c>
      <c r="BR26" s="137" t="n">
        <v>1871082000</v>
      </c>
      <c r="BS26" s="51" t="inlineStr">
        <is>
          <t>Commercialised (mass production; 75mW CW-DFB laser chips commercialized in Q2 2025)</t>
        </is>
      </c>
      <c r="BT26" s="142" t="n">
        <v>0</v>
      </c>
      <c r="BU26" s="60" t="inlineStr">
        <is>
          <t>Main Board</t>
        </is>
      </c>
      <c r="BV26" s="89" t="inlineStr">
        <is>
          <t>Ordinary Shares (par value US$0.02 each)</t>
        </is>
      </c>
      <c r="BW26" s="61" t="n">
        <v>0</v>
      </c>
      <c r="BX26" s="77" t="n">
        <v>0</v>
      </c>
      <c r="BY26" s="77" t="n">
        <v>0</v>
      </c>
      <c r="BZ26" s="78" t="n">
        <v>0</v>
      </c>
      <c r="CA26" s="60" t="inlineStr">
        <is>
          <t>701015</t>
        </is>
      </c>
      <c r="CB26" s="76" t="inlineStr">
        <is>
          <t>HSICS (Hang Seng Industry Classification System) 2026</t>
        </is>
      </c>
      <c r="CC26" s="140" t="n">
        <v>39864</v>
      </c>
      <c r="CD26" s="171" t="n">
        <v>17.59</v>
      </c>
      <c r="CE26" s="76" t="inlineStr">
        <is>
          <t>NA</t>
        </is>
      </c>
      <c r="CF26" s="89" t="inlineStr">
        <is>
          <t>PRC (Qingdao, Shandong)</t>
        </is>
      </c>
      <c r="CG26" s="91" t="n">
        <v>1000</v>
      </c>
      <c r="CH26" s="60" t="inlineStr">
        <is>
          <t>IFRS Accounting Standards</t>
        </is>
      </c>
      <c r="CI26" s="141" t="n">
        <v>45292</v>
      </c>
      <c r="CJ26" s="141" t="n">
        <v>45657</v>
      </c>
      <c r="CK26" s="141" t="n">
        <v>45658</v>
      </c>
      <c r="CL26" s="141" t="n">
        <v>46022</v>
      </c>
      <c r="CM26" s="141" t="n">
        <v>46023</v>
      </c>
      <c r="CN26" s="64" t="n">
        <v>5392648000</v>
      </c>
      <c r="CO26" s="64" t="n">
        <v>793932000</v>
      </c>
      <c r="CP26" s="64" t="n">
        <v>660991000</v>
      </c>
      <c r="CQ26" s="141" t="n">
        <v>46279</v>
      </c>
      <c r="CR26" s="141" t="n">
        <v>46282</v>
      </c>
      <c r="CS26" s="63" t="inlineStr">
        <is>
          <t>NaN</t>
        </is>
      </c>
      <c r="CT26" s="64" t="n">
        <v>1306050000</v>
      </c>
      <c r="CU26" s="64" t="n">
        <v>562574000</v>
      </c>
      <c r="CV26" s="59" t="inlineStr">
        <is>
          <t>Unqualified (true and fair view)</t>
        </is>
      </c>
      <c r="CW26" s="64" t="n">
        <v>224300000</v>
      </c>
      <c r="CX26" s="51" t="inlineStr">
        <is>
          <t>Primavera Investment Fund;GBAHIL - Mega Prime;GBAHIL - Poly Platinum;CFTC Paragon SP;HK BVF I LPF;Orient Asset Management;Mount Altai;Peak View Capital;Sinofortune International;Ambre Lau Trade Limited;SCV Delta;Mirae Asset Securities HK;PAG Capital Structure Opportunity Fund LP;Turquoise Hime (ORIX);GF Fund Management;GF Fund HK;E Fund HK;E Fund Management;CSC OTC Swap;First Seafront Asset Management Limited;GaoTeng Global Asset Management Limited;GigaDevice;Amlogic Hong Kong;Atlas Venture Limited;Alphahill Capital;ODI Trust;Barings</t>
        </is>
      </c>
      <c r="CY26" s="142" t="n">
        <v>0.4702</v>
      </c>
      <c r="CZ26" s="136" t="n">
        <v>46468</v>
      </c>
      <c r="DA26" s="143" t="n">
        <v>35.16</v>
      </c>
      <c r="DB26" s="63" t="n">
        <v>37594</v>
      </c>
      <c r="DC26" s="63" t="n">
        <v>604769300</v>
      </c>
      <c r="DD26" s="59" t="inlineStr">
        <is>
          <t>Subscription level 35.16 times</t>
        </is>
      </c>
      <c r="DE26" s="141" t="inlineStr">
        <is>
          <t>NA</t>
        </is>
      </c>
      <c r="DF26" s="141" t="n">
        <v>46286</v>
      </c>
      <c r="DG26" s="63" t="n">
        <v>172014700</v>
      </c>
      <c r="DH26" s="63" t="n">
        <v>17201500</v>
      </c>
      <c r="DI26" s="63" t="n">
        <v>154813200</v>
      </c>
      <c r="DJ26" s="63" t="inlineStr">
        <is>
          <t>NaN</t>
        </is>
      </c>
      <c r="DK26" s="169" t="n">
        <v>0</v>
      </c>
      <c r="DL26" s="59" t="inlineStr">
        <is>
          <t>Claw-back triggered: N/A. No Offer Shares reallocated from the International Offering (0); final Hong Kong Public Offering stays 17,201,500 (10% of Global Offering before Over-allotment).</t>
        </is>
      </c>
      <c r="DM26" s="144" t="n">
        <v>5445300000</v>
      </c>
      <c r="DN26" s="142" t="n">
        <v>0.2261</v>
      </c>
      <c r="DO26" s="51" t="n">
        <v>982941500</v>
      </c>
      <c r="DP26" s="142" t="n">
        <v>0.0886</v>
      </c>
      <c r="DQ26" s="59" t="inlineStr">
        <is>
          <t>Free float denominator = total issued shares upon Listing (assuming the Over-allotment Option is not exercised); free float per Rule 8.08A excludes Shares under lock-up at Listing.</t>
        </is>
      </c>
      <c r="DR26" s="63" t="n">
        <v>982941500</v>
      </c>
      <c r="DS26" s="142" t="n">
        <v>-0.01239085</v>
      </c>
      <c r="DT26" s="80" t="n">
        <v>42</v>
      </c>
      <c r="DU26" s="142" t="n">
        <v>0.0287964</v>
      </c>
      <c r="DV26" s="144" t="n">
        <v>54003000000</v>
      </c>
      <c r="DW26" s="145" t="n">
        <v>34.48</v>
      </c>
      <c r="DX26" s="169" t="n">
        <v>0.046117</v>
      </c>
      <c r="DY26" s="172" t="n">
        <v>261462344</v>
      </c>
      <c r="DZ26" s="146" t="n">
        <v>36.6</v>
      </c>
      <c r="EA26" s="146" t="n">
        <v>39.3</v>
      </c>
      <c r="EB26" s="146" t="n">
        <v>34.02</v>
      </c>
      <c r="EC26" s="63" t="n">
        <v>68352200</v>
      </c>
      <c r="ED26" s="169" t="n">
        <v>0.397363</v>
      </c>
      <c r="EE26" s="64" t="n"/>
      <c r="EF26" s="60" t="inlineStr">
        <is>
          <t>Mechanism B</t>
        </is>
      </c>
      <c r="EG26" s="59" t="inlineStr">
        <is>
          <t>FINI (from 22/11/2023); 2025-08-04 pricing reform (Mechanism A/B; six-month cornerstone lock-up retained); this IPO: Mechanism B</t>
        </is>
      </c>
      <c r="EH26" t="inlineStr">
        <is>
          <t>纳真科技公司</t>
        </is>
      </c>
      <c r="EI26" s="174" t="inlineStr">
        <is>
          <t>Active</t>
        </is>
      </c>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inlineStr">
        <is>
          <t>Standard</t>
        </is>
      </c>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inlineStr">
        <is>
          <t>POST_FINI</t>
        </is>
      </c>
      <c r="GT26" s="181" t="inlineStr">
        <is>
          <t>POST_2025_REFORM</t>
        </is>
      </c>
    </row>
    <row r="27" ht="51" customFormat="1" customHeight="1" s="11">
      <c r="A27" s="43" t="n">
        <v>115</v>
      </c>
      <c r="B27" s="47" t="inlineStr">
        <is>
          <t>3228.HK</t>
        </is>
      </c>
      <c r="C27" s="44" t="inlineStr">
        <is>
          <t>Shenzhen Kinwong Electronic Co., Ltd. - H Shares</t>
        </is>
      </c>
      <c r="D27" s="130" t="n">
        <v>46286</v>
      </c>
      <c r="E27" s="48" t="n">
        <v>46294</v>
      </c>
      <c r="F27" s="43" t="inlineStr">
        <is>
          <t>CITIC Securities (Hong Kong) Limited / 
Merrill Lynch (Asia Pacific) Limited / 
Guolian Securities International Capital Market Co., Limited</t>
        </is>
      </c>
      <c r="G27" s="43" t="inlineStr">
        <is>
          <t>Ernst &amp; Young</t>
        </is>
      </c>
      <c r="H27" s="43" t="n"/>
      <c r="I27" s="131" t="n">
        <v>509739659.9999999</v>
      </c>
      <c r="J27" s="148" t="n">
        <v>4587608024</v>
      </c>
      <c r="K27" s="133" t="n">
        <v>69.88</v>
      </c>
      <c r="L27" t="n">
        <v>72944300</v>
      </c>
      <c r="M27" s="67" t="n">
        <v>72944300</v>
      </c>
      <c r="N27" t="n">
        <v>0</v>
      </c>
      <c r="O27" t="n">
        <v>0</v>
      </c>
      <c r="P27" t="n">
        <v>0</v>
      </c>
      <c r="Q27" t="n">
        <v>72944300</v>
      </c>
      <c r="R27" s="67" t="n">
        <v>65649800</v>
      </c>
      <c r="S27" s="67" t="n">
        <v>7294500</v>
      </c>
      <c r="T27" s="147" t="n">
        <v>69.88</v>
      </c>
      <c r="U27" s="147" t="inlineStr">
        <is>
          <t>NaN</t>
        </is>
      </c>
      <c r="V27" s="169" t="n">
        <v>0</v>
      </c>
      <c r="W27" s="169" t="n">
        <v>0</v>
      </c>
      <c r="X27" s="170" t="inlineStr">
        <is>
          <t>Fixed price</t>
        </is>
      </c>
      <c r="Y27" s="26" t="inlineStr">
        <is>
          <t>RMB</t>
        </is>
      </c>
      <c r="Z27" s="137" t="n">
        <v>19243777000</v>
      </c>
      <c r="AA27" s="137" t="n">
        <v>23726909000</v>
      </c>
      <c r="AB27" s="137" t="n">
        <v>26473789000</v>
      </c>
      <c r="AC27" s="137" t="n">
        <v>11497706000</v>
      </c>
      <c r="AD27" s="137" t="n">
        <v>13269792000</v>
      </c>
      <c r="AE27" s="137" t="n">
        <v>13077545000</v>
      </c>
      <c r="AF27" s="137" t="n">
        <v>7746071000</v>
      </c>
      <c r="AG27" s="137" t="n">
        <v>10457117000</v>
      </c>
      <c r="AH27" s="137" t="n">
        <v>13396244000</v>
      </c>
      <c r="AI27" s="137" t="n">
        <v>12659373000</v>
      </c>
      <c r="AJ27" s="137" t="n">
        <v>15308052000</v>
      </c>
      <c r="AK27" s="137" t="n">
        <v>16024176000</v>
      </c>
      <c r="AL27" s="137" t="n">
        <v>1320439000</v>
      </c>
      <c r="AM27" s="137" t="n">
        <v>1464383000</v>
      </c>
      <c r="AN27" s="137" t="n">
        <v>1013688000</v>
      </c>
      <c r="AO27" s="137" t="n">
        <v>1160208000</v>
      </c>
      <c r="AP27" s="137" t="n">
        <v>1244018000</v>
      </c>
      <c r="AQ27" s="137" t="n">
        <v>950757000</v>
      </c>
      <c r="AR27" s="142" t="n">
        <v>0.011</v>
      </c>
      <c r="AS27" s="142" t="n">
        <v>0.011</v>
      </c>
      <c r="AT27" s="84" t="inlineStr">
        <is>
          <t>NaN</t>
        </is>
      </c>
      <c r="AU27" s="51" t="inlineStr">
        <is>
          <t>印刷电路板（PCB）的研发、制造与销售</t>
        </is>
      </c>
      <c r="AV27" s="51" t="inlineStr">
        <is>
          <t>香港联交所主板上市（Main Board of The Stock Exchange of Hong Kong Limited）</t>
        </is>
      </c>
      <c r="AW27" s="136" t="n">
        <v>46142</v>
      </c>
      <c r="AX27" s="137" t="n">
        <v>493389000</v>
      </c>
      <c r="AY27" s="117" t="n">
        <v>2910922000</v>
      </c>
      <c r="AZ27" s="117" t="n">
        <v>280739000</v>
      </c>
      <c r="BA27" s="117" t="n">
        <v>0</v>
      </c>
      <c r="BB27" s="138" t="n">
        <v>0.261</v>
      </c>
      <c r="BC27" s="139" t="n">
        <v>0.333333</v>
      </c>
      <c r="BD27" s="80" t="inlineStr">
        <is>
          <t>NaN</t>
        </is>
      </c>
      <c r="BE27" s="161" t="inlineStr">
        <is>
          <t>NaN</t>
        </is>
      </c>
      <c r="BF27" s="161" t="inlineStr">
        <is>
          <t>NaN</t>
        </is>
      </c>
      <c r="BG27" s="161" t="inlineStr">
        <is>
          <t>NaN</t>
        </is>
      </c>
      <c r="BH27" s="161" t="inlineStr">
        <is>
          <t>NaN</t>
        </is>
      </c>
      <c r="BI27" s="161" t="inlineStr">
        <is>
          <t>NaN</t>
        </is>
      </c>
      <c r="BJ27" s="162" t="inlineStr">
        <is>
          <t>NA</t>
        </is>
      </c>
      <c r="BK27" s="163" t="inlineStr">
        <is>
          <t>NaN</t>
        </is>
      </c>
      <c r="BL27" s="161" t="inlineStr">
        <is>
          <t>NaN</t>
        </is>
      </c>
      <c r="BM27" s="164" t="inlineStr">
        <is>
          <t>NA</t>
        </is>
      </c>
      <c r="BN27" s="165" t="inlineStr">
        <is>
          <t>NaN</t>
        </is>
      </c>
      <c r="BO27" s="51" t="inlineStr">
        <is>
          <t>自然人（刘绍柏家族一致行动人集团）</t>
        </is>
      </c>
      <c r="BP27" s="135" t="n">
        <v>0.5221</v>
      </c>
      <c r="BQ27" s="135" t="n">
        <v>0.5221</v>
      </c>
      <c r="BR27" s="137" t="n">
        <v>4824612000</v>
      </c>
      <c r="BS27" s="51" t="inlineStr">
        <is>
          <t>Mass production（已实现大规模量产）</t>
        </is>
      </c>
      <c r="BT27" s="142" t="n">
        <v>0.15</v>
      </c>
      <c r="BU27" s="60" t="inlineStr">
        <is>
          <t>Main Board</t>
        </is>
      </c>
      <c r="BV27" s="89" t="inlineStr">
        <is>
          <t>H Shares (ordinary shares)</t>
        </is>
      </c>
      <c r="BW27" s="61" t="n">
        <v>1</v>
      </c>
      <c r="BX27" s="77" t="n">
        <v>0</v>
      </c>
      <c r="BY27" s="77" t="n">
        <v>0</v>
      </c>
      <c r="BZ27" s="78" t="n">
        <v>0</v>
      </c>
      <c r="CA27" s="60" t="inlineStr">
        <is>
          <t>101025</t>
        </is>
      </c>
      <c r="CB27" s="76" t="inlineStr">
        <is>
          <t>HSICS (Hang Seng Industry Classification System) 2026</t>
        </is>
      </c>
      <c r="CC27" s="140" t="n">
        <v>34037</v>
      </c>
      <c r="CD27" s="171" t="n">
        <v>33.56</v>
      </c>
      <c r="CE27" s="76" t="inlineStr">
        <is>
          <t>PRC</t>
        </is>
      </c>
      <c r="CF27" s="89" t="inlineStr">
        <is>
          <t>中国广东省深圳市宝安区西乡街道铁岗水库路166号</t>
        </is>
      </c>
      <c r="CG27" s="91" t="n">
        <v>1000</v>
      </c>
      <c r="CH27" s="60" t="inlineStr">
        <is>
          <t>IFRS</t>
        </is>
      </c>
      <c r="CI27" s="141" t="n">
        <v>45292</v>
      </c>
      <c r="CJ27" s="141" t="n">
        <v>45657</v>
      </c>
      <c r="CK27" s="141" t="n">
        <v>45658</v>
      </c>
      <c r="CL27" s="141" t="n">
        <v>46022</v>
      </c>
      <c r="CM27" s="141" t="n">
        <v>46023</v>
      </c>
      <c r="CN27" s="64" t="n">
        <v>5341392000</v>
      </c>
      <c r="CO27" s="64" t="n">
        <v>337896000</v>
      </c>
      <c r="CP27" s="64" t="n">
        <v>316919000</v>
      </c>
      <c r="CQ27" s="141" t="n">
        <v>46286</v>
      </c>
      <c r="CR27" s="141" t="n">
        <v>46289</v>
      </c>
      <c r="CS27" s="63" t="n">
        <v>72944300</v>
      </c>
      <c r="CT27" s="64" t="n">
        <v>1001200000</v>
      </c>
      <c r="CU27" s="64" t="n">
        <v>2071706000</v>
      </c>
      <c r="CV27" s="59" t="inlineStr">
        <is>
          <t>NA</t>
        </is>
      </c>
      <c r="CW27" s="64" t="n">
        <v>136700000</v>
      </c>
      <c r="CX27" s="51" t="inlineStr">
        <is>
          <t>CPE Redwood; Zhongji Innolight; Hong Kong Mason; CIG; CloudAlpha Capital; E Fund; E Fund Management; E Fund HK; Bosera International; Seven Grand; 3W Fund; Tianhong Fund; Ninety One Asia; JPMAMAPL; Barings; KHL</t>
        </is>
      </c>
      <c r="CY27" s="142" t="n">
        <v>0.4769</v>
      </c>
      <c r="CZ27" s="136" t="n">
        <v>46475</v>
      </c>
      <c r="DA27" s="143" t="n">
        <v>94.25</v>
      </c>
      <c r="DB27" s="63" t="n">
        <v>61273</v>
      </c>
      <c r="DC27" s="63" t="n">
        <v>687538100</v>
      </c>
      <c r="DD27" s="59" t="inlineStr">
        <is>
          <t>Hong Kong Public Offering: "Subscription level 94.25 times"; Reallocation: No; International Offering: "Subscription Level 10.57 times"</t>
        </is>
      </c>
      <c r="DE27" s="141" t="inlineStr">
        <is>
          <t>NA</t>
        </is>
      </c>
      <c r="DF27" s="141" t="n">
        <v>46293</v>
      </c>
      <c r="DG27" s="63" t="n">
        <v>72944300</v>
      </c>
      <c r="DH27" s="63" t="n">
        <v>7294500</v>
      </c>
      <c r="DI27" s="63" t="n">
        <v>65649800</v>
      </c>
      <c r="DJ27" s="63" t="inlineStr">
        <is>
          <t>NaN</t>
        </is>
      </c>
      <c r="DK27" s="169" t="n">
        <v>0</v>
      </c>
      <c r="DL27" s="59" t="inlineStr">
        <is>
          <t>No reallocation from the International Offering to the Hong Kong Public Offering (0 shares); final HK Public Offering remains 7,294,500 shares, 10.00% of the Global Offering</t>
        </is>
      </c>
      <c r="DM27" s="144" t="n">
        <v>4960600000</v>
      </c>
      <c r="DN27" s="142" t="n">
        <v>0.0679</v>
      </c>
      <c r="DO27" s="51" t="n">
        <v>1074268341</v>
      </c>
      <c r="DP27" s="142" t="n">
        <v>0.0355</v>
      </c>
      <c r="DQ27" s="59" t="inlineStr">
        <is>
          <t>Free float denominator = total issued shares upon listing (col_CZ); numerator = offer shares minus cornerstone allocation</t>
        </is>
      </c>
      <c r="DR27" s="63" t="n">
        <v>1074268341</v>
      </c>
      <c r="DS27" s="142" t="n">
        <v>-0.04839324</v>
      </c>
      <c r="DT27" s="80" t="n">
        <v>40</v>
      </c>
      <c r="DU27" s="142" t="n">
        <v>0.0286887</v>
      </c>
      <c r="DV27" s="144" t="n">
        <v>53975000000</v>
      </c>
      <c r="DW27" s="145" t="n">
        <v>77.05</v>
      </c>
      <c r="DX27" s="169" t="n">
        <v>0.102604</v>
      </c>
      <c r="DY27" s="172" t="n">
        <v>523010631</v>
      </c>
      <c r="DZ27" s="146" t="n">
        <v>65</v>
      </c>
      <c r="EA27" s="146" t="n">
        <v>80</v>
      </c>
      <c r="EB27" s="146" t="n">
        <v>64.2</v>
      </c>
      <c r="EC27" s="63" t="n">
        <v>22652800</v>
      </c>
      <c r="ED27" s="169" t="n">
        <v>0.310549</v>
      </c>
      <c r="EE27" s="64" t="n"/>
      <c r="EF27" s="60" t="inlineStr">
        <is>
          <t>Mechanism B</t>
        </is>
      </c>
      <c r="EG27" s="59" t="inlineStr">
        <is>
          <t>FINI (from 22/11/2023); 2025-08-04 pricing reform (Mechanism A/B; six-month cornerstone lock-up retained); this IPO: Mechanism B</t>
        </is>
      </c>
      <c r="EH27" t="inlineStr">
        <is>
          <t>深圳市景旺电子股份有限公司</t>
        </is>
      </c>
      <c r="EI27" s="174" t="inlineStr">
        <is>
          <t>Active</t>
        </is>
      </c>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inlineStr">
        <is>
          <t>Standard</t>
        </is>
      </c>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inlineStr">
        <is>
          <t>POST_FINI</t>
        </is>
      </c>
      <c r="GT27" s="181" t="inlineStr">
        <is>
          <t>POST_2025_REFORM</t>
        </is>
      </c>
    </row>
    <row r="28" ht="51" customFormat="1" customHeight="1" s="11">
      <c r="A28" s="43" t="n">
        <v>114</v>
      </c>
      <c r="B28" s="47" t="inlineStr">
        <is>
          <t>3757.HK</t>
        </is>
      </c>
      <c r="C28" s="44" t="inlineStr">
        <is>
          <t>RoboTechnik Intelligent Technology Co., Ltd.  - H Shares</t>
        </is>
      </c>
      <c r="D28" s="130" t="n">
        <v>46286</v>
      </c>
      <c r="E28" s="48" t="n">
        <v>46294</v>
      </c>
      <c r="F28" s="43" t="inlineStr">
        <is>
          <t>Huatai Financial Holdings (Hong Kong) Limited/
Citigroup Global Markets Asia Limited/
Orient Capital (Hong Kong) Limited</t>
        </is>
      </c>
      <c r="G28" s="43" t="inlineStr">
        <is>
          <t>Grant Thornton Hong Kong Limited</t>
        </is>
      </c>
      <c r="H28" s="43" t="n"/>
      <c r="I28" s="131" t="n">
        <v>517793600</v>
      </c>
      <c r="J28" s="148" t="n">
        <v>4660142400</v>
      </c>
      <c r="K28" s="133" t="n">
        <v>436</v>
      </c>
      <c r="L28" t="n">
        <v>179484111</v>
      </c>
      <c r="M28" s="67" t="n">
        <v>11876000</v>
      </c>
      <c r="N28" t="inlineStr">
        <is>
          <t>NaN</t>
        </is>
      </c>
      <c r="O28" t="inlineStr">
        <is>
          <t>NaN</t>
        </is>
      </c>
      <c r="P28" t="n">
        <v>0</v>
      </c>
      <c r="Q28" t="n">
        <v>11876000</v>
      </c>
      <c r="R28" s="67" t="n">
        <v>10688400</v>
      </c>
      <c r="S28" s="67" t="n">
        <v>1187600</v>
      </c>
      <c r="T28" s="147" t="n">
        <v>436</v>
      </c>
      <c r="U28" s="147" t="inlineStr">
        <is>
          <t>NaN</t>
        </is>
      </c>
      <c r="V28" s="169" t="n">
        <v>0</v>
      </c>
      <c r="W28" s="169" t="n">
        <v>0</v>
      </c>
      <c r="X28" s="170" t="inlineStr">
        <is>
          <t>Fixed price</t>
        </is>
      </c>
      <c r="Y28" s="26" t="inlineStr">
        <is>
          <t>RMB</t>
        </is>
      </c>
      <c r="Z28" s="137" t="n">
        <v>2365282000</v>
      </c>
      <c r="AA28" s="137" t="n">
        <v>4311760000</v>
      </c>
      <c r="AB28" s="137" t="n">
        <v>4410517000</v>
      </c>
      <c r="AC28" s="137" t="n">
        <v>1004936000</v>
      </c>
      <c r="AD28" s="137" t="n">
        <v>2337424000</v>
      </c>
      <c r="AE28" s="137" t="n">
        <v>2254705000</v>
      </c>
      <c r="AF28" s="137" t="n">
        <v>1360346000</v>
      </c>
      <c r="AG28" s="137" t="n">
        <v>1974336000</v>
      </c>
      <c r="AH28" s="137" t="n">
        <v>2155812000</v>
      </c>
      <c r="AI28" s="137" t="n">
        <v>1104248000</v>
      </c>
      <c r="AJ28" s="137" t="n">
        <v>948838000</v>
      </c>
      <c r="AK28" s="137" t="n">
        <v>595665000</v>
      </c>
      <c r="AL28" s="137" t="n">
        <v>60431000</v>
      </c>
      <c r="AM28" s="137" t="n">
        <v>-50421000</v>
      </c>
      <c r="AN28" s="137" t="n">
        <v>-238773000</v>
      </c>
      <c r="AO28" s="137" t="n">
        <v>63176000</v>
      </c>
      <c r="AP28" s="137" t="n">
        <v>-44956000</v>
      </c>
      <c r="AQ28" s="137" t="n">
        <v>-224028000</v>
      </c>
      <c r="AR28" s="142" t="n">
        <v>0.02</v>
      </c>
      <c r="AS28" s="142" t="n">
        <v>0.02</v>
      </c>
      <c r="AT28" s="84" t="n">
        <v>0.15</v>
      </c>
      <c r="AU28" s="51" t="inlineStr">
        <is>
          <t>Manufacturing equipment and systems for the photovoltaic (PV) industry and silicon photonics (SiPh) industry</t>
        </is>
      </c>
      <c r="AV28" s="51" t="inlineStr">
        <is>
          <t>Main Board of The Stock Exchange of Hong Kong (H Shares)</t>
        </is>
      </c>
      <c r="AW28" s="136" t="n">
        <v>46142</v>
      </c>
      <c r="AX28" s="137" t="n">
        <v>93866000</v>
      </c>
      <c r="AY28" s="117" t="n">
        <v>334749000</v>
      </c>
      <c r="AZ28" s="117" t="n">
        <v>54428000</v>
      </c>
      <c r="BA28" s="117" t="n">
        <v>0</v>
      </c>
      <c r="BB28" s="138" t="n">
        <v>0.642</v>
      </c>
      <c r="BC28" s="139" t="n">
        <v>0.333333</v>
      </c>
      <c r="BD28" s="80" t="inlineStr">
        <is>
          <t>NaN</t>
        </is>
      </c>
      <c r="BE28" s="161" t="inlineStr">
        <is>
          <t>NaN</t>
        </is>
      </c>
      <c r="BF28" s="161" t="inlineStr">
        <is>
          <t>NaN</t>
        </is>
      </c>
      <c r="BG28" s="161" t="inlineStr">
        <is>
          <t>NaN</t>
        </is>
      </c>
      <c r="BH28" s="161" t="inlineStr">
        <is>
          <t>NaN</t>
        </is>
      </c>
      <c r="BI28" s="161" t="inlineStr">
        <is>
          <t>NaN</t>
        </is>
      </c>
      <c r="BJ28" s="162" t="inlineStr">
        <is>
          <t>NA</t>
        </is>
      </c>
      <c r="BK28" s="163" t="inlineStr">
        <is>
          <t>NaN</t>
        </is>
      </c>
      <c r="BL28" s="161" t="inlineStr">
        <is>
          <t>NaN</t>
        </is>
      </c>
      <c r="BM28" s="164" t="inlineStr">
        <is>
          <t>NA</t>
        </is>
      </c>
      <c r="BN28" s="165" t="inlineStr">
        <is>
          <t>NaN</t>
        </is>
      </c>
      <c r="BO28" s="51" t="inlineStr">
        <is>
          <t>Individual (natural person)</t>
        </is>
      </c>
      <c r="BP28" s="135" t="inlineStr">
        <is>
          <t>NaN</t>
        </is>
      </c>
      <c r="BQ28" s="135" t="n">
        <v>0.2938</v>
      </c>
      <c r="BR28" s="137" t="n">
        <v>1376881000</v>
      </c>
      <c r="BS28" s="51" t="inlineStr">
        <is>
          <t>Commercialised (volume production)</t>
        </is>
      </c>
      <c r="BT28" s="142" t="n">
        <v>0</v>
      </c>
      <c r="BU28" s="60" t="inlineStr">
        <is>
          <t>Main Board</t>
        </is>
      </c>
      <c r="BV28" s="89" t="inlineStr">
        <is>
          <t>H Shares</t>
        </is>
      </c>
      <c r="BW28" s="61" t="n">
        <v>1</v>
      </c>
      <c r="BX28" s="77" t="n">
        <v>0</v>
      </c>
      <c r="BY28" s="77" t="n">
        <v>0</v>
      </c>
      <c r="BZ28" s="78" t="n">
        <v>0</v>
      </c>
      <c r="CA28" s="60" t="inlineStr">
        <is>
          <t>101050</t>
        </is>
      </c>
      <c r="CB28" s="76" t="inlineStr">
        <is>
          <t>HSICS (Hang Seng Industry Classification System) 2026</t>
        </is>
      </c>
      <c r="CC28" s="140" t="n">
        <v>40647</v>
      </c>
      <c r="CD28" s="171" t="n">
        <v>15.46</v>
      </c>
      <c r="CE28" s="76" t="inlineStr">
        <is>
          <t>PRC</t>
        </is>
      </c>
      <c r="CF28" s="89" t="inlineStr">
        <is>
          <t>PRC (Suzhou, Jiangsu Province)</t>
        </is>
      </c>
      <c r="CG28" s="91" t="n">
        <v>1000</v>
      </c>
      <c r="CH28" s="60" t="inlineStr">
        <is>
          <t>IFRS Accounting Standards</t>
        </is>
      </c>
      <c r="CI28" s="141" t="n">
        <v>45292</v>
      </c>
      <c r="CJ28" s="141" t="n">
        <v>45657</v>
      </c>
      <c r="CK28" s="141" t="n">
        <v>45658</v>
      </c>
      <c r="CL28" s="141" t="n">
        <v>46022</v>
      </c>
      <c r="CM28" s="141" t="n">
        <v>46023</v>
      </c>
      <c r="CN28" s="64" t="n">
        <v>198555000</v>
      </c>
      <c r="CO28" s="64" t="n">
        <v>-79591000</v>
      </c>
      <c r="CP28" s="64" t="n">
        <v>-74676000</v>
      </c>
      <c r="CQ28" s="141" t="n">
        <v>46286</v>
      </c>
      <c r="CR28" s="141" t="n">
        <v>46289</v>
      </c>
      <c r="CS28" s="63" t="n">
        <v>11876000</v>
      </c>
      <c r="CT28" s="64" t="n">
        <v>63806000</v>
      </c>
      <c r="CU28" s="64" t="n">
        <v>68195000</v>
      </c>
      <c r="CV28" s="59" t="inlineStr">
        <is>
          <t>Unqualified</t>
        </is>
      </c>
      <c r="CW28" s="64" t="n">
        <v>216600000</v>
      </c>
      <c r="CX28" s="51" t="inlineStr">
        <is>
          <t>Temasek; Sunpeak Asset; IvyRock; E Fund; E Fund Management; E Fund HK; CIG; Winner Global Fund; Wind Sabre; Vestide Lumir; Arrowpoint; Sino Opulence Fund; Roofer Asset Management; Bloom Capital; Mr. Lai Pak Lam; Mr. Xia Shengli; Mr. Zhu Guodong; Mr. Zheng Xiaofeng</t>
        </is>
      </c>
      <c r="CY28" s="142" t="n">
        <v>0.352</v>
      </c>
      <c r="CZ28" s="136" t="n">
        <v>46475</v>
      </c>
      <c r="DA28" s="143" t="n">
        <v>8.65</v>
      </c>
      <c r="DB28" s="63" t="n">
        <v>13075</v>
      </c>
      <c r="DC28" s="63" t="n">
        <v>10276700</v>
      </c>
      <c r="DD28" s="59" t="inlineStr">
        <is>
          <t>Subscription level: 8.65 times (Hong Kong Public Offering)</t>
        </is>
      </c>
      <c r="DE28" s="141" t="inlineStr">
        <is>
          <t>NA</t>
        </is>
      </c>
      <c r="DF28" s="141" t="n">
        <v>46293</v>
      </c>
      <c r="DG28" s="63" t="n">
        <v>11876000</v>
      </c>
      <c r="DH28" s="63" t="n">
        <v>1187600</v>
      </c>
      <c r="DI28" s="63" t="n">
        <v>10688400</v>
      </c>
      <c r="DJ28" s="63" t="inlineStr">
        <is>
          <t>NaN</t>
        </is>
      </c>
      <c r="DK28" s="169" t="n">
        <v>0</v>
      </c>
      <c r="DL28" s="59" t="inlineStr">
        <is>
          <t>Claw-back triggered: N/A; No. of Offer Shares reallocated from the International Offering (reallocation): 0; final Hong Kong Public Offering stayed at 1,187,600 (10% of global offering)</t>
        </is>
      </c>
      <c r="DM28" s="144" t="n">
        <v>4961300000</v>
      </c>
      <c r="DN28" s="142" t="n">
        <v>0.06619999999999999</v>
      </c>
      <c r="DO28" s="51" t="n">
        <v>179484111</v>
      </c>
      <c r="DP28" s="142" t="n">
        <v>0.0429</v>
      </c>
      <c r="DQ28" s="59" t="inlineStr">
        <is>
          <t>Free float denominator = total issued shares upon listing (col_CZ); numerator = offer shares minus cornerstone allocation</t>
        </is>
      </c>
      <c r="DR28" s="63" t="n">
        <v>179484111</v>
      </c>
      <c r="DS28" s="142" t="n">
        <v>-0.04839324</v>
      </c>
      <c r="DT28" s="80" t="n">
        <v>40</v>
      </c>
      <c r="DU28" s="142" t="n">
        <v>0.0286887</v>
      </c>
      <c r="DV28" s="144" t="n">
        <v>53975000000</v>
      </c>
      <c r="DW28" s="145" t="n">
        <v>414.4</v>
      </c>
      <c r="DX28" s="169" t="n">
        <v>-0.049541</v>
      </c>
      <c r="DY28" s="172" t="n">
        <v>-256521600</v>
      </c>
      <c r="DZ28" s="146" t="n">
        <v>419.6</v>
      </c>
      <c r="EA28" s="146" t="n">
        <v>424.6</v>
      </c>
      <c r="EB28" s="146" t="n">
        <v>393.2</v>
      </c>
      <c r="EC28" s="63" t="n">
        <v>2603060</v>
      </c>
      <c r="ED28" s="169" t="n">
        <v>0.219187</v>
      </c>
      <c r="EE28" s="64" t="n"/>
      <c r="EF28" s="60" t="inlineStr">
        <is>
          <t>Mechanism B</t>
        </is>
      </c>
      <c r="EG28" s="59" t="inlineStr">
        <is>
          <t>FINI (from 22/11/2023); 2025-08-04 pricing reform (Mechanism A/B; six-month cornerstone lock-up retained); this IPO: Mechanism B</t>
        </is>
      </c>
      <c r="EH28" t="inlineStr">
        <is>
          <t>罗博特科智能科技股份有限公司</t>
        </is>
      </c>
      <c r="EI28" s="174" t="inlineStr">
        <is>
          <t>Active</t>
        </is>
      </c>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inlineStr">
        <is>
          <t>Standard</t>
        </is>
      </c>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inlineStr">
        <is>
          <t>POST_FINI</t>
        </is>
      </c>
      <c r="GT28" s="181" t="inlineStr">
        <is>
          <t>POST_2025_REFORM</t>
        </is>
      </c>
    </row>
    <row r="29" ht="51" customFormat="1" customHeight="1" s="11">
      <c r="A29" s="43" t="n">
        <v>112</v>
      </c>
      <c r="B29" s="47" t="inlineStr">
        <is>
          <t>6731.HK</t>
        </is>
      </c>
      <c r="C29" s="44" t="inlineStr">
        <is>
          <t>Direct Drive Tech Limited - H Shares</t>
        </is>
      </c>
      <c r="D29" s="130" t="n">
        <v>46286</v>
      </c>
      <c r="E29" s="48" t="n">
        <v>46294</v>
      </c>
      <c r="F29" s="43" t="inlineStr">
        <is>
          <t>CITIC Securities (Hong Kong) Limited</t>
        </is>
      </c>
      <c r="G29" s="43" t="inlineStr">
        <is>
          <t>Ernst &amp; Young</t>
        </is>
      </c>
      <c r="H29" s="43" t="n"/>
      <c r="I29" s="131" t="n">
        <v>216000000</v>
      </c>
      <c r="J29" s="148" t="n">
        <v>864000000</v>
      </c>
      <c r="K29" s="133" t="n">
        <v>21.6</v>
      </c>
      <c r="L29" t="n">
        <v>369588080</v>
      </c>
      <c r="M29" s="67" t="n">
        <v>50000000</v>
      </c>
      <c r="N29" t="n">
        <v>319588080</v>
      </c>
      <c r="O29" t="n">
        <v>319588080</v>
      </c>
      <c r="P29" t="n">
        <v>0</v>
      </c>
      <c r="Q29" t="n">
        <v>50000000</v>
      </c>
      <c r="R29" s="67" t="n">
        <v>47500000</v>
      </c>
      <c r="S29" s="67" t="n">
        <v>2500000</v>
      </c>
      <c r="T29" s="147" t="n">
        <v>21.6</v>
      </c>
      <c r="U29" s="147" t="n">
        <v>21.6</v>
      </c>
      <c r="V29" s="169" t="n">
        <v>0</v>
      </c>
      <c r="W29" s="169" t="n">
        <v>0</v>
      </c>
      <c r="X29" s="170" t="inlineStr">
        <is>
          <t>Fixed price</t>
        </is>
      </c>
      <c r="Y29" s="26" t="inlineStr">
        <is>
          <t>RMB</t>
        </is>
      </c>
      <c r="Z29" s="137" t="n">
        <v>101183000</v>
      </c>
      <c r="AA29" s="137" t="n">
        <v>545731000</v>
      </c>
      <c r="AB29" s="137" t="n">
        <v>655840000</v>
      </c>
      <c r="AC29" s="137" t="n">
        <v>-198609000</v>
      </c>
      <c r="AD29" s="137" t="n">
        <v>-1019357000</v>
      </c>
      <c r="AE29" s="137" t="n">
        <v>-1347370000</v>
      </c>
      <c r="AF29" s="137" t="n">
        <v>299792000</v>
      </c>
      <c r="AG29" s="137" t="n">
        <v>1565088000</v>
      </c>
      <c r="AH29" s="137" t="n">
        <v>2003210000</v>
      </c>
      <c r="AI29" s="137" t="n">
        <v>79802000</v>
      </c>
      <c r="AJ29" s="137" t="n">
        <v>281715000</v>
      </c>
      <c r="AK29" s="137" t="n">
        <v>400590000</v>
      </c>
      <c r="AL29" s="137" t="n">
        <v>-93735000</v>
      </c>
      <c r="AM29" s="137" t="n">
        <v>-880977000</v>
      </c>
      <c r="AN29" s="137" t="n">
        <v>-781464000</v>
      </c>
      <c r="AO29" s="137" t="n">
        <v>-93735000</v>
      </c>
      <c r="AP29" s="137" t="n">
        <v>-880977000</v>
      </c>
      <c r="AQ29" s="137" t="n">
        <v>-781464000</v>
      </c>
      <c r="AR29" s="142" t="n">
        <v>0.03</v>
      </c>
      <c r="AS29" s="142" t="n">
        <v>0.03</v>
      </c>
      <c r="AT29" s="84" t="n">
        <v>0.15</v>
      </c>
      <c r="AU29" s="51" t="inlineStr">
        <is>
          <t>Robotics technology company; development and sales of robotic actuator modules (direct drive actuator modules and embodied joint modules) and wheel-legged robots</t>
        </is>
      </c>
      <c r="AV29" s="51" t="inlineStr">
        <is>
          <t>Main Board of HKEX, Chapter 18C Listing Rules (Specialist Technology Company), H Shares</t>
        </is>
      </c>
      <c r="AW29" s="136" t="n">
        <v>46203</v>
      </c>
      <c r="AX29" s="137" t="n">
        <v>-64795000</v>
      </c>
      <c r="AY29" s="117" t="n">
        <v>293522000</v>
      </c>
      <c r="AZ29" s="117" t="n">
        <v>53587000</v>
      </c>
      <c r="BA29" s="117" t="n">
        <v>0</v>
      </c>
      <c r="BB29" s="138" t="n">
        <v>0.8129999999999999</v>
      </c>
      <c r="BC29" s="139" t="n">
        <v>0.5</v>
      </c>
      <c r="BD29" s="80" t="n">
        <v>1</v>
      </c>
      <c r="BE29" s="161" t="n">
        <v>1</v>
      </c>
      <c r="BF29" s="161" t="n">
        <v>1</v>
      </c>
      <c r="BG29" s="161" t="n">
        <v>1</v>
      </c>
      <c r="BH29" s="161" t="n">
        <v>1</v>
      </c>
      <c r="BI29" s="161" t="inlineStr">
        <is>
          <t>NaN</t>
        </is>
      </c>
      <c r="BJ29" s="162" t="inlineStr">
        <is>
          <t>Songshan Lake Robot Institute; Yunhe Investment; Qiji Chuangtan; Dongguan Dami; Mr. Ai Min; 5Y Qixing; Greenpine Chuangzhi; Lenovo Venture Capital; Nanjing Chuangyi; Shenzhen Dami; Runyuan Investment; Liwan Investment; Mr. Zhao Jianguang; Jianyuan Xinbo; Jianyuan Chaohong; Jianyuan Honggeng; Shunxi Venture Capital Fund III; Xinchuang Technology; Advanced Manufacturing Investment; New Material Investment; Legend Star; Legend Investment; Excelsior Investments; Gongqingcheng Investment; Huatai Digital Intelligence; Rockets Capital; Beijing Chengkun; Brizan Ventures VII LP</t>
        </is>
      </c>
      <c r="BK29" s="163" t="n">
        <v>0.5311</v>
      </c>
      <c r="BL29" s="161" t="n">
        <v>1</v>
      </c>
      <c r="BM29" s="164" t="inlineStr">
        <is>
          <t>Series Seed Financing</t>
        </is>
      </c>
      <c r="BN29" s="165" t="n">
        <v>6.4</v>
      </c>
      <c r="BO29" s="51" t="inlineStr">
        <is>
          <t>Individual</t>
        </is>
      </c>
      <c r="BP29" s="135" t="n">
        <v>0.3571</v>
      </c>
      <c r="BQ29" s="135" t="n">
        <v>0.3571</v>
      </c>
      <c r="BR29" s="137" t="n">
        <v>51349000</v>
      </c>
      <c r="BS29" s="51" t="inlineStr">
        <is>
          <t>Transitioned from early-stage commercialization to large-scale commercial operations</t>
        </is>
      </c>
      <c r="BT29" s="142" t="n">
        <v>0</v>
      </c>
      <c r="BU29" s="60" t="inlineStr">
        <is>
          <t>Main Board</t>
        </is>
      </c>
      <c r="BV29" s="89" t="inlineStr">
        <is>
          <t>H Shares</t>
        </is>
      </c>
      <c r="BW29" s="61" t="n">
        <v>0</v>
      </c>
      <c r="BX29" s="77" t="n">
        <v>0</v>
      </c>
      <c r="BY29" s="77" t="n">
        <v>0</v>
      </c>
      <c r="BZ29" s="78" t="n">
        <v>1</v>
      </c>
      <c r="CA29" s="60" t="inlineStr">
        <is>
          <t>101020</t>
        </is>
      </c>
      <c r="CB29" s="76" t="inlineStr">
        <is>
          <t>HSICS (Hang Seng Industry Classification System) 2026</t>
        </is>
      </c>
      <c r="CC29" s="140" t="n">
        <v>43907</v>
      </c>
      <c r="CD29" s="171" t="n">
        <v>6.54</v>
      </c>
      <c r="CE29" s="76" t="inlineStr">
        <is>
          <t>PRC</t>
        </is>
      </c>
      <c r="CF29" s="89" t="inlineStr">
        <is>
          <t>Beijing, China</t>
        </is>
      </c>
      <c r="CG29" s="91" t="n">
        <v>1000</v>
      </c>
      <c r="CH29" s="60" t="inlineStr">
        <is>
          <t>IFRS</t>
        </is>
      </c>
      <c r="CI29" s="141" t="n">
        <v>45292</v>
      </c>
      <c r="CJ29" s="141" t="n">
        <v>45657</v>
      </c>
      <c r="CK29" s="141" t="n">
        <v>45658</v>
      </c>
      <c r="CL29" s="141" t="n">
        <v>46022</v>
      </c>
      <c r="CM29" s="141" t="n">
        <v>46023</v>
      </c>
      <c r="CN29" s="64" t="n">
        <v>200295000</v>
      </c>
      <c r="CO29" s="64" t="n">
        <v>-390732000</v>
      </c>
      <c r="CP29" s="64" t="n">
        <v>-390732000</v>
      </c>
      <c r="CQ29" s="141" t="n">
        <v>46286</v>
      </c>
      <c r="CR29" s="141" t="n">
        <v>46289</v>
      </c>
      <c r="CS29" s="63" t="n">
        <v>369588080</v>
      </c>
      <c r="CT29" s="64" t="n">
        <v>41407000</v>
      </c>
      <c r="CU29" s="64" t="n">
        <v>12969000</v>
      </c>
      <c r="CV29" s="59" t="inlineStr">
        <is>
          <t>Unqualified</t>
        </is>
      </c>
      <c r="CW29" s="64" t="n">
        <v>97500000</v>
      </c>
      <c r="CX29" s="51" t="inlineStr">
        <is>
          <t>Hong Kong Technology Innovation Pioneer One Investment Limited (香港科創領航壹號投資有限公司); JSC International Investment Fund SPC (for and on behalf of Shenghai SP)</t>
        </is>
      </c>
      <c r="CY29" s="142" t="n">
        <v>0.4354</v>
      </c>
      <c r="CZ29" s="136" t="n">
        <v>46475</v>
      </c>
      <c r="DA29" s="143" t="n">
        <v>208.56</v>
      </c>
      <c r="DB29" s="63" t="n">
        <v>43933</v>
      </c>
      <c r="DC29" s="63" t="n">
        <v>521387700</v>
      </c>
      <c r="DD29" s="59" t="inlineStr">
        <is>
          <t>Subscription level 208.56 times</t>
        </is>
      </c>
      <c r="DE29" s="141" t="inlineStr">
        <is>
          <t>NA</t>
        </is>
      </c>
      <c r="DF29" s="141" t="n">
        <v>46293</v>
      </c>
      <c r="DG29" s="63" t="n">
        <v>50000000</v>
      </c>
      <c r="DH29" s="63" t="n">
        <v>10000000</v>
      </c>
      <c r="DI29" s="63" t="n">
        <v>40000000</v>
      </c>
      <c r="DJ29" s="63" t="n">
        <v>0</v>
      </c>
      <c r="DK29" s="169" t="n">
        <v>0</v>
      </c>
      <c r="DL29" s="59" t="inlineStr">
        <is>
          <t>Claw-back triggered: Yes — 7,500,000 Offer Shares reallocated from the International Offering to the Hong Kong Public Offering (initial 2,500,000 / 5% adjusted to final 10,000,000 / 20%)</t>
        </is>
      </c>
      <c r="DM29" s="144" t="n">
        <v>982500000</v>
      </c>
      <c r="DN29" s="142" t="n">
        <v>0.4393</v>
      </c>
      <c r="DO29" s="51" t="n">
        <v>369588080</v>
      </c>
      <c r="DP29" s="142" t="n">
        <v>0.0764</v>
      </c>
      <c r="DQ29" s="59" t="inlineStr">
        <is>
          <t>Free float denominator = total issued shares upon listing (col_CZ); numerator = offer shares minus cornerstone allocation</t>
        </is>
      </c>
      <c r="DR29" s="63" t="n">
        <v>369588080</v>
      </c>
      <c r="DS29" s="142" t="n">
        <v>-0.04839324</v>
      </c>
      <c r="DT29" s="80" t="n">
        <v>40</v>
      </c>
      <c r="DU29" s="142" t="n">
        <v>0.0286887</v>
      </c>
      <c r="DV29" s="144" t="n">
        <v>53975000000</v>
      </c>
      <c r="DW29" s="145" t="n">
        <v>23.2</v>
      </c>
      <c r="DX29" s="169" t="n">
        <v>0.074074</v>
      </c>
      <c r="DY29" s="172" t="n">
        <v>80000000</v>
      </c>
      <c r="DZ29" s="146" t="n">
        <v>22.48</v>
      </c>
      <c r="EA29" s="146" t="n">
        <v>23.66</v>
      </c>
      <c r="EB29" s="146" t="n">
        <v>22</v>
      </c>
      <c r="EC29" s="63" t="n">
        <v>13446780</v>
      </c>
      <c r="ED29" s="169" t="n">
        <v>0.268936</v>
      </c>
      <c r="EE29" s="64" t="n"/>
      <c r="EF29" s="60" t="inlineStr">
        <is>
          <t>Mechanism A</t>
        </is>
      </c>
      <c r="EG29" s="59" t="inlineStr">
        <is>
          <t>FINI (from 22/11/2023); 2025-08-04 pricing reform (Mechanism A/B; six-month cornerstone lock-up retained); this IPO: Mechanism A</t>
        </is>
      </c>
      <c r="EH29" t="inlineStr">
        <is>
          <t>本末动力（北京）科技股份有限公司</t>
        </is>
      </c>
      <c r="EI29" s="174" t="inlineStr">
        <is>
          <t>Active</t>
        </is>
      </c>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inlineStr">
        <is>
          <t>18C (Specialist Tech)</t>
        </is>
      </c>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inlineStr">
        <is>
          <t>POST_FINI</t>
        </is>
      </c>
      <c r="GT29" s="181" t="inlineStr">
        <is>
          <t>POST_2025_REFORM</t>
        </is>
      </c>
    </row>
    <row r="30" ht="68" customFormat="1" customHeight="1" s="11">
      <c r="A30" s="43" t="n">
        <v>113</v>
      </c>
      <c r="B30" s="47" t="inlineStr">
        <is>
          <t>9607.HK</t>
        </is>
      </c>
      <c r="C30" s="44" t="inlineStr">
        <is>
          <t>Red Avenue New Materials Group Co., Ltd.</t>
        </is>
      </c>
      <c r="D30" s="130" t="n">
        <v>46286</v>
      </c>
      <c r="E30" s="48" t="n">
        <v>46294</v>
      </c>
      <c r="F30" s="43" t="inlineStr">
        <is>
          <t>Haitong International Capital Limited</t>
        </is>
      </c>
      <c r="G30" s="43" t="inlineStr">
        <is>
          <t>Ernst &amp; Young</t>
        </is>
      </c>
      <c r="H30" s="43" t="n"/>
      <c r="I30" s="131" t="n">
        <v>299723600</v>
      </c>
      <c r="J30" s="148" t="n">
        <v>2697499200</v>
      </c>
      <c r="K30" s="133" t="n">
        <v>44</v>
      </c>
      <c r="L30" t="n">
        <v>68118700</v>
      </c>
      <c r="M30" s="67" t="n">
        <v>68118700</v>
      </c>
      <c r="N30" t="inlineStr">
        <is>
          <t>NaN</t>
        </is>
      </c>
      <c r="O30" t="inlineStr">
        <is>
          <t>NaN</t>
        </is>
      </c>
      <c r="P30" t="n">
        <v>0</v>
      </c>
      <c r="Q30" t="n">
        <v>68118700</v>
      </c>
      <c r="R30" s="67" t="n">
        <v>61306800</v>
      </c>
      <c r="S30" s="67" t="n">
        <v>6811900</v>
      </c>
      <c r="T30" s="147" t="n">
        <v>44</v>
      </c>
      <c r="U30" s="147" t="n">
        <v>39</v>
      </c>
      <c r="V30" s="169" t="n">
        <v>0.060241</v>
      </c>
      <c r="W30" s="169" t="n">
        <v>0.120482</v>
      </c>
      <c r="X30" s="170" t="inlineStr">
        <is>
          <t>At high</t>
        </is>
      </c>
      <c r="Y30" s="26" t="inlineStr">
        <is>
          <t>RMB</t>
        </is>
      </c>
      <c r="Z30" s="137" t="n">
        <v>8409127000</v>
      </c>
      <c r="AA30" s="137" t="n">
        <v>9218735000</v>
      </c>
      <c r="AB30" s="137" t="n">
        <v>9531055000</v>
      </c>
      <c r="AC30" s="137" t="n">
        <v>3459330000</v>
      </c>
      <c r="AD30" s="137" t="n">
        <v>4258691000</v>
      </c>
      <c r="AE30" s="137" t="n">
        <v>4316949000</v>
      </c>
      <c r="AF30" s="137" t="n">
        <v>4949797000</v>
      </c>
      <c r="AG30" s="137" t="n">
        <v>4960044000</v>
      </c>
      <c r="AH30" s="137" t="n">
        <v>5214106000</v>
      </c>
      <c r="AI30" s="137" t="n">
        <v>3263380000</v>
      </c>
      <c r="AJ30" s="137" t="n">
        <v>3420577000</v>
      </c>
      <c r="AK30" s="137" t="n">
        <v>4266128000</v>
      </c>
      <c r="AL30" s="137" t="n">
        <v>550166000</v>
      </c>
      <c r="AM30" s="137" t="n">
        <v>600950000</v>
      </c>
      <c r="AN30" s="137" t="n">
        <v>807952000</v>
      </c>
      <c r="AO30" s="137" t="n">
        <v>534185000</v>
      </c>
      <c r="AP30" s="137" t="n">
        <v>577261000</v>
      </c>
      <c r="AQ30" s="137" t="n">
        <v>778192000</v>
      </c>
      <c r="AR30" s="142" t="n">
        <v>0.02</v>
      </c>
      <c r="AS30" s="142" t="n">
        <v>0.02</v>
      </c>
      <c r="AT30" s="84" t="n">
        <v>0</v>
      </c>
      <c r="AU30" s="51" t="inlineStr">
        <is>
          <t>New materials provider in the PRC: R&amp;D, production, marketing, sales and distribution of rubber additives for tyres and other chemical products, electronic materials, and fully biodegradable materials</t>
        </is>
      </c>
      <c r="AV30" s="51" t="inlineStr">
        <is>
          <t>H Shares listed on the Main Board of The Stock Exchange of Hong Kong</t>
        </is>
      </c>
      <c r="AW30" s="136" t="n">
        <v>46203</v>
      </c>
      <c r="AX30" s="137" t="n">
        <v>36546000</v>
      </c>
      <c r="AY30" s="117" t="n">
        <v>435686000</v>
      </c>
      <c r="AZ30" s="117" t="n">
        <v>118384000</v>
      </c>
      <c r="BA30" s="117" t="n">
        <v>0</v>
      </c>
      <c r="BB30" s="138" t="n">
        <v>0.291</v>
      </c>
      <c r="BC30" s="139" t="n">
        <v>0.5</v>
      </c>
      <c r="BD30" s="80" t="inlineStr">
        <is>
          <t>NaN</t>
        </is>
      </c>
      <c r="BE30" s="161" t="inlineStr">
        <is>
          <t>NaN</t>
        </is>
      </c>
      <c r="BF30" s="161" t="inlineStr">
        <is>
          <t>NaN</t>
        </is>
      </c>
      <c r="BG30" s="161" t="inlineStr">
        <is>
          <t>NaN</t>
        </is>
      </c>
      <c r="BH30" s="161" t="inlineStr">
        <is>
          <t>NaN</t>
        </is>
      </c>
      <c r="BI30" s="161" t="inlineStr">
        <is>
          <t>NaN</t>
        </is>
      </c>
      <c r="BJ30" s="162" t="inlineStr">
        <is>
          <t>NA</t>
        </is>
      </c>
      <c r="BK30" s="163" t="inlineStr">
        <is>
          <t>NaN</t>
        </is>
      </c>
      <c r="BL30" s="161" t="inlineStr">
        <is>
          <t>NaN</t>
        </is>
      </c>
      <c r="BM30" s="164" t="inlineStr">
        <is>
          <t>NA</t>
        </is>
      </c>
      <c r="BN30" s="165" t="inlineStr">
        <is>
          <t>NaN</t>
        </is>
      </c>
      <c r="BO30" s="51" t="inlineStr">
        <is>
          <t>Natural person (Ms. Zhang)</t>
        </is>
      </c>
      <c r="BP30" s="135" t="n">
        <v>0.5489000000000001</v>
      </c>
      <c r="BQ30" s="135" t="n">
        <v>0.5489000000000001</v>
      </c>
      <c r="BR30" s="137" t="n">
        <v>4118228000</v>
      </c>
      <c r="BS30" s="51" t="inlineStr">
        <is>
          <t>NA</t>
        </is>
      </c>
      <c r="BT30" s="142" t="n">
        <v>0.1</v>
      </c>
      <c r="BU30" s="60" t="inlineStr">
        <is>
          <t>Main Board</t>
        </is>
      </c>
      <c r="BV30" s="89" t="inlineStr">
        <is>
          <t>H Shares (ordinary shares)</t>
        </is>
      </c>
      <c r="BW30" s="61" t="n">
        <v>1</v>
      </c>
      <c r="BX30" s="77" t="n">
        <v>0</v>
      </c>
      <c r="BY30" s="77" t="n">
        <v>0</v>
      </c>
      <c r="BZ30" s="78" t="n">
        <v>0</v>
      </c>
      <c r="CA30" s="60" t="inlineStr">
        <is>
          <t>053040</t>
        </is>
      </c>
      <c r="CB30" s="76" t="inlineStr">
        <is>
          <t>HSICS (Hang Seng Industry Classification System) 2026</t>
        </is>
      </c>
      <c r="CC30" s="140" t="n">
        <v>42631</v>
      </c>
      <c r="CD30" s="171" t="n">
        <v>10.03</v>
      </c>
      <c r="CE30" s="76" t="inlineStr">
        <is>
          <t>PRC</t>
        </is>
      </c>
      <c r="CF30" s="89" t="inlineStr">
        <is>
          <t>Shanghai, the PRC</t>
        </is>
      </c>
      <c r="CG30" s="91" t="n">
        <v>1000</v>
      </c>
      <c r="CH30" s="60" t="inlineStr">
        <is>
          <t>IFRS Accounting Standards (as issued by the IASB)</t>
        </is>
      </c>
      <c r="CI30" s="141" t="n">
        <v>45292</v>
      </c>
      <c r="CJ30" s="141" t="n">
        <v>45657</v>
      </c>
      <c r="CK30" s="141" t="n">
        <v>45658</v>
      </c>
      <c r="CL30" s="141" t="n">
        <v>46022</v>
      </c>
      <c r="CM30" s="141" t="n">
        <v>46023</v>
      </c>
      <c r="CN30" s="64" t="n">
        <v>2133064000</v>
      </c>
      <c r="CO30" s="64" t="n">
        <v>403976000</v>
      </c>
      <c r="CP30" s="64" t="n">
        <v>389096000</v>
      </c>
      <c r="CQ30" s="141" t="n">
        <v>46286</v>
      </c>
      <c r="CR30" s="141" t="n">
        <v>46289</v>
      </c>
      <c r="CS30" s="63" t="n">
        <v>68118700</v>
      </c>
      <c r="CT30" s="64" t="n">
        <v>487429000</v>
      </c>
      <c r="CU30" s="64" t="n">
        <v>257691000</v>
      </c>
      <c r="CV30" s="59" t="inlineStr">
        <is>
          <t>Unqualified (true and fair view)</t>
        </is>
      </c>
      <c r="CW30" s="64" t="inlineStr">
        <is>
          <t>NaN</t>
        </is>
      </c>
      <c r="CX30" s="51" t="inlineStr">
        <is>
          <t>CNCB (Hong Kong) Investment Limited; Full Truck Alliance Co. Ltd.; Golden Valley Value Select Master Fund; Goldshore Company Limited; Happy Wisdom Limited; Prinx Chengshan (Hong Kong) Tire Limited; Yang Quanhai; Zhou Bo</t>
        </is>
      </c>
      <c r="CY30" s="142" t="n">
        <v>0.3314</v>
      </c>
      <c r="CZ30" s="136" t="n">
        <v>46475</v>
      </c>
      <c r="DA30" s="143" t="n">
        <v>3.39</v>
      </c>
      <c r="DB30" s="63" t="n">
        <v>12645</v>
      </c>
      <c r="DC30" s="63" t="n">
        <v>23066500</v>
      </c>
      <c r="DD30" s="59" t="inlineStr">
        <is>
          <t>Subscription level 3.39 times</t>
        </is>
      </c>
      <c r="DE30" s="141" t="inlineStr">
        <is>
          <t>NA</t>
        </is>
      </c>
      <c r="DF30" s="141" t="n">
        <v>46293</v>
      </c>
      <c r="DG30" s="63" t="n">
        <v>68118700</v>
      </c>
      <c r="DH30" s="63" t="n">
        <v>6811900</v>
      </c>
      <c r="DI30" s="63" t="n">
        <v>61306800</v>
      </c>
      <c r="DJ30" s="63" t="inlineStr">
        <is>
          <t>NaN</t>
        </is>
      </c>
      <c r="DK30" s="169" t="n">
        <v>0</v>
      </c>
      <c r="DL30" s="59" t="inlineStr">
        <is>
          <t>无回拨：Claw-back triggered = N/A；最终香港公开发售 6,811,900 股与初始一致，国际配售 61,306,800 股不变，无重新分配</t>
        </is>
      </c>
      <c r="DM30" s="144" t="n">
        <v>2901290000</v>
      </c>
      <c r="DN30" s="142" t="n">
        <v>0.1</v>
      </c>
      <c r="DO30" s="51" t="n">
        <v>684188336</v>
      </c>
      <c r="DP30" s="142" t="n">
        <v>0.06660000000000001</v>
      </c>
      <c r="DQ30" s="59" t="inlineStr">
        <is>
          <t>Free float denominator = total issued shares upon listing (col_CZ); numerator = offer shares minus cornerstone allocation</t>
        </is>
      </c>
      <c r="DR30" s="63" t="n">
        <v>684188336</v>
      </c>
      <c r="DS30" s="142" t="n">
        <v>-0.04839324</v>
      </c>
      <c r="DT30" s="80" t="n">
        <v>40</v>
      </c>
      <c r="DU30" s="142" t="n">
        <v>0.0286887</v>
      </c>
      <c r="DV30" s="144" t="n">
        <v>53975000000</v>
      </c>
      <c r="DW30" s="145" t="n">
        <v>39.98</v>
      </c>
      <c r="DX30" s="169" t="n">
        <v>-0.091364</v>
      </c>
      <c r="DY30" s="172" t="n">
        <v>-273837174</v>
      </c>
      <c r="DZ30" s="146" t="n">
        <v>40</v>
      </c>
      <c r="EA30" s="146" t="n">
        <v>40.68</v>
      </c>
      <c r="EB30" s="146" t="n">
        <v>38</v>
      </c>
      <c r="EC30" s="63" t="n">
        <v>10735900</v>
      </c>
      <c r="ED30" s="169" t="n">
        <v>0.157606</v>
      </c>
      <c r="EE30" s="64" t="n"/>
      <c r="EF30" s="60" t="inlineStr">
        <is>
          <t>Mechanism B</t>
        </is>
      </c>
      <c r="EG30" s="59" t="inlineStr">
        <is>
          <t>FINI (from 22/11/2023); 2025-08-04 pricing reform (Mechanism A/B; six-month cornerstone lock-up retained); this IPO: Mechanism B</t>
        </is>
      </c>
      <c r="EH30" t="inlineStr">
        <is>
          <t>彤程新材料集团股份有限公司</t>
        </is>
      </c>
      <c r="EI30" s="174" t="inlineStr">
        <is>
          <t>Active</t>
        </is>
      </c>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inlineStr">
        <is>
          <t>Standard</t>
        </is>
      </c>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inlineStr">
        <is>
          <t>POST_FINI</t>
        </is>
      </c>
      <c r="GT30" s="181" t="inlineStr">
        <is>
          <t>POST_2025_REFORM</t>
        </is>
      </c>
    </row>
    <row r="31" ht="119" customFormat="1" customHeight="1" s="11">
      <c r="A31" s="43" t="n"/>
      <c r="B31" s="47" t="inlineStr">
        <is>
          <t>6802.HK</t>
        </is>
      </c>
      <c r="C31" s="44" t="inlineStr">
        <is>
          <t>Shenzhen Camsense Technologies Co., Ltd. - H Shares</t>
        </is>
      </c>
      <c r="D31" s="130" t="n">
        <v>46287</v>
      </c>
      <c r="E31" s="48" t="n">
        <v>46295</v>
      </c>
      <c r="F31" s="43" t="n"/>
      <c r="G31" s="43" t="n"/>
      <c r="H31" s="43" t="n"/>
      <c r="I31" s="131" t="n"/>
      <c r="J31" s="148" t="n"/>
      <c r="K31" s="133" t="n">
        <v>58.85</v>
      </c>
      <c r="L31" t="n">
        <v>96573639</v>
      </c>
      <c r="M31" s="67" t="n">
        <v>11588800</v>
      </c>
      <c r="N31" t="inlineStr">
        <is>
          <t>NaN</t>
        </is>
      </c>
      <c r="O31" t="inlineStr">
        <is>
          <t>NaN</t>
        </is>
      </c>
      <c r="P31" t="n">
        <v>0</v>
      </c>
      <c r="Q31" t="n">
        <v>11588800</v>
      </c>
      <c r="R31" s="67" t="n">
        <v>10429900</v>
      </c>
      <c r="S31" s="67" t="n">
        <v>1158900</v>
      </c>
      <c r="T31" s="147" t="n">
        <v>58.85</v>
      </c>
      <c r="U31" s="147" t="n">
        <v>58.85</v>
      </c>
      <c r="V31" s="169" t="n">
        <v>0</v>
      </c>
      <c r="W31" s="169" t="n">
        <v>0</v>
      </c>
      <c r="X31" s="170" t="inlineStr">
        <is>
          <t>Fixed price</t>
        </is>
      </c>
      <c r="Y31" s="26" t="inlineStr">
        <is>
          <t>RMB</t>
        </is>
      </c>
      <c r="Z31" s="137" t="n">
        <v>407914000</v>
      </c>
      <c r="AA31" s="137" t="n">
        <v>483591000</v>
      </c>
      <c r="AB31" s="137" t="n">
        <v>557073000</v>
      </c>
      <c r="AC31" s="137" t="n">
        <v>277626000</v>
      </c>
      <c r="AD31" s="137" t="n">
        <v>327402000</v>
      </c>
      <c r="AE31" s="137" t="n">
        <v>336828000</v>
      </c>
      <c r="AF31" s="137" t="n">
        <v>130288000</v>
      </c>
      <c r="AG31" s="137" t="n">
        <v>156189000</v>
      </c>
      <c r="AH31" s="137" t="n">
        <v>220245000</v>
      </c>
      <c r="AI31" s="137" t="n">
        <v>433324000</v>
      </c>
      <c r="AJ31" s="137" t="n">
        <v>613523000</v>
      </c>
      <c r="AK31" s="137" t="n">
        <v>783676000</v>
      </c>
      <c r="AL31" s="137" t="n">
        <v>-31360000</v>
      </c>
      <c r="AM31" s="137" t="n">
        <v>2201000</v>
      </c>
      <c r="AN31" s="137" t="n">
        <v>31028000</v>
      </c>
      <c r="AO31" s="137" t="n">
        <v>-31375000</v>
      </c>
      <c r="AP31" s="137" t="n">
        <v>2201000</v>
      </c>
      <c r="AQ31" s="137" t="n">
        <v>31028000</v>
      </c>
      <c r="AR31" s="142" t="n">
        <v>0.035</v>
      </c>
      <c r="AS31" s="142" t="n">
        <v>0.035</v>
      </c>
      <c r="AT31" s="84" t="n">
        <v>0.15</v>
      </c>
      <c r="AU31" s="51" t="inlineStr">
        <is>
          <t>Spatial sensing products and AI spatial sensing systems (triangulation LiDAR, dTOF LiDAR, 3D TOF LiDAR, line laser sensors) and algorithms/hardware, focused on robotic vacuums</t>
        </is>
      </c>
      <c r="AV31" s="51" t="inlineStr">
        <is>
          <t>Main Board of The Stock Exchange of Hong Kong (H Shares)</t>
        </is>
      </c>
      <c r="AW31" s="136" t="n">
        <v>46112</v>
      </c>
      <c r="AX31" s="137" t="n">
        <v>-5319000</v>
      </c>
      <c r="AY31" s="117" t="n">
        <v>26314000</v>
      </c>
      <c r="AZ31" s="117" t="n">
        <v>14813000</v>
      </c>
      <c r="BA31" s="117" t="n">
        <v>0</v>
      </c>
      <c r="BB31" s="138" t="n">
        <v>0.856</v>
      </c>
      <c r="BC31" s="139" t="n">
        <v>0.25</v>
      </c>
      <c r="BD31" s="80" t="n">
        <v>1</v>
      </c>
      <c r="BE31" s="161" t="n">
        <v>1</v>
      </c>
      <c r="BF31" s="161" t="n">
        <v>1</v>
      </c>
      <c r="BG31" s="161" t="n">
        <v>1</v>
      </c>
      <c r="BH31" s="161" t="n">
        <v>1</v>
      </c>
      <c r="BI31" s="161" t="inlineStr">
        <is>
          <t>NaN</t>
        </is>
      </c>
      <c r="BJ31" s="162" t="inlineStr">
        <is>
          <t>Mr. Liu Yi;Lewei Internet Investment Management (Beijing) Co., Ltd.;Fuhai Shenwan;New Fuguo;Fuhai Jiuqian;Mianyang Weisheng;Shanghai Puruan;Nanshan Fuhai;Shanghai Xuanjian;Changzhou Xiyang Puxin;Changzhou Xiyang;Jiaxing Zhongdian Aijia;Nanling Huiye;Shanghai Puyang;Dongguan Xiyang;Pingshan Kaisheng;Hangzhou Puhua Yuchen;Shenzhen Tianle;Kaisheng No.5;Shanghai Baichen;Changsha Xiyang;Mr. Yang Xi;Smart Internet;Shenzhen Qianhai;Zhongyuan Qianhai;Lingrui Keystone;Guosen Capital;Shenzhen Haojun;V-Capital;Wuxi Yicun Juncheng;Qingdao Resonance;Nanshan Shanghua Hongtu;Zhicheng Shuzhi No. 10;Qingdao Microelectronics;Qingdao Guotou;Zhongshan Entrepreneurship;Zhongshan Torch;Roborock Innovation;Hefei High-Tech</t>
        </is>
      </c>
      <c r="BK31" s="163" t="n">
        <v>0.6415999999999999</v>
      </c>
      <c r="BL31" s="161" t="n">
        <v>1</v>
      </c>
      <c r="BM31" s="164" t="inlineStr">
        <is>
          <t>Series Seed</t>
        </is>
      </c>
      <c r="BN31" s="165" t="n">
        <v>11.28</v>
      </c>
      <c r="BO31" s="51" t="inlineStr">
        <is>
          <t>Founders/individuals (co-founders acting in concert)</t>
        </is>
      </c>
      <c r="BP31" s="135" t="n">
        <v>0.2745</v>
      </c>
      <c r="BQ31" s="135" t="n">
        <v>0.2745</v>
      </c>
      <c r="BR31" s="137" t="n">
        <v>27820000</v>
      </c>
      <c r="BS31" s="51" t="inlineStr">
        <is>
          <t>Commercialized (mass production; cumulative shipments over 39 million units)</t>
        </is>
      </c>
      <c r="BT31" s="142" t="n">
        <v>0</v>
      </c>
      <c r="BU31" s="60" t="inlineStr">
        <is>
          <t>Main Board</t>
        </is>
      </c>
      <c r="BV31" s="89" t="inlineStr">
        <is>
          <t>H Shares</t>
        </is>
      </c>
      <c r="BW31" s="61" t="n">
        <v>0</v>
      </c>
      <c r="BX31" s="77" t="n">
        <v>0</v>
      </c>
      <c r="BY31" s="77" t="n">
        <v>0</v>
      </c>
      <c r="BZ31" s="78" t="n">
        <v>0</v>
      </c>
      <c r="CA31" s="60" t="inlineStr">
        <is>
          <t>101025</t>
        </is>
      </c>
      <c r="CB31" s="76" t="inlineStr">
        <is>
          <t>HSICS (Hang Seng Industry Classification System) 2026</t>
        </is>
      </c>
      <c r="CC31" s="140" t="n">
        <v>41639</v>
      </c>
      <c r="CD31" s="171" t="n">
        <v>12.75</v>
      </c>
      <c r="CE31" s="76" t="inlineStr">
        <is>
          <t>PRC</t>
        </is>
      </c>
      <c r="CF31" s="89" t="inlineStr">
        <is>
          <t>Shenzhen, the PRC</t>
        </is>
      </c>
      <c r="CG31" s="91" t="n">
        <v>1000</v>
      </c>
      <c r="CH31" s="60" t="inlineStr">
        <is>
          <t>IFRS</t>
        </is>
      </c>
      <c r="CI31" s="141" t="n">
        <v>45292</v>
      </c>
      <c r="CJ31" s="141" t="n">
        <v>45657</v>
      </c>
      <c r="CK31" s="141" t="n">
        <v>45658</v>
      </c>
      <c r="CL31" s="141" t="n">
        <v>46022</v>
      </c>
      <c r="CM31" s="141" t="n">
        <v>46023</v>
      </c>
      <c r="CN31" s="64" t="n">
        <v>195919000</v>
      </c>
      <c r="CO31" s="64" t="n">
        <v>7757000</v>
      </c>
      <c r="CP31" s="64" t="n">
        <v>7757000</v>
      </c>
      <c r="CQ31" s="141" t="n">
        <v>46287</v>
      </c>
      <c r="CR31" s="141" t="n">
        <v>46290</v>
      </c>
      <c r="CS31" s="63" t="n">
        <v>96573639</v>
      </c>
      <c r="CT31" s="64" t="n">
        <v>37580000</v>
      </c>
      <c r="CU31" s="64" t="n">
        <v>3312000</v>
      </c>
      <c r="CV31" s="59" t="inlineStr">
        <is>
          <t>Unqualified opinion</t>
        </is>
      </c>
      <c r="CW31" s="64" t="n">
        <v>66600000</v>
      </c>
      <c r="CX31" s="51" t="inlineStr">
        <is>
          <t>Golden Link Worldwide Limited;Taiwan ZMAX Optech Co., Ltd. (台灣中潤光電股份有限公司)</t>
        </is>
      </c>
      <c r="CY31" s="142" t="n">
        <v>0.1613</v>
      </c>
      <c r="CZ31" s="136" t="n">
        <v>46476</v>
      </c>
      <c r="DA31" s="143" t="n">
        <v>3546.91</v>
      </c>
      <c r="DB31" s="63" t="n">
        <v>157315</v>
      </c>
      <c r="DC31" s="63" t="n">
        <v>4110508700</v>
      </c>
      <c r="DD31" s="59" t="inlineStr">
        <is>
          <t>Subscription level 3,546.91 times</t>
        </is>
      </c>
      <c r="DE31" s="141" t="inlineStr">
        <is>
          <t>NA</t>
        </is>
      </c>
      <c r="DF31" s="141" t="n">
        <v>46294</v>
      </c>
      <c r="DG31" s="63" t="n">
        <v>11588800</v>
      </c>
      <c r="DH31" s="63" t="n">
        <v>1158900</v>
      </c>
      <c r="DI31" s="63" t="n">
        <v>10429900</v>
      </c>
      <c r="DJ31" s="63" t="inlineStr">
        <is>
          <t>NaN</t>
        </is>
      </c>
      <c r="DK31" s="169" t="n">
        <v>0</v>
      </c>
      <c r="DL31" s="59" t="inlineStr">
        <is>
          <t>Claw-back triggered: N/A — no clawback; 0 Offer Shares reallocated from the International Offering; final Hong Kong Public Offering size 1,158,900 H Shares (10% of Global Offering), unchanged from initial.</t>
        </is>
      </c>
      <c r="DM31" s="144" t="n">
        <v>609400000</v>
      </c>
      <c r="DN31" s="142" t="n">
        <v>0.6058</v>
      </c>
      <c r="DO31" s="51" t="n">
        <v>96573639</v>
      </c>
      <c r="DP31" s="142" t="n">
        <v>0.1006</v>
      </c>
      <c r="DQ31" s="59" t="inlineStr">
        <is>
          <t>Free float denominator = total issued share capital of the Company at the time of Listing (96,573,639 shares, assuming the Over-allotment Option is not exercised); numerator = 9,719,600 H Shares counted towards free float, excluding cornerstone Offer Shares (6-month lock-up) and H Shares held by existing Shareholders converted from Unlisted Shares (12-month PRC law lock-up).</t>
        </is>
      </c>
      <c r="DR31" s="63" t="n">
        <v>96573639</v>
      </c>
      <c r="DS31" s="142" t="n">
        <v>-0.01859987</v>
      </c>
      <c r="DT31" s="80" t="n">
        <v>39</v>
      </c>
      <c r="DU31" s="142" t="n">
        <v>0.0286923</v>
      </c>
      <c r="DV31" s="144" t="n">
        <v>53975000000</v>
      </c>
      <c r="DW31" s="145" t="n">
        <v>215.2</v>
      </c>
      <c r="DX31" s="169" t="n">
        <v>2.656754</v>
      </c>
      <c r="DY31" s="172" t="n">
        <v>1811908880</v>
      </c>
      <c r="DZ31" s="146" t="n">
        <v>168</v>
      </c>
      <c r="EA31" s="146" t="n">
        <v>215.2</v>
      </c>
      <c r="EB31" s="146" t="n">
        <v>158</v>
      </c>
      <c r="EC31" s="63" t="n">
        <v>3808026</v>
      </c>
      <c r="ED31" s="169" t="n">
        <v>0.328595</v>
      </c>
      <c r="EE31" s="64" t="n"/>
      <c r="EF31" s="60" t="inlineStr">
        <is>
          <t>Mechanism B</t>
        </is>
      </c>
      <c r="EG31" s="59" t="inlineStr">
        <is>
          <t>FINI (from 22/11/2023); 2025-08-04 pricing reform (Mechanism A/B; six-month cornerstone lock-up retained); this IPO: Mechanism B</t>
        </is>
      </c>
      <c r="EH31" t="inlineStr">
        <is>
          <t>深圳市欢创科技股份有限公司</t>
        </is>
      </c>
      <c r="EI31" s="174" t="inlineStr">
        <is>
          <t>Active</t>
        </is>
      </c>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inlineStr">
        <is>
          <t>Standard</t>
        </is>
      </c>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inlineStr">
        <is>
          <t>POST_FINI</t>
        </is>
      </c>
      <c r="GT31" s="181" t="inlineStr">
        <is>
          <t>POST_2025_REFORM</t>
        </is>
      </c>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Penny Cheung</dc:creator>
  <dcterms:created xsi:type="dcterms:W3CDTF">1998-12-03T07:18:48Z</dcterms:created>
  <dcterms:modified xsi:type="dcterms:W3CDTF">2026-10-17T01:53:20Z</dcterms:modified>
  <cp:lastModifiedBy>ZHU Jiaqi</cp:lastModifiedBy>
  <cp:lastPrinted>2013-12-11T03:06:09Z</cp:lastPrint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ies>
</file>