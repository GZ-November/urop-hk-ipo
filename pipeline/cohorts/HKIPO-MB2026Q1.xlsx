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6082.HK</t>
        </is>
      </c>
      <c r="C2" s="44" t="inlineStr">
        <is>
          <t>Shanghai Biren Technology Co., Ltd.- H shares</t>
        </is>
      </c>
      <c r="D2" s="130" t="n">
        <v>46013</v>
      </c>
      <c r="E2" s="48" t="n">
        <v>46024</v>
      </c>
      <c r="F2" s="43" t="inlineStr">
        <is>
          <t>China International Capital Corporation Hong Kong Securities Limited / Ping An of China Capital (Hong Kong) Company Limited / BOCI Asia Limited</t>
        </is>
      </c>
      <c r="G2" s="43" t="inlineStr">
        <is>
          <t>PricewaterhouseCoopers</t>
        </is>
      </c>
      <c r="H2" s="43" t="inlineStr">
        <is>
          <t>AVISTA Valuation Advisory Limited</t>
        </is>
      </c>
      <c r="I2" s="131" t="n">
        <v>970956560</v>
      </c>
      <c r="J2" s="132" t="n">
        <v>5449482080</v>
      </c>
      <c r="K2" s="133" t="n">
        <v>19.6</v>
      </c>
      <c r="L2" t="n">
        <v>2358977900</v>
      </c>
      <c r="M2" s="67" t="n">
        <v>247692800</v>
      </c>
      <c r="N2" t="n">
        <v>2111285100</v>
      </c>
      <c r="O2" t="n">
        <v>2111285100</v>
      </c>
      <c r="P2" t="n">
        <v>0</v>
      </c>
      <c r="Q2" t="n">
        <v>247692800</v>
      </c>
      <c r="R2" s="67" t="n">
        <v>235308000</v>
      </c>
      <c r="S2" s="67" t="n">
        <v>12384800</v>
      </c>
      <c r="T2" s="134" t="n">
        <v>19.6</v>
      </c>
      <c r="U2" s="134" t="n">
        <v>17</v>
      </c>
      <c r="V2" s="169" t="n">
        <v>0.071038</v>
      </c>
      <c r="W2" s="169" t="n">
        <v>0.142077</v>
      </c>
      <c r="X2" s="170" t="inlineStr">
        <is>
          <t>At high</t>
        </is>
      </c>
      <c r="Y2" s="26" t="inlineStr">
        <is>
          <t>RMB</t>
        </is>
      </c>
      <c r="Z2" s="117" t="n">
        <v>3397768000</v>
      </c>
      <c r="AA2" s="117" t="n">
        <v>3041147000</v>
      </c>
      <c r="AB2" s="117" t="n">
        <v>4020289000</v>
      </c>
      <c r="AC2" s="117" t="n">
        <v>-5969861000</v>
      </c>
      <c r="AD2" s="117" t="n">
        <v>-7424205000</v>
      </c>
      <c r="AE2" s="117" t="n">
        <v>-8997718000</v>
      </c>
      <c r="AF2" s="117" t="n">
        <v>9367629000</v>
      </c>
      <c r="AG2" s="117" t="n">
        <v>10465352000</v>
      </c>
      <c r="AH2" s="117" t="n">
        <v>13018007000</v>
      </c>
      <c r="AI2" s="117" t="n">
        <v>62030000</v>
      </c>
      <c r="AJ2" s="117" t="n">
        <v>336803000</v>
      </c>
      <c r="AK2" s="117" t="n">
        <v>117806000</v>
      </c>
      <c r="AL2" s="117" t="n">
        <v>-1744058000</v>
      </c>
      <c r="AM2" s="117" t="n">
        <v>-1538189000</v>
      </c>
      <c r="AN2" s="117" t="n">
        <v>-3201052000</v>
      </c>
      <c r="AO2" s="117" t="n">
        <v>-1743955000</v>
      </c>
      <c r="AP2" s="117" t="n">
        <v>-1538100000</v>
      </c>
      <c r="AQ2" s="117" t="n">
        <v>-3201052000</v>
      </c>
      <c r="AR2" s="135" t="n">
        <v>0.015</v>
      </c>
      <c r="AS2" s="135" t="n">
        <v>0.015</v>
      </c>
      <c r="AT2" s="70" t="n">
        <v>0.15</v>
      </c>
      <c r="AU2" s="51" t="inlineStr">
        <is>
          <t>GPGPU chips and GPGPU-based intelligent computing solutions for AI</t>
        </is>
      </c>
      <c r="AV2" s="51" t="inlineStr">
        <is>
          <t>Main Board Chapter 18C Specialist Technology Company (unable to meet Rule 8.05(1)/(2)/(3))</t>
        </is>
      </c>
      <c r="AW2" s="136" t="n">
        <v>45838</v>
      </c>
      <c r="AX2" s="137" t="n">
        <v>-1073324000</v>
      </c>
      <c r="AY2" s="117" t="n">
        <v>1285098000</v>
      </c>
      <c r="AZ2" s="117" t="n">
        <v>571616000</v>
      </c>
      <c r="BA2" s="117" t="n">
        <v>0</v>
      </c>
      <c r="BB2" s="138" t="n">
        <v>0.979</v>
      </c>
      <c r="BC2" s="139" t="n">
        <v>0.5</v>
      </c>
      <c r="BD2" s="80" t="n">
        <v>1</v>
      </c>
      <c r="BE2" s="161" t="n">
        <v>1</v>
      </c>
      <c r="BF2" s="161" t="n">
        <v>0</v>
      </c>
      <c r="BG2" s="161" t="n">
        <v>1</v>
      </c>
      <c r="BH2" s="161" t="n">
        <v>1</v>
      </c>
      <c r="BI2" s="161" t="n">
        <v>1</v>
      </c>
      <c r="BJ2" s="162" t="inlineStr">
        <is>
          <t>Qiming Venture Partners; Country Garden VC; Sky9 Capital; Songhe Capital; Zhuhai Gree; Walden International; Shanghai SOE Reform Fund</t>
        </is>
      </c>
      <c r="BK2" s="163" t="n">
        <v>0.6852</v>
      </c>
      <c r="BL2" s="161" t="n">
        <v>1</v>
      </c>
      <c r="BM2" s="164" t="inlineStr">
        <is>
          <t>Series Pre-A</t>
        </is>
      </c>
      <c r="BN2" s="165" t="n">
        <v>6.04</v>
      </c>
      <c r="BO2" s="51" t="inlineStr">
        <is>
          <t>自然人</t>
        </is>
      </c>
      <c r="BP2" s="135" t="n">
        <v>0.1587</v>
      </c>
      <c r="BQ2" s="135" t="n">
        <v>0.1587</v>
      </c>
      <c r="BR2" s="137" t="n">
        <v>48517000</v>
      </c>
      <c r="BS2" s="73" t="inlineStr">
        <is>
          <t>已量产：2023年实现BR106量产并开始产生收入；仍处于商业化早期阶段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1</v>
      </c>
      <c r="CA2" s="60" t="inlineStr">
        <is>
          <t>703010</t>
        </is>
      </c>
      <c r="CB2" s="76" t="inlineStr">
        <is>
          <t>HSICS (Hang Seng Industry Classification System) 2026</t>
        </is>
      </c>
      <c r="CC2" s="140" t="n">
        <v>43717</v>
      </c>
      <c r="CD2" s="171" t="n">
        <v>6.32</v>
      </c>
      <c r="CE2" s="76" t="inlineStr">
        <is>
          <t>PRC</t>
        </is>
      </c>
      <c r="CF2" s="89" t="inlineStr">
        <is>
          <t>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58903000</v>
      </c>
      <c r="CO2" s="64" t="n">
        <v>-1600526000</v>
      </c>
      <c r="CP2" s="64" t="n">
        <v>-1600526000</v>
      </c>
      <c r="CQ2" s="141" t="n">
        <v>46013</v>
      </c>
      <c r="CR2" s="141" t="n">
        <v>46020</v>
      </c>
      <c r="CS2" s="63" t="n">
        <v>1120964824</v>
      </c>
      <c r="CT2" s="64" t="n">
        <v>18769000</v>
      </c>
      <c r="CU2" s="64" t="n">
        <v>93249000</v>
      </c>
      <c r="CV2" s="59" t="inlineStr">
        <is>
          <t>无保留意见 (Unqualified opinion)</t>
        </is>
      </c>
      <c r="CW2" s="64" t="n">
        <v>182100000</v>
      </c>
      <c r="CX2" s="51" t="inlineStr">
        <is>
          <t>3W Fund; Qiming Venture Partners (QM125, QM120); AMF; WT Asset Management; Hao Great China Focus Fund; Ping An Life Insurance; Huadeng Technology; Lion Global; CICC FT (Shanghai Greenwoods OTC Swaps); MY Asian; Eastspring; UBS AM Singapore; Taikang Life; Aspirational China Growth; Charoen Pokphand; Digital China; GTJA HK (Jinxiu 608/Zhonghe OTC Swaps); China Southern; Fullgoal (Fullgoal Fund, Fullgoal HK); Yeebo; EIP; Tessy Holding Limited; New Opportunities SPC</t>
        </is>
      </c>
      <c r="CY2" s="142" t="n">
        <v>0.5193</v>
      </c>
      <c r="CZ2" s="136" t="n">
        <v>46205</v>
      </c>
      <c r="DA2" s="143" t="n">
        <v>2347.53</v>
      </c>
      <c r="DB2" s="63" t="n">
        <v>471116</v>
      </c>
      <c r="DC2" s="63" t="n">
        <v>29073659800</v>
      </c>
      <c r="DD2" s="59" t="inlineStr">
        <is>
          <t>Subscription level 2,347.53 times</t>
        </is>
      </c>
      <c r="DE2" s="141" t="n">
        <v>46021</v>
      </c>
      <c r="DF2" s="141" t="n">
        <v>46022</v>
      </c>
      <c r="DG2" s="63" t="n">
        <v>284846600</v>
      </c>
      <c r="DH2" s="63" t="n">
        <v>49538600</v>
      </c>
      <c r="DI2" s="63" t="n">
        <v>235308000</v>
      </c>
      <c r="DJ2" s="63" t="n">
        <v>42726800</v>
      </c>
      <c r="DK2" s="169" t="n">
        <v>1</v>
      </c>
      <c r="DL2" s="59" t="inlineStr">
        <is>
          <t>No. of Offer Shares reallocated from the International Offer (claw-back) 37,153,800; final no. of Offer Shares under the Public Offer (after reallocation) 49,538,600.</t>
        </is>
      </c>
      <c r="DM2" s="144" t="n">
        <v>5374500000</v>
      </c>
      <c r="DN2" s="142" t="n">
        <v>0.4833</v>
      </c>
      <c r="DO2" s="51" t="n">
        <v>2396131700</v>
      </c>
      <c r="DP2" s="142" t="n">
        <v>0.0571</v>
      </c>
      <c r="DQ2" s="59" t="inlineStr">
        <is>
          <t>Free float denominator = total issued share capital of the Company upon Listing (2,396,131,700 Shares, taking into account the full exercise of the Offer Size Adjustment Option and before any exercise of the Over-allotment Option); H Shares held by the Cornerstone Investors (six-month lock-up) are excluded from free float.</t>
        </is>
      </c>
      <c r="DR2" s="63" t="n">
        <v>2396131700</v>
      </c>
      <c r="DS2" s="142" t="n">
        <v>0.01865617</v>
      </c>
      <c r="DT2" s="80" t="n">
        <v>39</v>
      </c>
      <c r="DU2" s="142" t="n">
        <v>0.0316798</v>
      </c>
      <c r="DV2" s="144" t="n">
        <v>53926000000</v>
      </c>
      <c r="DW2" s="145" t="n">
        <v>34.46</v>
      </c>
      <c r="DX2" s="169" t="n">
        <v>0.758163</v>
      </c>
      <c r="DY2" s="172" t="n">
        <v>4232820476</v>
      </c>
      <c r="DZ2" s="146" t="n">
        <v>35.7</v>
      </c>
      <c r="EA2" s="146" t="n">
        <v>42.88</v>
      </c>
      <c r="EB2" s="146" t="n">
        <v>33.5</v>
      </c>
      <c r="EC2" s="63" t="n">
        <v>150709945</v>
      </c>
      <c r="ED2" s="169" t="n">
        <v>0.529092</v>
      </c>
      <c r="EE2" s="64" t="n">
        <v>5521275600</v>
      </c>
      <c r="EF2" s="60" t="inlineStr">
        <is>
          <t>Mechanism A</t>
        </is>
      </c>
      <c r="EG2" s="59" t="inlineStr">
        <is>
          <t>FINI (from 22/11/2023); 2025-08-04 pricing reform (Mechanism A/B; six-month cornerstone lock-up retained); this IPO: Mechanism A</t>
        </is>
      </c>
      <c r="EH2" t="inlineStr">
        <is>
          <t>上海壁仞科技股份有限公司</t>
        </is>
      </c>
      <c r="EI2" s="174" t="inlineStr">
        <is>
          <t>Active</t>
        </is>
      </c>
      <c r="EJ2" s="175" t="n">
        <v>35.2</v>
      </c>
      <c r="EK2" s="176" t="n">
        <v>0.021474</v>
      </c>
      <c r="EL2" s="176" t="n">
        <v>0.795918</v>
      </c>
      <c r="EM2" s="176" t="n">
        <v>0.061872</v>
      </c>
      <c r="EN2" s="176" t="n">
        <v>0.018245</v>
      </c>
      <c r="EO2" s="179" t="n">
        <v>0.962</v>
      </c>
      <c r="EP2" s="179" t="n">
        <v>1.0032</v>
      </c>
      <c r="EQ2" s="178" t="n">
        <v>683071810</v>
      </c>
      <c r="ER2" s="175" t="n">
        <v>48.32</v>
      </c>
      <c r="ES2" s="176" t="n">
        <v>0.402205</v>
      </c>
      <c r="ET2" s="176" t="n">
        <v>1.465306</v>
      </c>
      <c r="EU2" s="176" t="n">
        <v>-0.124663</v>
      </c>
      <c r="EV2" s="176" t="n">
        <v>-0.223511</v>
      </c>
      <c r="EW2" s="179" t="n">
        <v>1.6019</v>
      </c>
      <c r="EX2" s="179" t="n">
        <v>1.8058</v>
      </c>
      <c r="EY2" s="178" t="n">
        <v>871107890</v>
      </c>
      <c r="EZ2" s="176" t="n">
        <v>0.157773</v>
      </c>
      <c r="FA2" s="176" t="n"/>
      <c r="FB2" s="179" t="n"/>
      <c r="FC2" s="176" t="n"/>
      <c r="FD2" s="179" t="n"/>
      <c r="FE2" s="174" t="inlineStr">
        <is>
          <t>18C (Specialist Tech)</t>
        </is>
      </c>
      <c r="FF2" s="181" t="inlineStr">
        <is>
          <t>China International Capital Corporation Hong Kong 
Securities Limited</t>
        </is>
      </c>
      <c r="FG2" s="185" t="inlineStr">
        <is>
          <t>2026-01-28</t>
        </is>
      </c>
      <c r="FH2" s="183" t="n">
        <v>0</v>
      </c>
      <c r="FI2" s="178" t="n">
        <v>42726800</v>
      </c>
      <c r="FJ2" s="176" t="n">
        <v>0.15</v>
      </c>
      <c r="FK2" s="185" t="inlineStr">
        <is>
          <t>2026-01-28</t>
        </is>
      </c>
      <c r="FL2" s="178" t="n">
        <v>42726800</v>
      </c>
      <c r="FM2" s="176" t="n">
        <v>1</v>
      </c>
      <c r="FN2" s="176" t="n">
        <v>-0.083147</v>
      </c>
      <c r="FO2" s="176" t="n">
        <v>-0.053846</v>
      </c>
      <c r="FP2" s="176" t="n">
        <v>0.324883</v>
      </c>
      <c r="FQ2" s="176" t="n">
        <v>-0.024376</v>
      </c>
      <c r="FR2" s="179" t="n">
        <v>0.9827</v>
      </c>
      <c r="FS2" s="176" t="n">
        <v>0.021474</v>
      </c>
      <c r="FT2" s="179" t="n">
        <v>0.962</v>
      </c>
      <c r="FU2" s="176" t="n">
        <v>-0.052234</v>
      </c>
      <c r="FV2" s="179" t="n">
        <v>0.9641</v>
      </c>
      <c r="FW2" s="179" t="n">
        <v>1.1043</v>
      </c>
      <c r="FX2" s="178" t="n">
        <v>350517749.21</v>
      </c>
      <c r="FY2" s="186" t="n">
        <v>0.0001398412698412698</v>
      </c>
      <c r="FZ2" s="183" t="n">
        <v>0</v>
      </c>
      <c r="GA2" s="176" t="n">
        <v>0.09299886542479831</v>
      </c>
      <c r="GB2" s="176" t="n">
        <v>0.36424</v>
      </c>
      <c r="GC2" s="185" t="inlineStr">
        <is>
          <t>2026-07-02</t>
        </is>
      </c>
      <c r="GD2" s="185" t="inlineStr">
        <is>
          <t>2027-01-02</t>
        </is>
      </c>
      <c r="GE2" s="176" t="n">
        <v>-0.177192</v>
      </c>
      <c r="GF2" s="176" t="n">
        <v>-0.670933</v>
      </c>
      <c r="GG2" s="179" t="n">
        <v>1.4033</v>
      </c>
      <c r="GH2" s="181" t="inlineStr">
        <is>
          <t>China International Capital Corporation Hong Kong 
Securities Limited</t>
        </is>
      </c>
      <c r="GI2" s="183" t="n">
        <v>0</v>
      </c>
      <c r="GJ2" s="183" t="n">
        <v>0</v>
      </c>
      <c r="GK2" s="176" t="n">
        <v>0.00015</v>
      </c>
      <c r="GL2" s="176" t="n">
        <v>0.01</v>
      </c>
      <c r="GM2" s="176" t="n">
        <v>0.01015</v>
      </c>
      <c r="GN2" s="183" t="n">
        <v>25</v>
      </c>
      <c r="GO2" s="183" t="n">
        <v>1</v>
      </c>
      <c r="GP2" s="183" t="n">
        <v>1</v>
      </c>
      <c r="GQ2" s="183" t="n">
        <v>8</v>
      </c>
      <c r="GR2" s="183" t="n">
        <v>1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2513.HK</t>
        </is>
      </c>
      <c r="C3" s="44" t="inlineStr">
        <is>
          <t>Knowledge Atlas Technology Joint Stock Company Limited - H shares</t>
        </is>
      </c>
      <c r="D3" s="130" t="n">
        <v>46021</v>
      </c>
      <c r="E3" s="48" t="n">
        <v>46030</v>
      </c>
      <c r="F3" s="43" t="inlineStr">
        <is>
          <t>China International Capital Corporation Hong Kong Securities Limited</t>
        </is>
      </c>
      <c r="G3" s="43" t="inlineStr">
        <is>
          <t>KPMG</t>
        </is>
      </c>
      <c r="H3" s="43" t="inlineStr">
        <is>
          <t>N/A</t>
        </is>
      </c>
      <c r="I3" s="131" t="n">
        <v>869629180</v>
      </c>
      <c r="J3" s="132" t="n">
        <v>4130735700</v>
      </c>
      <c r="K3" s="133" t="n">
        <v>116.2</v>
      </c>
      <c r="L3" t="n">
        <v>440230190</v>
      </c>
      <c r="M3" s="67" t="n">
        <v>37419500</v>
      </c>
      <c r="N3" t="n">
        <v>402810690</v>
      </c>
      <c r="O3" t="n">
        <v>402810690</v>
      </c>
      <c r="P3" t="n">
        <v>0</v>
      </c>
      <c r="Q3" t="n">
        <v>37419500</v>
      </c>
      <c r="R3" s="67" t="n">
        <v>35548500</v>
      </c>
      <c r="S3" s="67" t="n">
        <v>1871000</v>
      </c>
      <c r="T3" s="134" t="n">
        <v>116.2</v>
      </c>
      <c r="U3" s="134" t="n">
        <v>116.2</v>
      </c>
      <c r="V3" s="169" t="n">
        <v>0</v>
      </c>
      <c r="W3" s="169" t="n">
        <v>0</v>
      </c>
      <c r="X3" s="170" t="inlineStr">
        <is>
          <t>Fixed price</t>
        </is>
      </c>
      <c r="Y3" s="26" t="inlineStr">
        <is>
          <t>RMB</t>
        </is>
      </c>
      <c r="Z3" s="137" t="n">
        <v>2860153000</v>
      </c>
      <c r="AA3" s="137" t="n">
        <v>4375769000</v>
      </c>
      <c r="AB3" s="137" t="n">
        <v>5100711000</v>
      </c>
      <c r="AC3" s="137" t="n">
        <v>-982593000</v>
      </c>
      <c r="AD3" s="137" t="n">
        <v>-3955145000</v>
      </c>
      <c r="AE3" s="137" t="n">
        <v>-6150841000</v>
      </c>
      <c r="AF3" s="137" t="n">
        <v>3842746000</v>
      </c>
      <c r="AG3" s="137" t="n">
        <v>8330914000</v>
      </c>
      <c r="AH3" s="137" t="n">
        <v>11251552000</v>
      </c>
      <c r="AI3" s="137" t="n">
        <v>124538000</v>
      </c>
      <c r="AJ3" s="137" t="n">
        <v>312414000</v>
      </c>
      <c r="AK3" s="137" t="n">
        <v>381754000</v>
      </c>
      <c r="AL3" s="137" t="n">
        <v>-787957000</v>
      </c>
      <c r="AM3" s="137" t="n">
        <v>-2958007000</v>
      </c>
      <c r="AN3" s="137" t="n">
        <v>-4715704000</v>
      </c>
      <c r="AO3" s="137" t="n">
        <v>-787957000</v>
      </c>
      <c r="AP3" s="137" t="n">
        <v>-2958007000</v>
      </c>
      <c r="AQ3" s="137" t="n">
        <v>-4715704000</v>
      </c>
      <c r="AR3" s="135" t="n">
        <v>0.02</v>
      </c>
      <c r="AS3" s="135" t="n">
        <v>0.02</v>
      </c>
      <c r="AT3" s="70" t="n">
        <v>0.15</v>
      </c>
      <c r="AU3" s="51" t="inlineStr">
        <is>
          <t>Leading AI company in China dedicated to developing general-purpose large models / MaaS platform</t>
        </is>
      </c>
      <c r="AV3" s="51" t="inlineStr">
        <is>
          <t>Chapter 18C Specialist Technology Company (Commercial Company)</t>
        </is>
      </c>
      <c r="AW3" s="136" t="n">
        <v>45838</v>
      </c>
      <c r="AX3" s="137" t="n">
        <v>-1327150000</v>
      </c>
      <c r="AY3" s="117" t="n">
        <v>2551970000</v>
      </c>
      <c r="AZ3" s="117" t="n">
        <v>1594661000</v>
      </c>
      <c r="BA3" s="117" t="n">
        <v>0</v>
      </c>
      <c r="BB3" s="138" t="n">
        <v>0.4</v>
      </c>
      <c r="BC3" s="139" t="n">
        <v>0.5</v>
      </c>
      <c r="BD3" s="80" t="n">
        <v>1</v>
      </c>
      <c r="BE3" s="161" t="n">
        <v>1</v>
      </c>
      <c r="BF3" s="161" t="n">
        <v>0</v>
      </c>
      <c r="BG3" s="161" t="n">
        <v>1</v>
      </c>
      <c r="BH3" s="161" t="n">
        <v>1</v>
      </c>
      <c r="BI3" s="161" t="n">
        <v>1</v>
      </c>
      <c r="BJ3" s="162" t="inlineStr">
        <is>
          <t>Qiming Venture Partners; HongShan; Legend Capital; Meituan; Alibaba; Tencent; Xiaomi; Prosperity7; Beijing AI Fund</t>
        </is>
      </c>
      <c r="BK3" s="163" t="n">
        <v>0.6518</v>
      </c>
      <c r="BL3" s="161" t="n">
        <v>1</v>
      </c>
      <c r="BM3" s="164" t="inlineStr">
        <is>
          <t>Series Angel</t>
        </is>
      </c>
      <c r="BN3" s="165" t="n">
        <v>4.58</v>
      </c>
      <c r="BO3" s="51" t="inlineStr">
        <is>
          <t>自然人（Dr. Liu 为最终控制人，与一致行动人共同构成控股股东集团）</t>
        </is>
      </c>
      <c r="BP3" s="135" t="n">
        <v>0.3022</v>
      </c>
      <c r="BQ3" s="135" t="n">
        <v>0.3022</v>
      </c>
      <c r="BR3" s="137" t="n">
        <v>350672000</v>
      </c>
      <c r="BS3" s="73" t="inlineStr">
        <is>
          <t>规模商业化（已建立大规模可扩展业务；原文：commenced commercialization in 2021, a large and scalable business）</t>
        </is>
      </c>
      <c r="BT3" s="142" t="n">
        <v>0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1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43627</v>
      </c>
      <c r="CD3" s="171" t="n">
        <v>6.58</v>
      </c>
      <c r="CE3" s="76" t="inlineStr">
        <is>
          <t>PRC</t>
        </is>
      </c>
      <c r="CF3" s="89" t="inlineStr">
        <is>
          <t>Beijing, PRC</t>
        </is>
      </c>
      <c r="CG3" s="91" t="n">
        <v>1000</v>
      </c>
      <c r="CH3" s="60" t="inlineStr">
        <is>
          <t>IFRS Accounting Standards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190877000</v>
      </c>
      <c r="CO3" s="64" t="n">
        <v>-2357852000</v>
      </c>
      <c r="CP3" s="64" t="n">
        <v>-2357852000</v>
      </c>
      <c r="CQ3" s="141" t="n">
        <v>46021</v>
      </c>
      <c r="CR3" s="141" t="n">
        <v>46027</v>
      </c>
      <c r="CS3" s="63" t="n">
        <v>215701705</v>
      </c>
      <c r="CT3" s="64" t="n">
        <v>95424000</v>
      </c>
      <c r="CU3" s="64" t="n">
        <v>23908000</v>
      </c>
      <c r="CV3" s="59" t="inlineStr">
        <is>
          <t>无保留意见（Unqualified opinion）</t>
        </is>
      </c>
      <c r="CW3" s="64" t="n">
        <v>174700000</v>
      </c>
      <c r="CX3" s="51" t="inlineStr">
        <is>
          <t>JSC International Investment Fund SPC (acting for and on behalf of Qizhi SP); JinYi Capital Multi-Strategy Fund SPC Ltd. (acting for and on behalf of Structured Credit SP Fund); Perseverance Asset Management; Shanghai Gaoyi and CICC Financial Trading Limited (in connection with Gaoyi OTC Swaps); WT Asset Management; Taikang Life; GF Fund; 3W Fund; RIME; Optimas Capital Limited; Luster LightTech International Limited</t>
        </is>
      </c>
      <c r="CY3" s="142" t="n">
        <v>0.6863</v>
      </c>
      <c r="CZ3" s="136" t="n">
        <v>46211</v>
      </c>
      <c r="DA3" s="143" t="n">
        <v>1159.46</v>
      </c>
      <c r="DB3" s="63" t="n">
        <v>204871</v>
      </c>
      <c r="DC3" s="63" t="n">
        <v>2169357600</v>
      </c>
      <c r="DD3" s="59" t="inlineStr">
        <is>
          <t>Subscription level 1,159.46 times</t>
        </is>
      </c>
      <c r="DE3" s="141" t="inlineStr">
        <is>
          <t>NA</t>
        </is>
      </c>
      <c r="DF3" s="141" t="n">
        <v>46029</v>
      </c>
      <c r="DG3" s="63" t="n">
        <v>37419500</v>
      </c>
      <c r="DH3" s="63" t="n">
        <v>7483900</v>
      </c>
      <c r="DI3" s="63" t="n">
        <v>29935600</v>
      </c>
      <c r="DJ3" s="63" t="n">
        <v>5612900</v>
      </c>
      <c r="DK3" s="169" t="n">
        <v>1</v>
      </c>
      <c r="DL3" s="59" t="inlineStr">
        <is>
          <t>The Hong Kong Public Offering was over-subscribed by more than 50 times, so the reallocation procedure was applied: the Offer Shares initially available under the Hong Kong Public Offering (1,871,000 Shares, approximately 5%) were reallocated from the International Offering, and the final number of Offer Shares under the Hong Kong Public Offering was adjusted to 7,483,900 Shares, representing 20% of the Global Offering (assuming the Over-allotment Option is not exercised).</t>
        </is>
      </c>
      <c r="DM3" s="144" t="n">
        <v>4173400000</v>
      </c>
      <c r="DN3" s="142" t="n">
        <v>0.4673</v>
      </c>
      <c r="DO3" s="51" t="n">
        <v>440230190</v>
      </c>
      <c r="DP3" s="142" t="n">
        <v>0.0267</v>
      </c>
      <c r="DQ3" s="59" t="inlineStr">
        <is>
          <t>Free float denominator = total issued shares upon Listing (440,230,190 shares); Shares held by the Cornerstone Investors are excluded from the free float because they are subject to a six-month lock-up following the Listing Date.</t>
        </is>
      </c>
      <c r="DR3" s="63" t="n">
        <v>440230190</v>
      </c>
      <c r="DS3" s="142" t="n">
        <v>-0.01197486</v>
      </c>
      <c r="DT3" s="80" t="n">
        <v>41</v>
      </c>
      <c r="DU3" s="142" t="n">
        <v>0.033506</v>
      </c>
      <c r="DV3" s="144" t="n">
        <v>53950000000</v>
      </c>
      <c r="DW3" s="145" t="n">
        <v>131.5</v>
      </c>
      <c r="DX3" s="169" t="n">
        <v>0.13167</v>
      </c>
      <c r="DY3" s="172" t="n">
        <v>572518350</v>
      </c>
      <c r="DZ3" s="146" t="n">
        <v>120</v>
      </c>
      <c r="EA3" s="146" t="n">
        <v>135</v>
      </c>
      <c r="EB3" s="146" t="n">
        <v>116.1</v>
      </c>
      <c r="EC3" s="63" t="n">
        <v>17518159</v>
      </c>
      <c r="ED3" s="169" t="n">
        <v>0.468156</v>
      </c>
      <c r="EE3" s="64" t="n">
        <v>2229091600</v>
      </c>
      <c r="EF3" s="60" t="inlineStr">
        <is>
          <t>Mechanism A</t>
        </is>
      </c>
      <c r="EG3" s="59" t="inlineStr">
        <is>
          <t>FINI (from 22/11/2023); 2025-08-04 pricing reform (Mechanism A/B; six-month cornerstone lock-up retained); this IPO: Mechanism A</t>
        </is>
      </c>
      <c r="EH3" t="inlineStr">
        <is>
          <t>北京智谱华章科技股份有限公司</t>
        </is>
      </c>
      <c r="EI3" s="174" t="inlineStr">
        <is>
          <t>Active</t>
        </is>
      </c>
      <c r="EJ3" s="175" t="n">
        <v>227.2</v>
      </c>
      <c r="EK3" s="176" t="n">
        <v>0.727757</v>
      </c>
      <c r="EL3" s="176" t="n">
        <v>0.95525</v>
      </c>
      <c r="EM3" s="176" t="n">
        <v>0.026693</v>
      </c>
      <c r="EN3" s="176" t="n">
        <v>-0.054928</v>
      </c>
      <c r="EO3" s="179" t="n">
        <v>1.6828</v>
      </c>
      <c r="EP3" s="179" t="n">
        <v>1.8282</v>
      </c>
      <c r="EQ3" s="178" t="n">
        <v>748625800</v>
      </c>
      <c r="ER3" s="175" t="n">
        <v>1825</v>
      </c>
      <c r="ES3" s="176" t="n">
        <v>12.878327</v>
      </c>
      <c r="ET3" s="176" t="n">
        <v>14.70568</v>
      </c>
      <c r="EU3" s="176" t="n">
        <v>-0.07456599999999999</v>
      </c>
      <c r="EV3" s="176" t="n">
        <v>-0.16683</v>
      </c>
      <c r="EW3" s="179" t="n">
        <v>14.9966</v>
      </c>
      <c r="EX3" s="179" t="n">
        <v>16.6573</v>
      </c>
      <c r="EY3" s="178" t="n">
        <v>5832790800</v>
      </c>
      <c r="EZ3" s="176" t="n">
        <v>2.616667</v>
      </c>
      <c r="FA3" s="176" t="n"/>
      <c r="FB3" s="179" t="n"/>
      <c r="FC3" s="176" t="n"/>
      <c r="FD3" s="179" t="n"/>
      <c r="FE3" s="174" t="inlineStr">
        <is>
          <t>18C (Specialist Tech)</t>
        </is>
      </c>
      <c r="FF3" s="181" t="inlineStr">
        <is>
          <t>China International Capital Corporation Hong Kong 
Securities Limited</t>
        </is>
      </c>
      <c r="FG3" s="185" t="inlineStr">
        <is>
          <t>2026-02-04</t>
        </is>
      </c>
      <c r="FH3" s="183" t="n">
        <v>1</v>
      </c>
      <c r="FI3" s="178" t="n">
        <v>5612900</v>
      </c>
      <c r="FJ3" s="176" t="n">
        <v>0.15</v>
      </c>
      <c r="FK3" s="185" t="inlineStr">
        <is>
          <t>2026-02-04</t>
        </is>
      </c>
      <c r="FL3" s="178" t="n">
        <v>5612900</v>
      </c>
      <c r="FM3" s="176" t="n">
        <v>1</v>
      </c>
      <c r="FN3" s="176" t="n">
        <v>0.370175</v>
      </c>
      <c r="FO3" s="176" t="n">
        <v>1.53081</v>
      </c>
      <c r="FP3" s="176" t="n">
        <v>2.264428</v>
      </c>
      <c r="FQ3" s="176" t="n">
        <v>0.642586</v>
      </c>
      <c r="FR3" s="179" t="n">
        <v>1.5908</v>
      </c>
      <c r="FS3" s="176" t="n">
        <v>0.727757</v>
      </c>
      <c r="FT3" s="179" t="n">
        <v>1.6828</v>
      </c>
      <c r="FU3" s="176" t="n">
        <v>6.209125</v>
      </c>
      <c r="FV3" s="179" t="n">
        <v>7.2863</v>
      </c>
      <c r="FW3" s="179" t="n">
        <v>8.436999999999999</v>
      </c>
      <c r="FX3" s="178" t="n">
        <v>1516762179.37</v>
      </c>
      <c r="FY3" s="186" t="n">
        <v>5.588095238095238e-05</v>
      </c>
      <c r="FZ3" s="183" t="n">
        <v>0</v>
      </c>
      <c r="GA3" s="176" t="n">
        <v>0.1206317948549126</v>
      </c>
      <c r="GB3" s="176" t="n">
        <v>0.486577</v>
      </c>
      <c r="GC3" s="185" t="inlineStr">
        <is>
          <t>2026-07-08</t>
        </is>
      </c>
      <c r="GD3" s="185" t="inlineStr">
        <is>
          <t>2027-01-08</t>
        </is>
      </c>
      <c r="GE3" s="176" t="n">
        <v>-0.218399</v>
      </c>
      <c r="GF3" s="176" t="n">
        <v>0.09210500000000001</v>
      </c>
      <c r="GG3" s="179" t="n">
        <v>2.0206</v>
      </c>
      <c r="GH3" s="181" t="inlineStr">
        <is>
          <t>China International Capital Corporation Hong Kong 
Securities Limited</t>
        </is>
      </c>
      <c r="GI3" s="183" t="n">
        <v>0</v>
      </c>
      <c r="GJ3" s="183" t="n">
        <v>0</v>
      </c>
      <c r="GK3" s="176" t="n">
        <v>0.0002</v>
      </c>
      <c r="GL3" s="176" t="n">
        <v>0.01</v>
      </c>
      <c r="GM3" s="176" t="n">
        <v>0.0102</v>
      </c>
      <c r="GN3" s="183" t="n">
        <v>11</v>
      </c>
      <c r="GO3" s="183" t="n">
        <v>1</v>
      </c>
      <c r="GP3" s="183" t="n">
        <v>0</v>
      </c>
      <c r="GQ3" s="183" t="n">
        <v>9</v>
      </c>
      <c r="GR3" s="183" t="n">
        <v>1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9903.HK</t>
        </is>
      </c>
      <c r="C4" s="44" t="inlineStr">
        <is>
          <t>Shanghai Iluvatar CoreX Semiconductor Co., Ltd. - H shares</t>
        </is>
      </c>
      <c r="D4" s="130" t="n">
        <v>46021</v>
      </c>
      <c r="E4" s="48" t="n">
        <v>46030</v>
      </c>
      <c r="F4" s="43" t="inlineStr">
        <is>
          <t>Huatai Financial Holdings (Hong Kong) Limited</t>
        </is>
      </c>
      <c r="G4" s="43" t="inlineStr">
        <is>
          <t>Ernst &amp; Young</t>
        </is>
      </c>
      <c r="H4" s="43" t="inlineStr">
        <is>
          <t>N/A</t>
        </is>
      </c>
      <c r="I4" s="131" t="n">
        <v>367746720</v>
      </c>
      <c r="J4" s="132" t="n">
        <v>3309691560</v>
      </c>
      <c r="K4" s="133" t="n">
        <v>144.6</v>
      </c>
      <c r="L4" s="81" t="n">
        <v>254317736</v>
      </c>
      <c r="M4" s="82" t="n">
        <v>25431800</v>
      </c>
      <c r="N4" s="81" t="n">
        <v>228885936</v>
      </c>
      <c r="O4" s="81" t="n">
        <v>228885936</v>
      </c>
      <c r="P4" s="81" t="n">
        <v>0</v>
      </c>
      <c r="Q4" s="81" t="n">
        <v>25431800</v>
      </c>
      <c r="R4" s="82" t="n">
        <v>22888600</v>
      </c>
      <c r="S4" s="82" t="n">
        <v>2543200</v>
      </c>
      <c r="T4" s="147" t="n">
        <v>144.6</v>
      </c>
      <c r="U4" s="147" t="n">
        <v>144.6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1592979000</v>
      </c>
      <c r="AA4" s="137" t="n">
        <v>1685175000</v>
      </c>
      <c r="AB4" s="137" t="n">
        <v>3560579000</v>
      </c>
      <c r="AC4" s="137" t="n">
        <v>878338000</v>
      </c>
      <c r="AD4" s="137" t="n">
        <v>688669000</v>
      </c>
      <c r="AE4" s="137" t="n">
        <v>2515854000</v>
      </c>
      <c r="AF4" s="137" t="n">
        <v>714641000</v>
      </c>
      <c r="AG4" s="137" t="n">
        <v>996506000</v>
      </c>
      <c r="AH4" s="137" t="n">
        <v>1044725000</v>
      </c>
      <c r="AI4" s="137" t="n">
        <v>289041000</v>
      </c>
      <c r="AJ4" s="137" t="n">
        <v>539511000</v>
      </c>
      <c r="AK4" s="137" t="n">
        <v>648526000</v>
      </c>
      <c r="AL4" s="137" t="n">
        <v>-817424000</v>
      </c>
      <c r="AM4" s="137" t="n">
        <v>-892433000</v>
      </c>
      <c r="AN4" s="137" t="n">
        <v>-1218632000</v>
      </c>
      <c r="AO4" s="137" t="n">
        <v>-817424000</v>
      </c>
      <c r="AP4" s="137" t="n">
        <v>-892433000</v>
      </c>
      <c r="AQ4" s="137" t="n">
        <v>-1218632000</v>
      </c>
      <c r="AR4" s="135" t="n">
        <v>0.03</v>
      </c>
      <c r="AS4" s="135" t="n">
        <v>0.03</v>
      </c>
      <c r="AT4" s="84" t="n">
        <v>0</v>
      </c>
      <c r="AU4" s="51" t="inlineStr">
        <is>
          <t>GPGPU products and AI computing solutions (chips, accelerators, servers and clusters)</t>
        </is>
      </c>
      <c r="AV4" s="51" t="inlineStr">
        <is>
          <t>Main Board Rule 8.05(3) market capitalization/revenue test</t>
        </is>
      </c>
      <c r="AW4" s="136" t="n">
        <v>45838</v>
      </c>
      <c r="AX4" s="137" t="n">
        <v>-715589000</v>
      </c>
      <c r="AY4" s="117" t="n">
        <v>1713176000</v>
      </c>
      <c r="AZ4" s="117" t="n">
        <v>451496000</v>
      </c>
      <c r="BA4" s="117" t="n">
        <v>0</v>
      </c>
      <c r="BB4" s="138" t="n">
        <v>0.386</v>
      </c>
      <c r="BC4" s="139" t="n">
        <v>0.5</v>
      </c>
      <c r="BD4" s="80" t="n">
        <v>1</v>
      </c>
      <c r="BE4" s="161" t="n">
        <v>1</v>
      </c>
      <c r="BF4" s="161" t="n">
        <v>0</v>
      </c>
      <c r="BG4" s="161" t="n">
        <v>0</v>
      </c>
      <c r="BH4" s="161" t="n">
        <v>1</v>
      </c>
      <c r="BI4" s="161" t="n">
        <v>1</v>
      </c>
      <c r="BJ4" s="162" t="inlineStr">
        <is>
          <t>Princeville Global; HongShan; Shanghai Lianhe Investment; Cathay Capital; Greater Bay Area Fund</t>
        </is>
      </c>
      <c r="BK4" s="163" t="n">
        <v>0.584</v>
      </c>
      <c r="BL4" s="161" t="n">
        <v>1</v>
      </c>
      <c r="BM4" s="164" t="inlineStr">
        <is>
          <t>Series A</t>
        </is>
      </c>
      <c r="BN4" s="165" t="n">
        <v>9.42</v>
      </c>
      <c r="BO4" s="51" t="inlineStr">
        <is>
          <t>无实际控制人</t>
        </is>
      </c>
      <c r="BP4" s="135" t="n">
        <v>0.2125</v>
      </c>
      <c r="BQ4" s="135" t="n">
        <v>0.2125</v>
      </c>
      <c r="BR4" s="137" t="n">
        <v>667312000</v>
      </c>
      <c r="BS4" s="73" t="inlineStr">
        <is>
          <t>商业化初期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42367</v>
      </c>
      <c r="CD4" s="171" t="n">
        <v>10.03</v>
      </c>
      <c r="CE4" s="76" t="inlineStr">
        <is>
          <t>PRC</t>
        </is>
      </c>
      <c r="CF4" s="89" t="inlineStr">
        <is>
          <t>Shanghai, PRC</t>
        </is>
      </c>
      <c r="CG4" s="91" t="n">
        <v>1000</v>
      </c>
      <c r="CH4" s="60" t="inlineStr">
        <is>
          <t>HKFRS Accounting Standards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324263000</v>
      </c>
      <c r="CO4" s="64" t="n">
        <v>-609316000</v>
      </c>
      <c r="CP4" s="64" t="n">
        <v>-609316000</v>
      </c>
      <c r="CQ4" s="141" t="n">
        <v>46021</v>
      </c>
      <c r="CR4" s="141" t="n">
        <v>46027</v>
      </c>
      <c r="CS4" s="63" t="n">
        <v>245101965</v>
      </c>
      <c r="CT4" s="64" t="n">
        <v>162433000</v>
      </c>
      <c r="CU4" s="64" t="n">
        <v>41600000</v>
      </c>
      <c r="CV4" s="59" t="inlineStr">
        <is>
          <t>无保留意见</t>
        </is>
      </c>
      <c r="CW4" s="64" t="n">
        <v>198800000</v>
      </c>
      <c r="CX4" s="51" t="inlineStr">
        <is>
          <t>ZTE HK; XN Mountain; Wind Sabre; UBS AM Singapore; Teamsun HK; Qin Wan; OCM; Ocean Fine Industrial; Huatai OTC Swaps — Hengxin Fund Management; Fourth Paradigm; Engine International; Duckling Fund; DeepRoot Alpha; China Universal (HK); China Orient EIF; China Orient MSMF; China AMC (HK); CFIG; Alphahill Capital</t>
        </is>
      </c>
      <c r="CY4" s="142" t="n">
        <v>0.4302</v>
      </c>
      <c r="CZ4" s="136" t="n">
        <v>46211</v>
      </c>
      <c r="DA4" s="143" t="n">
        <v>414.24</v>
      </c>
      <c r="DB4" s="63" t="n">
        <v>180802</v>
      </c>
      <c r="DC4" s="63" t="n">
        <v>1053503300</v>
      </c>
      <c r="DD4" s="59" t="inlineStr">
        <is>
          <t>Subscription level 414.24 times</t>
        </is>
      </c>
      <c r="DE4" s="141" t="inlineStr">
        <is>
          <t>NA</t>
        </is>
      </c>
      <c r="DF4" s="141" t="n">
        <v>46029</v>
      </c>
      <c r="DG4" s="63" t="n">
        <v>25431800</v>
      </c>
      <c r="DH4" s="63" t="n">
        <v>2543200</v>
      </c>
      <c r="DI4" s="63" t="n">
        <v>22888600</v>
      </c>
      <c r="DJ4" s="63" t="n">
        <v>0</v>
      </c>
      <c r="DK4" s="169" t="n">
        <v>0</v>
      </c>
      <c r="DL4" s="59" t="inlineStr">
        <is>
          <t>Claw-back triggered: N/A; Number of Offer Shares reallocated from International Offering to Hong Kong Public Offering: 0</t>
        </is>
      </c>
      <c r="DM4" s="144" t="n">
        <v>3509300000</v>
      </c>
      <c r="DN4" s="142" t="n">
        <v>0.4187</v>
      </c>
      <c r="DO4" s="51" t="n">
        <v>254317736</v>
      </c>
      <c r="DP4" s="142" t="n">
        <v>0.057</v>
      </c>
      <c r="DQ4" s="59" t="inlineStr">
        <is>
          <t>Free float denominator = total issued shares upon listing (col_CZ); numerator = offer shares minus cornerstone allocation</t>
        </is>
      </c>
      <c r="DR4" s="63" t="n">
        <v>254317736</v>
      </c>
      <c r="DS4" s="142" t="n">
        <v>-0.01197486</v>
      </c>
      <c r="DT4" s="80" t="n">
        <v>41</v>
      </c>
      <c r="DU4" s="142" t="n">
        <v>0.033506</v>
      </c>
      <c r="DV4" s="144" t="n">
        <v>53950000000</v>
      </c>
      <c r="DW4" s="145" t="n">
        <v>156.8</v>
      </c>
      <c r="DX4" s="169" t="n">
        <v>0.084371</v>
      </c>
      <c r="DY4" s="172" t="n">
        <v>310267960</v>
      </c>
      <c r="DZ4" s="146" t="n">
        <v>190.2</v>
      </c>
      <c r="EA4" s="146" t="n">
        <v>192</v>
      </c>
      <c r="EB4" s="146" t="n">
        <v>148.9</v>
      </c>
      <c r="EC4" s="63" t="n">
        <v>8228204</v>
      </c>
      <c r="ED4" s="169" t="n">
        <v>0.32354</v>
      </c>
      <c r="EE4" s="64" t="n">
        <v>1404435100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上海天数智芯半导体股份有限公司</t>
        </is>
      </c>
      <c r="EI4" s="174" t="inlineStr">
        <is>
          <t>Active</t>
        </is>
      </c>
      <c r="EJ4" s="175" t="n">
        <v>57.867</v>
      </c>
      <c r="EK4" s="176" t="n">
        <v>-0.63095</v>
      </c>
      <c r="EL4" s="176" t="n">
        <v>-0.599813</v>
      </c>
      <c r="EM4" s="176" t="n">
        <v>0.026693</v>
      </c>
      <c r="EN4" s="176" t="n">
        <v>-0.054928</v>
      </c>
      <c r="EO4" s="179" t="n">
        <v>0.3595</v>
      </c>
      <c r="EP4" s="179" t="n">
        <v>0.3905</v>
      </c>
      <c r="EQ4" s="178" t="n">
        <v>289287488.5</v>
      </c>
      <c r="ER4" s="175" t="n">
        <v>186.667</v>
      </c>
      <c r="ES4" s="176" t="n">
        <v>0.190478</v>
      </c>
      <c r="ET4" s="176" t="n">
        <v>0.29092</v>
      </c>
      <c r="EU4" s="176" t="n">
        <v>-0.07456599999999999</v>
      </c>
      <c r="EV4" s="176" t="n">
        <v>-0.16683</v>
      </c>
      <c r="EW4" s="179" t="n">
        <v>1.2864</v>
      </c>
      <c r="EX4" s="179" t="n">
        <v>1.4289</v>
      </c>
      <c r="EY4" s="178" t="n">
        <v>1256884913</v>
      </c>
      <c r="EZ4" s="176" t="n">
        <v>0.89494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2026-02-07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2026-01-08</t>
        </is>
      </c>
      <c r="FL4" s="178" t="n">
        <v>0</v>
      </c>
      <c r="FM4" s="176" t="n">
        <v>0</v>
      </c>
      <c r="FN4" s="176" t="n">
        <v>0.556719</v>
      </c>
      <c r="FO4" s="176" t="n">
        <v>0.842105</v>
      </c>
      <c r="FP4" s="176" t="n">
        <v>1.35748</v>
      </c>
      <c r="FQ4" s="176" t="n">
        <v>0.090554</v>
      </c>
      <c r="FR4" s="179" t="n">
        <v>1.0562</v>
      </c>
      <c r="FS4" s="176" t="n">
        <v>0.107142</v>
      </c>
      <c r="FT4" s="179" t="n">
        <v>1.0784</v>
      </c>
      <c r="FU4" s="176" t="n">
        <v>1.197696</v>
      </c>
      <c r="FV4" s="179" t="n">
        <v>2.2212</v>
      </c>
      <c r="FW4" s="179" t="n">
        <v>2.572</v>
      </c>
      <c r="FX4" s="178" t="n">
        <v>288160796.35</v>
      </c>
      <c r="FY4" s="186" t="n">
        <v>0.0001792777777777778</v>
      </c>
      <c r="FZ4" s="183" t="n">
        <v>0</v>
      </c>
      <c r="GA4" s="176" t="n">
        <v>0.1063641768059024</v>
      </c>
      <c r="GB4" s="176" t="n">
        <v>0.459154</v>
      </c>
      <c r="GC4" s="185" t="inlineStr">
        <is>
          <t>2026-07-08</t>
        </is>
      </c>
      <c r="GD4" s="185" t="inlineStr">
        <is>
          <t>2027-01-08</t>
        </is>
      </c>
      <c r="GE4" s="176" t="n">
        <v>-0.334267</v>
      </c>
      <c r="GF4" s="176" t="n">
        <v>0.170909</v>
      </c>
      <c r="GG4" s="179" t="n">
        <v>1.5484</v>
      </c>
      <c r="GH4" s="181" t="inlineStr">
        <is>
          <t>China International Capital Corporation / Sponsor-OC</t>
        </is>
      </c>
      <c r="GI4" s="183" t="n">
        <v>0</v>
      </c>
      <c r="GJ4" s="183" t="n">
        <v>0</v>
      </c>
      <c r="GK4" s="176" t="n">
        <v>0.0003</v>
      </c>
      <c r="GL4" s="176" t="n">
        <v>0.01</v>
      </c>
      <c r="GM4" s="176" t="n">
        <v>0.0103</v>
      </c>
      <c r="GN4" s="183" t="n">
        <v>19</v>
      </c>
      <c r="GO4" s="183" t="n">
        <v>1</v>
      </c>
      <c r="GP4" s="183" t="n">
        <v>0</v>
      </c>
      <c r="GQ4" s="183" t="n">
        <v>5</v>
      </c>
      <c r="GR4" s="183" t="n">
        <v>1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2675.HK</t>
        </is>
      </c>
      <c r="C5" s="44" t="inlineStr">
        <is>
          <t>Shenzhen Edge Medical Co., Ltd.- B - H shares</t>
        </is>
      </c>
      <c r="D5" s="130" t="n">
        <v>46021</v>
      </c>
      <c r="E5" s="48" t="n">
        <v>46030</v>
      </c>
      <c r="F5" s="43" t="inlineStr">
        <is>
          <t>Morgan Stanley Asia Limited / GF Capital (Hong Kong) Limited</t>
        </is>
      </c>
      <c r="G5" s="43" t="inlineStr">
        <is>
          <t>KPMG</t>
        </is>
      </c>
      <c r="H5" s="43" t="inlineStr">
        <is>
          <t>N/A</t>
        </is>
      </c>
      <c r="I5" s="131" t="n">
        <v>119874252</v>
      </c>
      <c r="J5" s="132" t="n">
        <v>1258638568</v>
      </c>
      <c r="K5" s="133" t="n">
        <v>43.24</v>
      </c>
      <c r="L5" s="81" t="n">
        <v>387722200</v>
      </c>
      <c r="M5" s="82" t="n">
        <v>27722200</v>
      </c>
      <c r="N5" s="81" t="n">
        <v>360000000</v>
      </c>
      <c r="O5" s="81" t="n">
        <v>360000000</v>
      </c>
      <c r="P5" s="81" t="n">
        <v>0</v>
      </c>
      <c r="Q5" s="81" t="n">
        <v>27722200</v>
      </c>
      <c r="R5" s="82" t="n">
        <v>24949900</v>
      </c>
      <c r="S5" s="82" t="n">
        <v>2772300</v>
      </c>
      <c r="T5" s="147" t="n">
        <v>43.24</v>
      </c>
      <c r="U5" s="147" t="n">
        <v>43.24</v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1555646000</v>
      </c>
      <c r="AA5" s="137" t="n">
        <v>1360730000</v>
      </c>
      <c r="AB5" s="137" t="n">
        <v>1306252000</v>
      </c>
      <c r="AC5" s="137" t="n">
        <v>1438346000</v>
      </c>
      <c r="AD5" s="137" t="n">
        <v>1259956000</v>
      </c>
      <c r="AE5" s="137" t="n">
        <v>1184584000</v>
      </c>
      <c r="AF5" s="137" t="n">
        <v>117300000</v>
      </c>
      <c r="AG5" s="137" t="n">
        <v>100774000</v>
      </c>
      <c r="AH5" s="137" t="n">
        <v>121668000</v>
      </c>
      <c r="AI5" s="137" t="n">
        <v>48042000</v>
      </c>
      <c r="AJ5" s="137" t="n">
        <v>159994000</v>
      </c>
      <c r="AK5" s="137" t="n">
        <v>298766000</v>
      </c>
      <c r="AL5" s="137" t="n">
        <v>-212869000</v>
      </c>
      <c r="AM5" s="137" t="n">
        <v>-218509000</v>
      </c>
      <c r="AN5" s="137" t="n">
        <v>-178130000</v>
      </c>
      <c r="AO5" s="137" t="n">
        <v>-212869000</v>
      </c>
      <c r="AP5" s="137" t="n">
        <v>-218509000</v>
      </c>
      <c r="AQ5" s="137" t="n">
        <v>-178174000</v>
      </c>
      <c r="AR5" s="135" t="n">
        <v>0.03</v>
      </c>
      <c r="AS5" s="135" t="n">
        <v>0.03</v>
      </c>
      <c r="AT5" s="84" t="n">
        <v>0.15</v>
      </c>
      <c r="AU5" s="51" t="inlineStr">
        <is>
          <t>Surgical robots / medical devices</t>
        </is>
      </c>
      <c r="AV5" s="51" t="inlineStr">
        <is>
          <t>Chapter 18A</t>
        </is>
      </c>
      <c r="AW5" s="136" t="n">
        <v>45838</v>
      </c>
      <c r="AX5" s="137" t="n">
        <v>-96910000</v>
      </c>
      <c r="AY5" s="117" t="n">
        <v>94457000</v>
      </c>
      <c r="AZ5" s="117" t="n">
        <v>96502000</v>
      </c>
      <c r="BA5" s="117" t="n">
        <v>0</v>
      </c>
      <c r="BB5" s="138" t="n">
        <v>0.461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0</v>
      </c>
      <c r="BI5" s="161" t="n">
        <v>1</v>
      </c>
      <c r="BJ5" s="162" t="inlineStr">
        <is>
          <t>LYFE Capital; Legend Star; Boyu Capital; Sequoia China; OrbiMed; Temasek</t>
        </is>
      </c>
      <c r="BK5" s="163" t="n">
        <v>0.5482</v>
      </c>
      <c r="BL5" s="161" t="n">
        <v>1</v>
      </c>
      <c r="BM5" s="164" t="inlineStr">
        <is>
          <t>Series Angel</t>
        </is>
      </c>
      <c r="BN5" s="165" t="n">
        <v>8.16</v>
      </c>
      <c r="BO5" s="51" t="inlineStr">
        <is>
          <t>自然人（Dr. Wang 与 Dr. Gao，夫妻，共同构成控股股东组）</t>
        </is>
      </c>
      <c r="BP5" s="135" t="n">
        <v>0.4306</v>
      </c>
      <c r="BQ5" s="135" t="n">
        <v>0.4306</v>
      </c>
      <c r="BR5" s="137" t="n">
        <v>13621000</v>
      </c>
      <c r="BS5" s="73" t="inlineStr">
        <is>
          <t>商业化初期（early commercialization stage）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1</v>
      </c>
      <c r="BZ5" s="78" t="n">
        <v>0</v>
      </c>
      <c r="CA5" s="60" t="inlineStr">
        <is>
          <t>282010</t>
        </is>
      </c>
      <c r="CB5" s="76" t="inlineStr">
        <is>
          <t>HSICS (Hang Seng Industry Classification System) 2026</t>
        </is>
      </c>
      <c r="CC5" s="140" t="n">
        <v>42859</v>
      </c>
      <c r="CD5" s="171" t="n">
        <v>8.68</v>
      </c>
      <c r="CE5" s="76" t="inlineStr">
        <is>
          <t>PRC</t>
        </is>
      </c>
      <c r="CF5" s="89" t="inlineStr">
        <is>
          <t>Shenzhen,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149383000</v>
      </c>
      <c r="CO5" s="64" t="n">
        <v>-89065000</v>
      </c>
      <c r="CP5" s="64" t="n">
        <v>-89087000</v>
      </c>
      <c r="CQ5" s="141" t="n">
        <v>46021</v>
      </c>
      <c r="CR5" s="141" t="n">
        <v>46027</v>
      </c>
      <c r="CS5" s="63" t="n">
        <v>323602948</v>
      </c>
      <c r="CT5" s="64" t="n">
        <v>93850000</v>
      </c>
      <c r="CU5" s="64" t="n">
        <v>1572000</v>
      </c>
      <c r="CV5" s="59" t="inlineStr">
        <is>
          <t>无保留意见（Unqualified opinion）</t>
        </is>
      </c>
      <c r="CW5" s="64" t="n">
        <v>82100000</v>
      </c>
      <c r="CX5" s="51" t="inlineStr">
        <is>
          <t>Abu Dhabi Investment Authority; UBS Asset Management (Singapore) Ltd.; OrbiMed Genesis Master Fund, L.P.; Huang River Investment Limited; China Asset Management (Hong Kong) Limited; LYFE Capital Fund IV (Dragon), L.P.; Mega Prime Development Limited; Poly Platinum Enterprises Limited; China Alpha Fund Management (HK) Ltd; Tekful Limited; Integrated Core Strategies (Asia) Pte. Ltd.; Sage Partners Master Fund; Panjing Harbourview Investment Fund; Infini Global Master Fund</t>
        </is>
      </c>
      <c r="CY5" s="142" t="n">
        <v>0.4868</v>
      </c>
      <c r="CZ5" s="136" t="n">
        <v>46211</v>
      </c>
      <c r="DA5" s="143" t="n">
        <v>1091.94</v>
      </c>
      <c r="DB5" s="63" t="n">
        <v>196179</v>
      </c>
      <c r="DC5" s="63" t="n">
        <v>3027186100</v>
      </c>
      <c r="DD5" s="59" t="inlineStr">
        <is>
          <t>Subscription level 1,091.94 times</t>
        </is>
      </c>
      <c r="DE5" s="141" t="inlineStr">
        <is>
          <t>NA</t>
        </is>
      </c>
      <c r="DF5" s="141" t="n">
        <v>46029</v>
      </c>
      <c r="DG5" s="63" t="n">
        <v>27722200</v>
      </c>
      <c r="DH5" s="63" t="n">
        <v>2772300</v>
      </c>
      <c r="DI5" s="63" t="n">
        <v>24949900</v>
      </c>
      <c r="DJ5" s="63" t="n">
        <v>4158300</v>
      </c>
      <c r="DK5" s="169" t="n">
        <v>1</v>
      </c>
      <c r="DL5" s="59" t="inlineStr">
        <is>
          <t>Claw-back triggered: No</t>
        </is>
      </c>
      <c r="DM5" s="144" t="n">
        <v>1116600000</v>
      </c>
      <c r="DN5" s="142" t="n">
        <v>0.4948</v>
      </c>
      <c r="DO5" s="51" t="n">
        <v>387722200</v>
      </c>
      <c r="DP5" s="142" t="n">
        <v>0.0367</v>
      </c>
      <c r="DQ5" s="59" t="inlineStr">
        <is>
          <t>Shares held by the Cornerstone Investors upon the Listing shall not be counted towards the free float of the Shares of the Company at the time of Listing.</t>
        </is>
      </c>
      <c r="DR5" s="63" t="n">
        <v>387722200</v>
      </c>
      <c r="DS5" s="142" t="n">
        <v>-0.01197486</v>
      </c>
      <c r="DT5" s="80" t="n">
        <v>41</v>
      </c>
      <c r="DU5" s="142" t="n">
        <v>0.033506</v>
      </c>
      <c r="DV5" s="144" t="n">
        <v>53950000000</v>
      </c>
      <c r="DW5" s="145" t="n">
        <v>56.6</v>
      </c>
      <c r="DX5" s="169" t="n">
        <v>0.308973</v>
      </c>
      <c r="DY5" s="172" t="n">
        <v>370368592</v>
      </c>
      <c r="DZ5" s="146" t="n">
        <v>59</v>
      </c>
      <c r="EA5" s="146" t="n">
        <v>60</v>
      </c>
      <c r="EB5" s="146" t="n">
        <v>48</v>
      </c>
      <c r="EC5" s="63" t="n">
        <v>12673990</v>
      </c>
      <c r="ED5" s="169" t="n">
        <v>0.457178</v>
      </c>
      <c r="EE5" s="64" t="n">
        <v>709649200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深圳市精锋医疗科技股份有限公司</t>
        </is>
      </c>
      <c r="EI5" s="174" t="inlineStr">
        <is>
          <t>Active</t>
        </is>
      </c>
      <c r="EJ5" s="175" t="n">
        <v>59.55</v>
      </c>
      <c r="EK5" s="176" t="n">
        <v>0.05212</v>
      </c>
      <c r="EL5" s="176" t="n">
        <v>0.377197</v>
      </c>
      <c r="EM5" s="176" t="n">
        <v>0.026693</v>
      </c>
      <c r="EN5" s="176" t="n">
        <v>-0.054928</v>
      </c>
      <c r="EO5" s="179" t="n">
        <v>1.0248</v>
      </c>
      <c r="EP5" s="179" t="n">
        <v>1.1133</v>
      </c>
      <c r="EQ5" s="178" t="n">
        <v>93951265</v>
      </c>
      <c r="ER5" s="175" t="n">
        <v>39.98</v>
      </c>
      <c r="ES5" s="176" t="n">
        <v>-0.29364</v>
      </c>
      <c r="ET5" s="176" t="n">
        <v>-0.075393</v>
      </c>
      <c r="EU5" s="176" t="n">
        <v>-0.07456599999999999</v>
      </c>
      <c r="EV5" s="176" t="n">
        <v>-0.16683</v>
      </c>
      <c r="EW5" s="179" t="n">
        <v>0.7633</v>
      </c>
      <c r="EX5" s="179" t="n">
        <v>0.8478</v>
      </c>
      <c r="EY5" s="178" t="n">
        <v>36783560</v>
      </c>
      <c r="EZ5" s="176" t="n">
        <v>0.051833</v>
      </c>
      <c r="FA5" s="176" t="n"/>
      <c r="FB5" s="179" t="n"/>
      <c r="FC5" s="176" t="n"/>
      <c r="FD5" s="179" t="n"/>
      <c r="FE5" s="174" t="inlineStr">
        <is>
          <t>18A (Biotech / B-tag)</t>
        </is>
      </c>
      <c r="FF5" s="181" t="inlineStr">
        <is>
          <t>Morgan Stanley Asia Limited</t>
        </is>
      </c>
      <c r="FG5" s="185" t="inlineStr">
        <is>
          <t>2026-02-04</t>
        </is>
      </c>
      <c r="FH5" s="183" t="n">
        <v>0</v>
      </c>
      <c r="FI5" s="178" t="n">
        <v>4158300</v>
      </c>
      <c r="FJ5" s="176" t="n">
        <v>0.15</v>
      </c>
      <c r="FK5" s="185" t="inlineStr">
        <is>
          <t>2026-02-04</t>
        </is>
      </c>
      <c r="FL5" s="178" t="n">
        <v>4158300</v>
      </c>
      <c r="FM5" s="176" t="n">
        <v>1</v>
      </c>
      <c r="FN5" s="176" t="n">
        <v>-0.013057</v>
      </c>
      <c r="FO5" s="176" t="n">
        <v>0.025189</v>
      </c>
      <c r="FP5" s="176" t="n">
        <v>0.191918</v>
      </c>
      <c r="FQ5" s="176" t="n">
        <v>0.234099</v>
      </c>
      <c r="FR5" s="179" t="n">
        <v>1.1952</v>
      </c>
      <c r="FS5" s="176" t="n">
        <v>0.05212</v>
      </c>
      <c r="FT5" s="179" t="n">
        <v>1.0248</v>
      </c>
      <c r="FU5" s="176" t="n">
        <v>-0.051237</v>
      </c>
      <c r="FV5" s="179" t="n">
        <v>0.9589</v>
      </c>
      <c r="FW5" s="179" t="n">
        <v>1.1104</v>
      </c>
      <c r="FX5" s="178" t="n">
        <v>40616566.67</v>
      </c>
      <c r="FY5" s="186" t="n">
        <v>0.001817825396825397</v>
      </c>
      <c r="FZ5" s="183" t="n">
        <v>0</v>
      </c>
      <c r="GA5" s="176" t="n">
        <v>0.0545782784361528</v>
      </c>
      <c r="GB5" s="176" t="n">
        <v>0.526459</v>
      </c>
      <c r="GC5" s="185" t="inlineStr">
        <is>
          <t>2026-07-08</t>
        </is>
      </c>
      <c r="GD5" s="185" t="inlineStr">
        <is>
          <t>2027-01-08</t>
        </is>
      </c>
      <c r="GE5" s="176" t="n">
        <v>0.014835</v>
      </c>
      <c r="GF5" s="176" t="n">
        <v>-0.084978</v>
      </c>
      <c r="GG5" s="179" t="n">
        <v>0.3844</v>
      </c>
      <c r="GH5" s="181" t="inlineStr">
        <is>
          <t>Morgan Stanley Asia Limited</t>
        </is>
      </c>
      <c r="GI5" s="183" t="n">
        <v>0</v>
      </c>
      <c r="GJ5" s="183" t="n">
        <v>0</v>
      </c>
      <c r="GK5" s="176" t="n">
        <v>0.0003</v>
      </c>
      <c r="GL5" s="176" t="n">
        <v>0.01</v>
      </c>
      <c r="GM5" s="176" t="n">
        <v>0.0103</v>
      </c>
      <c r="GN5" s="183" t="n">
        <v>16</v>
      </c>
      <c r="GO5" s="183" t="n">
        <v>1</v>
      </c>
      <c r="GP5" s="183" t="n">
        <v>0</v>
      </c>
      <c r="GQ5" s="183" t="n">
        <v>6</v>
      </c>
      <c r="GR5" s="183" t="n">
        <v>1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0100.HK</t>
        </is>
      </c>
      <c r="C6" s="44" t="inlineStr">
        <is>
          <t>MiniMax Group Inc. - W - P</t>
        </is>
      </c>
      <c r="D6" s="130" t="n">
        <v>46022</v>
      </c>
      <c r="E6" s="48" t="n">
        <v>46031</v>
      </c>
      <c r="F6" s="43" t="inlineStr">
        <is>
          <t>China International Capital Corporation Hong Kong Securities Limited / UBS Securities Hong Kong Limited</t>
        </is>
      </c>
      <c r="G6" s="43" t="inlineStr">
        <is>
          <t>Ernst &amp; Young</t>
        </is>
      </c>
      <c r="H6" s="43" t="inlineStr">
        <is>
          <t>N/A</t>
        </is>
      </c>
      <c r="I6" s="131" t="n">
        <v>837846900</v>
      </c>
      <c r="J6" s="132" t="n">
        <v>4702397700</v>
      </c>
      <c r="K6" s="133" t="n">
        <v>165</v>
      </c>
      <c r="L6" s="81" t="n">
        <v>305447288</v>
      </c>
      <c r="M6" s="82" t="n">
        <v>25389220</v>
      </c>
      <c r="N6" s="81" t="n">
        <v>280058068</v>
      </c>
      <c r="O6" s="81" t="n">
        <v>280058068</v>
      </c>
      <c r="P6" s="81" t="n">
        <v>0</v>
      </c>
      <c r="Q6" s="81" t="n">
        <v>25389220</v>
      </c>
      <c r="R6" s="82" t="n">
        <v>24119740</v>
      </c>
      <c r="S6" s="82" t="n">
        <v>1269480</v>
      </c>
      <c r="T6" s="147" t="n">
        <v>165</v>
      </c>
      <c r="U6" s="147" t="n">
        <v>151</v>
      </c>
      <c r="V6" s="169" t="n">
        <v>0.044304</v>
      </c>
      <c r="W6" s="169" t="n">
        <v>0.08860800000000001</v>
      </c>
      <c r="X6" s="170" t="inlineStr">
        <is>
          <t>At high</t>
        </is>
      </c>
      <c r="Y6" s="26" t="inlineStr">
        <is>
          <t>USD</t>
        </is>
      </c>
      <c r="Z6" s="137" t="n">
        <v>324007000</v>
      </c>
      <c r="AA6" s="137" t="n">
        <v>910584000</v>
      </c>
      <c r="AB6" s="137" t="n">
        <v>1133092000</v>
      </c>
      <c r="AC6" s="137" t="n">
        <v>-341914000</v>
      </c>
      <c r="AD6" s="137" t="n">
        <v>-799320000</v>
      </c>
      <c r="AE6" s="137" t="n">
        <v>-1303499000</v>
      </c>
      <c r="AF6" s="137" t="n">
        <v>665921000</v>
      </c>
      <c r="AG6" s="137" t="n">
        <v>1709904000</v>
      </c>
      <c r="AH6" s="137" t="n">
        <v>2436591000</v>
      </c>
      <c r="AI6" s="137" t="n">
        <v>3460000</v>
      </c>
      <c r="AJ6" s="137" t="n">
        <v>30523000</v>
      </c>
      <c r="AK6" s="137" t="n">
        <v>71249333.33333333</v>
      </c>
      <c r="AL6" s="137" t="n">
        <v>-269246000</v>
      </c>
      <c r="AM6" s="137" t="n">
        <v>-465238000</v>
      </c>
      <c r="AN6" s="137" t="n">
        <v>-682684000</v>
      </c>
      <c r="AO6" s="137" t="n">
        <v>-269246000</v>
      </c>
      <c r="AP6" s="137" t="n">
        <v>-465238000</v>
      </c>
      <c r="AQ6" s="137" t="n">
        <v>-682684000</v>
      </c>
      <c r="AR6" s="135" t="n">
        <v>0.02</v>
      </c>
      <c r="AS6" s="135" t="n">
        <v>0.02</v>
      </c>
      <c r="AT6" s="84" t="n">
        <v>0.15</v>
      </c>
      <c r="AU6" s="51" t="inlineStr">
        <is>
          <t>Global AI foundation model company</t>
        </is>
      </c>
      <c r="AV6" s="51" t="inlineStr">
        <is>
          <t>Chapter 18C Specialist Technology Company (Pre-Commercial Company); WVR (Chapter 8A)</t>
        </is>
      </c>
      <c r="AW6" s="136" t="n">
        <v>45930</v>
      </c>
      <c r="AX6" s="137" t="n">
        <v>-209396000</v>
      </c>
      <c r="AY6" s="117" t="n">
        <v>362647000</v>
      </c>
      <c r="AZ6" s="117" t="n">
        <v>180312000</v>
      </c>
      <c r="BA6" s="117" t="n">
        <v>0</v>
      </c>
      <c r="BB6" s="138" t="n">
        <v>0.217</v>
      </c>
      <c r="BC6" s="139" t="n">
        <v>0.75</v>
      </c>
      <c r="BD6" s="80" t="n">
        <v>1</v>
      </c>
      <c r="BE6" s="161" t="n">
        <v>1</v>
      </c>
      <c r="BF6" s="161" t="n">
        <v>0</v>
      </c>
      <c r="BG6" s="161" t="n">
        <v>1</v>
      </c>
      <c r="BH6" s="161" t="n">
        <v>0</v>
      </c>
      <c r="BI6" s="161" t="n">
        <v>1</v>
      </c>
      <c r="BJ6" s="162" t="inlineStr">
        <is>
          <t>Alisoft China (Alibaba); miHoYo; IDG Capital; Tencent; Future Capital</t>
        </is>
      </c>
      <c r="BK6" s="163" t="n">
        <v>0.4532</v>
      </c>
      <c r="BL6" s="161" t="n">
        <v>1</v>
      </c>
      <c r="BM6" s="164" t="inlineStr">
        <is>
          <t>Series Angel</t>
        </is>
      </c>
      <c r="BN6" s="165" t="n">
        <v>4.08</v>
      </c>
      <c r="BO6" s="51" t="inlineStr">
        <is>
          <t>自然人</t>
        </is>
      </c>
      <c r="BP6" s="135" t="n">
        <v>0.259</v>
      </c>
      <c r="BQ6" s="135" t="n">
        <v>0.7205</v>
      </c>
      <c r="BR6" s="137" t="n">
        <v>21733000</v>
      </c>
      <c r="BS6" s="73" t="inlineStr">
        <is>
          <t>商业化初期（nascent stage of monetization and commercialization）</t>
        </is>
      </c>
      <c r="BT6" s="142" t="n">
        <v>0</v>
      </c>
      <c r="BU6" s="60" t="inlineStr">
        <is>
          <t>Main Board</t>
        </is>
      </c>
      <c r="BV6" s="89" t="inlineStr">
        <is>
          <t>Class A Ordinary Shares</t>
        </is>
      </c>
      <c r="BW6" s="61" t="n">
        <v>0</v>
      </c>
      <c r="BX6" s="77" t="n">
        <v>1</v>
      </c>
      <c r="BY6" s="77" t="n">
        <v>0</v>
      </c>
      <c r="BZ6" s="78" t="n">
        <v>1</v>
      </c>
      <c r="CA6" s="60" t="inlineStr">
        <is>
          <t>702030</t>
        </is>
      </c>
      <c r="CB6" s="76" t="inlineStr">
        <is>
          <t>HSICS (Hang Seng Industry Classification System) 2026</t>
        </is>
      </c>
      <c r="CC6" s="140" t="n">
        <v>44377</v>
      </c>
      <c r="CD6" s="171" t="n">
        <v>4.53</v>
      </c>
      <c r="CE6" s="76" t="inlineStr">
        <is>
          <t>Cayman Islands</t>
        </is>
      </c>
      <c r="CF6" s="89" t="inlineStr">
        <is>
          <t>Shanghai, PRC</t>
        </is>
      </c>
      <c r="CG6" s="91" t="n">
        <v>1000</v>
      </c>
      <c r="CH6" s="60" t="inlineStr">
        <is>
          <t>IFRS Accounting Standards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53437000</v>
      </c>
      <c r="CO6" s="64" t="n">
        <v>-512013000</v>
      </c>
      <c r="CP6" s="64" t="n">
        <v>-512013000</v>
      </c>
      <c r="CQ6" s="141" t="n">
        <v>46022</v>
      </c>
      <c r="CR6" s="141" t="n">
        <v>46028</v>
      </c>
      <c r="CS6" s="63" t="n">
        <v>305447288</v>
      </c>
      <c r="CT6" s="64" t="n">
        <v>12476000</v>
      </c>
      <c r="CU6" s="64" t="n">
        <v>479000</v>
      </c>
      <c r="CV6" s="59" t="inlineStr">
        <is>
          <t>无保留意见 (Unqualified opinion)</t>
        </is>
      </c>
      <c r="CW6" s="64" t="n">
        <v>193200000</v>
      </c>
      <c r="CX6" s="51" t="inlineStr">
        <is>
          <t>ADIA; Alisoft China; Aspex Master Fund; Boyu; China Universal (HK); Eastspring; E Fund Management; IDG Breyer Fund; Janchor Funds; Martis Fund, L.P.; Mirae Asset Securities; MPC VII; Perseverance Asset Management; Taikang Life</t>
        </is>
      </c>
      <c r="CY6" s="142" t="n">
        <v>0.5653</v>
      </c>
      <c r="CZ6" s="136" t="n">
        <v>46212</v>
      </c>
      <c r="DA6" s="143" t="n">
        <v>1837.17</v>
      </c>
      <c r="DB6" s="63" t="n">
        <v>417646</v>
      </c>
      <c r="DC6" s="63" t="n">
        <v>2332255220</v>
      </c>
      <c r="DD6" s="59" t="inlineStr">
        <is>
          <t>Subscription level 1,837.17 times</t>
        </is>
      </c>
      <c r="DE6" s="141" t="n">
        <v>46029</v>
      </c>
      <c r="DF6" s="141" t="n">
        <v>46030</v>
      </c>
      <c r="DG6" s="63" t="n">
        <v>29197600</v>
      </c>
      <c r="DH6" s="63" t="n">
        <v>5077860</v>
      </c>
      <c r="DI6" s="63" t="n">
        <v>24119740</v>
      </c>
      <c r="DJ6" s="63" t="n">
        <v>4379640</v>
      </c>
      <c r="DK6" s="169" t="n">
        <v>1</v>
      </c>
      <c r="DL6" s="59" t="inlineStr">
        <is>
          <t>No. of Offer Shares reallocated from the International Offer (claw-back) 3,808,380 Final no. of Offer Shares under the Public Offer (after reallocation) 5,077,860</t>
        </is>
      </c>
      <c r="DM6" s="144" t="n">
        <v>4596100000</v>
      </c>
      <c r="DN6" s="142" t="n">
        <v>0.804</v>
      </c>
      <c r="DO6" s="51" t="n">
        <v>228153134</v>
      </c>
      <c r="DP6" s="142" t="n">
        <v>0.0556</v>
      </c>
      <c r="DQ6" s="59" t="inlineStr">
        <is>
          <t>Class A Ordinary Shares held by the Cornerstone Investors upon the Listing shall not be counted towards the free float of the Class A Ordinary Shares of the Company at the time of Listing</t>
        </is>
      </c>
      <c r="DR6" s="63" t="n">
        <v>228153134</v>
      </c>
      <c r="DS6" s="142" t="n">
        <v>-0.00016594</v>
      </c>
      <c r="DT6" s="80" t="n">
        <v>47</v>
      </c>
      <c r="DU6" s="142" t="n">
        <v>0.0321107</v>
      </c>
      <c r="DV6" s="144" t="n">
        <v>53950000000</v>
      </c>
      <c r="DW6" s="145" t="n">
        <v>345</v>
      </c>
      <c r="DX6" s="169" t="n">
        <v>1.090909</v>
      </c>
      <c r="DY6" s="172" t="n">
        <v>5255568000</v>
      </c>
      <c r="DZ6" s="146" t="n">
        <v>235.4</v>
      </c>
      <c r="EA6" s="146" t="n">
        <v>351.8</v>
      </c>
      <c r="EB6" s="146" t="n">
        <v>220</v>
      </c>
      <c r="EC6" s="63" t="n">
        <v>15921864</v>
      </c>
      <c r="ED6" s="169" t="n">
        <v>0.545314</v>
      </c>
      <c r="EE6" s="64" t="n">
        <v>4004592510</v>
      </c>
      <c r="EF6" s="60" t="inlineStr">
        <is>
          <t>Mechanism A</t>
        </is>
      </c>
      <c r="EG6" s="59" t="inlineStr">
        <is>
          <t>FINI (from 22/11/2023); 2025-08-04 pricing reform (Mechanism A/B; six-month cornerstone lock-up retained); this IPO: Mechanism A</t>
        </is>
      </c>
      <c r="EH6" t="inlineStr">
        <is>
          <t>NA</t>
        </is>
      </c>
      <c r="EI6" s="174" t="inlineStr">
        <is>
          <t>Active</t>
        </is>
      </c>
      <c r="EJ6" s="175" t="n">
        <v>486</v>
      </c>
      <c r="EK6" s="176" t="n">
        <v>0.408696</v>
      </c>
      <c r="EL6" s="176" t="n">
        <v>1.945455</v>
      </c>
      <c r="EM6" s="176" t="n">
        <v>0.024911</v>
      </c>
      <c r="EN6" s="176" t="n">
        <v>-0.049411</v>
      </c>
      <c r="EO6" s="179" t="n">
        <v>1.3745</v>
      </c>
      <c r="EP6" s="179" t="n">
        <v>1.4819</v>
      </c>
      <c r="EQ6" s="178" t="n">
        <v>1047544366</v>
      </c>
      <c r="ER6" s="175" t="n">
        <v>297.4</v>
      </c>
      <c r="ES6" s="176" t="n">
        <v>-0.137971</v>
      </c>
      <c r="ET6" s="176" t="n">
        <v>0.802424</v>
      </c>
      <c r="EU6" s="176" t="n">
        <v>-0.083929</v>
      </c>
      <c r="EV6" s="176" t="n">
        <v>-0.168025</v>
      </c>
      <c r="EW6" s="179" t="n">
        <v>0.9409999999999999</v>
      </c>
      <c r="EX6" s="179" t="n">
        <v>1.0361</v>
      </c>
      <c r="EY6" s="178" t="n">
        <v>1337112047.5</v>
      </c>
      <c r="EZ6" s="176" t="n">
        <v>0.333895</v>
      </c>
      <c r="FA6" s="176" t="n"/>
      <c r="FB6" s="179" t="n"/>
      <c r="FC6" s="176" t="n"/>
      <c r="FD6" s="179" t="n"/>
      <c r="FE6" s="174" t="inlineStr">
        <is>
          <t>18C (Specialist Tech)</t>
        </is>
      </c>
      <c r="FF6" s="181" t="inlineStr">
        <is>
          <t>China International Capital Corporation / Sponsor-OC</t>
        </is>
      </c>
      <c r="FG6" s="185" t="inlineStr">
        <is>
          <t>2026-02-08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2026-01-09</t>
        </is>
      </c>
      <c r="FL6" s="178" t="n">
        <v>4379640</v>
      </c>
      <c r="FM6" s="176" t="n">
        <v>1</v>
      </c>
      <c r="FN6" s="176" t="n">
        <v>0.6179559999999999</v>
      </c>
      <c r="FO6" s="176" t="n">
        <v>1.104854</v>
      </c>
      <c r="FP6" s="176" t="n">
        <v>2.106051</v>
      </c>
      <c r="FQ6" s="176" t="n">
        <v>0.037681</v>
      </c>
      <c r="FR6" s="179" t="n">
        <v>1.011</v>
      </c>
      <c r="FS6" s="176" t="n">
        <v>0.408696</v>
      </c>
      <c r="FT6" s="179" t="n">
        <v>1.3745</v>
      </c>
      <c r="FU6" s="176" t="n">
        <v>1.456522</v>
      </c>
      <c r="FV6" s="179" t="n">
        <v>2.4835</v>
      </c>
      <c r="FW6" s="179" t="n">
        <v>2.8443</v>
      </c>
      <c r="FX6" s="178" t="n">
        <v>1590398283.17</v>
      </c>
      <c r="FY6" s="186" t="n">
        <v>5.973809523809524e-05</v>
      </c>
      <c r="FZ6" s="183" t="n">
        <v>0</v>
      </c>
      <c r="GA6" s="176" t="n">
        <v>0.1381222882324624</v>
      </c>
      <c r="GB6" s="176" t="n">
        <v>0.8375939999999999</v>
      </c>
      <c r="GC6" s="185" t="inlineStr">
        <is>
          <t>2026-07-09</t>
        </is>
      </c>
      <c r="GD6" s="185" t="inlineStr">
        <is>
          <t>2027-01-09</t>
        </is>
      </c>
      <c r="GE6" s="176" t="n">
        <v>-0.357111</v>
      </c>
      <c r="GF6" s="176" t="n">
        <v>-0.259533</v>
      </c>
      <c r="GG6" s="179" t="n">
        <v>2.1551</v>
      </c>
      <c r="GH6" s="181" t="inlineStr">
        <is>
          <t>China International Capital Corporation / Sponsor-OC</t>
        </is>
      </c>
      <c r="GI6" s="183" t="n">
        <v>0</v>
      </c>
      <c r="GJ6" s="183" t="n">
        <v>0</v>
      </c>
      <c r="GK6" s="176" t="n">
        <v>0.0002</v>
      </c>
      <c r="GL6" s="176" t="n">
        <v>0.01</v>
      </c>
      <c r="GM6" s="176" t="n">
        <v>0.0102</v>
      </c>
      <c r="GN6" s="183" t="n">
        <v>15</v>
      </c>
      <c r="GO6" s="183" t="n">
        <v>1</v>
      </c>
      <c r="GP6" s="183" t="n">
        <v>1</v>
      </c>
      <c r="GQ6" s="183" t="n">
        <v>6</v>
      </c>
      <c r="GR6" s="183" t="n">
        <v>1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6938.HK</t>
        </is>
      </c>
      <c r="C7" s="44" t="inlineStr">
        <is>
          <t>Suzhou Ribo Life Science Co., Ltd. - B - H shares</t>
        </is>
      </c>
      <c r="D7" s="130" t="n">
        <v>46022</v>
      </c>
      <c r="E7" s="48" t="n">
        <v>46031</v>
      </c>
      <c r="F7" s="43" t="inlineStr">
        <is>
          <t>China International Capital Corporation Hong Kong Securities Limited / Citigroup Global Markets Asia Limited</t>
        </is>
      </c>
      <c r="G7" s="43" t="inlineStr">
        <is>
          <t>Ernst &amp; Young</t>
        </is>
      </c>
      <c r="H7" s="43" t="inlineStr">
        <is>
          <t>Asia-Pacific Consulting and Appraisal Limited</t>
        </is>
      </c>
      <c r="I7" s="131" t="n">
        <v>159347936</v>
      </c>
      <c r="J7" s="132" t="n">
        <v>1947965910</v>
      </c>
      <c r="K7" s="133" t="n">
        <v>57.97</v>
      </c>
      <c r="L7" s="81" t="n">
        <v>161690510</v>
      </c>
      <c r="M7" s="82" t="n">
        <v>27487400</v>
      </c>
      <c r="N7" s="81" t="n">
        <v>134203110</v>
      </c>
      <c r="O7" s="81" t="n">
        <v>134203110</v>
      </c>
      <c r="P7" s="81" t="n">
        <v>0</v>
      </c>
      <c r="Q7" s="81" t="n">
        <v>27487400</v>
      </c>
      <c r="R7" s="82" t="n">
        <v>24738600</v>
      </c>
      <c r="S7" s="82" t="n">
        <v>2748800</v>
      </c>
      <c r="T7" s="147" t="n">
        <v>57.97</v>
      </c>
      <c r="U7" s="147" t="n">
        <v>57.97</v>
      </c>
      <c r="V7" s="169" t="n">
        <v>0</v>
      </c>
      <c r="W7" s="169" t="n">
        <v>0</v>
      </c>
      <c r="X7" s="170" t="inlineStr">
        <is>
          <t>Fixed price</t>
        </is>
      </c>
      <c r="Y7" s="26" t="inlineStr">
        <is>
          <t>RMB</t>
        </is>
      </c>
      <c r="Z7" s="137" t="n">
        <v>716248000</v>
      </c>
      <c r="AA7" s="137" t="n">
        <v>650858000</v>
      </c>
      <c r="AB7" s="137" t="n">
        <v>1000581000</v>
      </c>
      <c r="AC7" s="137" t="n">
        <v>115723000</v>
      </c>
      <c r="AD7" s="137" t="n">
        <v>-111067000</v>
      </c>
      <c r="AE7" s="137" t="n">
        <v>59017000</v>
      </c>
      <c r="AF7" s="137" t="n">
        <v>600525000</v>
      </c>
      <c r="AG7" s="137" t="n">
        <v>761925000</v>
      </c>
      <c r="AH7" s="137" t="n">
        <v>941564000</v>
      </c>
      <c r="AI7" s="137" t="n">
        <v>44000</v>
      </c>
      <c r="AJ7" s="137" t="n">
        <v>142627000</v>
      </c>
      <c r="AK7" s="137" t="n">
        <v>207626000</v>
      </c>
      <c r="AL7" s="137" t="n">
        <v>-437148000</v>
      </c>
      <c r="AM7" s="137" t="n">
        <v>-257047000</v>
      </c>
      <c r="AN7" s="137" t="n">
        <v>-187734000</v>
      </c>
      <c r="AO7" s="137" t="n">
        <v>-437296000</v>
      </c>
      <c r="AP7" s="137" t="n">
        <v>-281492000</v>
      </c>
      <c r="AQ7" s="137" t="n">
        <v>-195530000</v>
      </c>
      <c r="AR7" s="135" t="n">
        <v>0.03</v>
      </c>
      <c r="AS7" s="135" t="n">
        <v>0.03</v>
      </c>
      <c r="AT7" s="84" t="n">
        <v>0.15</v>
      </c>
      <c r="AU7" s="51" t="inlineStr">
        <is>
          <t>biopharmaceutical company engaged in oligonucleotide/siRNA therapeutics R&amp;D</t>
        </is>
      </c>
      <c r="AV7" s="51" t="inlineStr">
        <is>
          <t>Chapter 18A</t>
        </is>
      </c>
      <c r="AW7" s="136" t="n">
        <v>45838</v>
      </c>
      <c r="AX7" s="137" t="n">
        <v>-96473000</v>
      </c>
      <c r="AY7" s="117" t="n">
        <v>358535000</v>
      </c>
      <c r="AZ7" s="117" t="n">
        <v>129142000</v>
      </c>
      <c r="BA7" s="117" t="n">
        <v>0</v>
      </c>
      <c r="BB7" s="138" t="n">
        <v>0.995</v>
      </c>
      <c r="BC7" s="139" t="n">
        <v>0.5</v>
      </c>
      <c r="BD7" s="80" t="n">
        <v>1</v>
      </c>
      <c r="BE7" s="161" t="n">
        <v>1</v>
      </c>
      <c r="BF7" s="161" t="n">
        <v>1</v>
      </c>
      <c r="BG7" s="161" t="n">
        <v>0</v>
      </c>
      <c r="BH7" s="161" t="n">
        <v>1</v>
      </c>
      <c r="BI7" s="161" t="n">
        <v>1</v>
      </c>
      <c r="BJ7" s="162" t="inlineStr">
        <is>
          <t>Panlin Capital; Legend Capital; CITIC Securities Investment; CS Capital; Guoshun Fund</t>
        </is>
      </c>
      <c r="BK7" s="163" t="n">
        <v>0.482</v>
      </c>
      <c r="BL7" s="161" t="n">
        <v>1</v>
      </c>
      <c r="BM7" s="164" t="inlineStr">
        <is>
          <t>Series A</t>
        </is>
      </c>
      <c r="BN7" s="165" t="n">
        <v>10.12</v>
      </c>
      <c r="BO7" s="51" t="inlineStr">
        <is>
          <t>无实际控制人（单一最大股东集团：由 Dr. LIANG 等一致行动人士组成的 Concert Parties，合计持股 24.82%，招股书未披露单一实际控制人）</t>
        </is>
      </c>
      <c r="BP7" s="135" t="n">
        <v>0.2482</v>
      </c>
      <c r="BQ7" s="135" t="n">
        <v>0.2482</v>
      </c>
      <c r="BR7" s="137" t="n">
        <v>345589000</v>
      </c>
      <c r="BS7" s="73" t="inlineStr">
        <is>
          <t>临床开发阶段（尚无产品获批商业化销售：all of our drug candidates were in various clinical development stages, and none had been approved for commercial sale）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1</v>
      </c>
      <c r="BZ7" s="78" t="n">
        <v>0</v>
      </c>
      <c r="CA7" s="60" t="inlineStr">
        <is>
          <t>281020</t>
        </is>
      </c>
      <c r="CB7" s="76" t="inlineStr">
        <is>
          <t>HSICS (Hang Seng Industry Classification System) 2026</t>
        </is>
      </c>
      <c r="CC7" s="140" t="n">
        <v>39100</v>
      </c>
      <c r="CD7" s="171" t="n">
        <v>18.98</v>
      </c>
      <c r="CE7" s="76" t="inlineStr">
        <is>
          <t>PRC</t>
        </is>
      </c>
      <c r="CF7" s="89" t="inlineStr">
        <is>
          <t>Kunshan City, Jiangsu Province,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103813000</v>
      </c>
      <c r="CO7" s="64" t="n">
        <v>-93867000</v>
      </c>
      <c r="CP7" s="64" t="n">
        <v>-97765000</v>
      </c>
      <c r="CQ7" s="141" t="n">
        <v>46022</v>
      </c>
      <c r="CR7" s="141" t="n">
        <v>46028</v>
      </c>
      <c r="CS7" s="63" t="n">
        <v>161690510</v>
      </c>
      <c r="CT7" s="64" t="n">
        <v>97222000</v>
      </c>
      <c r="CU7" s="64" t="n">
        <v>511000</v>
      </c>
      <c r="CV7" s="59" t="inlineStr">
        <is>
          <t>无保留意见 (Unqualified opinion)</t>
        </is>
      </c>
      <c r="CW7" s="64" t="n">
        <v>119900000</v>
      </c>
      <c r="CX7" s="51" t="inlineStr">
        <is>
          <t>Arc Avenue; Bright Stone; China AMC; Da Cheng International and Dacheng Fund; Erik Selin Fastigheter AB; Himension Fund; IvyRock; Mingxin Growth Ventures; Springs Capital (Hong Kong); Taikang Life; Tenbagger Nengxin, Tenbagger Ziran and Huatai Capital Investment Limited</t>
        </is>
      </c>
      <c r="CY7" s="142" t="n">
        <v>0.425</v>
      </c>
      <c r="CZ7" s="136" t="n">
        <v>46212</v>
      </c>
      <c r="DA7" s="143" t="n">
        <v>101.06</v>
      </c>
      <c r="DB7" s="63" t="n">
        <v>42771</v>
      </c>
      <c r="DC7" s="63" t="n">
        <v>277804200</v>
      </c>
      <c r="DD7" s="59" t="inlineStr">
        <is>
          <t>Subscription level 101.06 times</t>
        </is>
      </c>
      <c r="DE7" s="141" t="inlineStr">
        <is>
          <t>NA</t>
        </is>
      </c>
      <c r="DF7" s="141" t="n">
        <v>46030</v>
      </c>
      <c r="DG7" s="63" t="n">
        <v>31610400</v>
      </c>
      <c r="DH7" s="63" t="n">
        <v>2748800</v>
      </c>
      <c r="DI7" s="63" t="n">
        <v>28861600</v>
      </c>
      <c r="DJ7" s="63" t="n">
        <v>4741400</v>
      </c>
      <c r="DK7" s="169" t="n">
        <v>1</v>
      </c>
      <c r="DL7" s="59" t="inlineStr">
        <is>
          <t>Claw-back triggered: N/A. No. of Offer Shares reallocated from the International Offering (claw-back): 0.</t>
        </is>
      </c>
      <c r="DM7" s="144" t="n">
        <v>1701800000</v>
      </c>
      <c r="DN7" s="142" t="n">
        <v>0.6688</v>
      </c>
      <c r="DO7" s="51" t="n">
        <v>165813510</v>
      </c>
      <c r="DP7" s="142" t="n">
        <v>0.1097</v>
      </c>
      <c r="DQ7" s="59" t="inlineStr">
        <is>
          <t>Free float upon Listing = the Company's H Shares not subject to disposal restrictions = 18,190,000 Shares, being the Offer Shares other than those allocated to Cornerstone Investors (six-month lock-up); all existing Shareholders (including Pre-IPO Investors) are subject to a 12-month lock-up under applicable PRC laws and are excluded. Denominator basis = total issued share capital upon Listing (165,813,510 Shares, before any exercise of the Over-allotment Option).</t>
        </is>
      </c>
      <c r="DR7" s="63" t="n">
        <v>18190000</v>
      </c>
      <c r="DS7" s="142" t="n">
        <v>-0.00016594</v>
      </c>
      <c r="DT7" s="80" t="n">
        <v>47</v>
      </c>
      <c r="DU7" s="142" t="n">
        <v>0.0321107</v>
      </c>
      <c r="DV7" s="144" t="n">
        <v>53950000000</v>
      </c>
      <c r="DW7" s="145" t="n">
        <v>82.09999999999999</v>
      </c>
      <c r="DX7" s="169" t="n">
        <v>0.41625</v>
      </c>
      <c r="DY7" s="172" t="n">
        <v>762758952</v>
      </c>
      <c r="DZ7" s="146" t="n">
        <v>75</v>
      </c>
      <c r="EA7" s="146" t="n">
        <v>87</v>
      </c>
      <c r="EB7" s="146" t="n">
        <v>65.90000000000001</v>
      </c>
      <c r="EC7" s="63" t="n">
        <v>14151773</v>
      </c>
      <c r="ED7" s="169" t="n">
        <v>0.447694</v>
      </c>
      <c r="EE7" s="64" t="n">
        <v>1056891100</v>
      </c>
      <c r="EF7" s="60" t="inlineStr">
        <is>
          <t>Mechanism B</t>
        </is>
      </c>
      <c r="EG7" s="59" t="inlineStr">
        <is>
          <t>FINI (from 22/11/2023); 2025-08-04 pricing reform (Mechanism A/B; six-month cornerstone lock-up retained); this IPO: Mechanism B</t>
        </is>
      </c>
      <c r="EH7" t="inlineStr">
        <is>
          <t>苏州瑞博生物技术股份有限公司</t>
        </is>
      </c>
      <c r="EI7" s="174" t="inlineStr">
        <is>
          <t>Active</t>
        </is>
      </c>
      <c r="EJ7" s="175" t="n">
        <v>70.90000000000001</v>
      </c>
      <c r="EK7" s="176" t="n">
        <v>-0.136419</v>
      </c>
      <c r="EL7" s="176" t="n">
        <v>0.223046</v>
      </c>
      <c r="EM7" s="176" t="n">
        <v>0.024911</v>
      </c>
      <c r="EN7" s="176" t="n">
        <v>-0.049411</v>
      </c>
      <c r="EO7" s="179" t="n">
        <v>0.8426</v>
      </c>
      <c r="EP7" s="179" t="n">
        <v>0.9085</v>
      </c>
      <c r="EQ7" s="178" t="n">
        <v>111186810</v>
      </c>
      <c r="ER7" s="175" t="n">
        <v>48.54</v>
      </c>
      <c r="ES7" s="176" t="n">
        <v>-0.40877</v>
      </c>
      <c r="ET7" s="176" t="n">
        <v>-0.16267</v>
      </c>
      <c r="EU7" s="176" t="n">
        <v>-0.083929</v>
      </c>
      <c r="EV7" s="176" t="n">
        <v>-0.168025</v>
      </c>
      <c r="EW7" s="179" t="n">
        <v>0.6454</v>
      </c>
      <c r="EX7" s="179" t="n">
        <v>0.7106</v>
      </c>
      <c r="EY7" s="178" t="n">
        <v>11649370</v>
      </c>
      <c r="EZ7" s="176" t="n">
        <v>0.011022</v>
      </c>
      <c r="FA7" s="176" t="n"/>
      <c r="FB7" s="179" t="n"/>
      <c r="FC7" s="176" t="n"/>
      <c r="FD7" s="179" t="n"/>
      <c r="FE7" s="174" t="inlineStr">
        <is>
          <t>18A (Biotech / B-tag)</t>
        </is>
      </c>
      <c r="FF7" s="181" t="inlineStr">
        <is>
          <t>China International Capital Corporation Hong Kong 
Securities Limited</t>
        </is>
      </c>
      <c r="FG7" s="185" t="inlineStr">
        <is>
          <t>2026-02-05</t>
        </is>
      </c>
      <c r="FH7" s="183" t="n">
        <v>0</v>
      </c>
      <c r="FI7" s="178" t="n">
        <v>4741400</v>
      </c>
      <c r="FJ7" s="176" t="n">
        <v>0.15</v>
      </c>
      <c r="FK7" s="185" t="inlineStr">
        <is>
          <t>2026-02-05</t>
        </is>
      </c>
      <c r="FL7" s="178" t="n">
        <v>4741400</v>
      </c>
      <c r="FM7" s="176" t="n">
        <v>1</v>
      </c>
      <c r="FN7" s="176" t="n">
        <v>0.014384</v>
      </c>
      <c r="FO7" s="176" t="n">
        <v>-0.157264</v>
      </c>
      <c r="FP7" s="176" t="n">
        <v>0.146023</v>
      </c>
      <c r="FQ7" s="176" t="n">
        <v>-0.07369100000000001</v>
      </c>
      <c r="FR7" s="179" t="n">
        <v>0.9025</v>
      </c>
      <c r="FS7" s="176" t="n">
        <v>-0.136419</v>
      </c>
      <c r="FT7" s="179" t="n">
        <v>0.8426</v>
      </c>
      <c r="FU7" s="176" t="n">
        <v>-0.135201</v>
      </c>
      <c r="FV7" s="179" t="n">
        <v>0.8743</v>
      </c>
      <c r="FW7" s="179" t="n">
        <v>1.0013</v>
      </c>
      <c r="FX7" s="178" t="n">
        <v>45513169.84</v>
      </c>
      <c r="FY7" s="186" t="n">
        <v>0.00238881746031746</v>
      </c>
      <c r="FZ7" s="183" t="n">
        <v>0</v>
      </c>
      <c r="GA7" s="176" t="n">
        <v>0.05206471328684034</v>
      </c>
      <c r="GB7" s="176" t="n">
        <v>0.53048</v>
      </c>
      <c r="GC7" s="185" t="inlineStr">
        <is>
          <t>2026-07-09</t>
        </is>
      </c>
      <c r="GD7" s="185" t="inlineStr">
        <is>
          <t>2027-01-09</t>
        </is>
      </c>
      <c r="GE7" s="176" t="n">
        <v>-0.070052</v>
      </c>
      <c r="GF7" s="176" t="n">
        <v>0.020552</v>
      </c>
      <c r="GG7" s="179" t="n">
        <v>1.6989</v>
      </c>
      <c r="GH7" s="181" t="inlineStr">
        <is>
          <t>China International Capital Corporation Hong Kong 
Securities Limited</t>
        </is>
      </c>
      <c r="GI7" s="183" t="n">
        <v>0</v>
      </c>
      <c r="GJ7" s="183" t="n">
        <v>0</v>
      </c>
      <c r="GK7" s="176" t="n">
        <v>0.0003</v>
      </c>
      <c r="GL7" s="176" t="n">
        <v>0.01</v>
      </c>
      <c r="GM7" s="176" t="n">
        <v>0.0103</v>
      </c>
      <c r="GN7" s="183" t="n">
        <v>12</v>
      </c>
      <c r="GO7" s="183" t="n">
        <v>1</v>
      </c>
      <c r="GP7" s="183" t="n">
        <v>0</v>
      </c>
      <c r="GQ7" s="183" t="n">
        <v>5</v>
      </c>
      <c r="GR7" s="183" t="n">
        <v>1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3636.HK</t>
        </is>
      </c>
      <c r="C8" s="44" t="inlineStr">
        <is>
          <t>Yunnan Jinxun Resources Co., Ltd. - H shares</t>
        </is>
      </c>
      <c r="D8" s="130" t="n">
        <v>46022</v>
      </c>
      <c r="E8" s="48" t="n">
        <v>46031</v>
      </c>
      <c r="F8" s="43" t="inlineStr">
        <is>
          <t>Huatai Financial Holdings (Hong Kong) Limited</t>
        </is>
      </c>
      <c r="G8" s="43" t="inlineStr">
        <is>
          <t>KPMG</t>
        </is>
      </c>
      <c r="H8" s="43" t="inlineStr">
        <is>
          <t>N/A</t>
        </is>
      </c>
      <c r="I8" s="131" t="n">
        <v>110298000</v>
      </c>
      <c r="J8" s="148" t="n">
        <v>1158114000</v>
      </c>
      <c r="K8" s="133" t="n">
        <v>30</v>
      </c>
      <c r="L8" t="n">
        <v>147062243</v>
      </c>
      <c r="M8" s="67" t="n">
        <v>36765600</v>
      </c>
      <c r="N8" t="n">
        <v>110296643</v>
      </c>
      <c r="O8" t="n">
        <v>110296643</v>
      </c>
      <c r="P8" t="n">
        <v>0</v>
      </c>
      <c r="Q8" t="n">
        <v>36765600</v>
      </c>
      <c r="R8" s="67" t="n">
        <v>33089000</v>
      </c>
      <c r="S8" s="67" t="n">
        <v>3676600</v>
      </c>
      <c r="T8" s="147" t="n">
        <v>30</v>
      </c>
      <c r="U8" s="147" t="n">
        <v>30</v>
      </c>
      <c r="V8" s="169" t="n">
        <v>0</v>
      </c>
      <c r="W8" s="169" t="n">
        <v>0</v>
      </c>
      <c r="X8" s="170" t="inlineStr">
        <is>
          <t>Fixed price</t>
        </is>
      </c>
      <c r="Y8" s="26" t="inlineStr">
        <is>
          <t>RMB</t>
        </is>
      </c>
      <c r="Z8" s="137" t="n">
        <v>882818000</v>
      </c>
      <c r="AA8" s="137" t="n">
        <v>1373816000</v>
      </c>
      <c r="AB8" s="137" t="n">
        <v>1462959000</v>
      </c>
      <c r="AC8" s="137" t="n">
        <v>389273000</v>
      </c>
      <c r="AD8" s="137" t="n">
        <v>534982000</v>
      </c>
      <c r="AE8" s="137" t="n">
        <v>668741000</v>
      </c>
      <c r="AF8" s="137" t="n">
        <v>493545000</v>
      </c>
      <c r="AG8" s="137" t="n">
        <v>838834000</v>
      </c>
      <c r="AH8" s="137" t="n">
        <v>794218000</v>
      </c>
      <c r="AI8" s="137" t="n">
        <v>675701000</v>
      </c>
      <c r="AJ8" s="137" t="n">
        <v>1769833000</v>
      </c>
      <c r="AK8" s="137" t="n">
        <v>1927570000</v>
      </c>
      <c r="AL8" s="137" t="n">
        <v>26023000</v>
      </c>
      <c r="AM8" s="137" t="n">
        <v>242762000</v>
      </c>
      <c r="AN8" s="137" t="n">
        <v>322408000</v>
      </c>
      <c r="AO8" s="137" t="n">
        <v>29146000</v>
      </c>
      <c r="AP8" s="137" t="n">
        <v>202438000</v>
      </c>
      <c r="AQ8" s="137" t="n">
        <v>269964000</v>
      </c>
      <c r="AR8" s="142" t="n">
        <v>0.015</v>
      </c>
      <c r="AS8" s="142" t="n">
        <v>0.015</v>
      </c>
      <c r="AT8" s="84" t="n">
        <v>0.15</v>
      </c>
      <c r="AU8" s="51" t="inlineStr">
        <is>
          <t>mineral processing, smelting and trading of non-ferrous metals (copper cathodes, copper concentrates and cobalt)</t>
        </is>
      </c>
      <c r="AV8" s="51" t="inlineStr">
        <is>
          <t>Main Board (Chapter 19A PRC issuer; profit test)</t>
        </is>
      </c>
      <c r="AW8" s="136" t="n">
        <v>45838</v>
      </c>
      <c r="AX8" s="137" t="n">
        <v>111533000</v>
      </c>
      <c r="AY8" s="117" t="n">
        <v>126510000</v>
      </c>
      <c r="AZ8" s="117" t="inlineStr">
        <is>
          <t>NaN</t>
        </is>
      </c>
      <c r="BA8" s="117" t="n">
        <v>0</v>
      </c>
      <c r="BB8" s="138" t="n">
        <v>0.678</v>
      </c>
      <c r="BC8" s="139" t="n">
        <v>0.5</v>
      </c>
      <c r="BD8" s="80" t="n">
        <v>1</v>
      </c>
      <c r="BE8" s="161" t="n">
        <v>0</v>
      </c>
      <c r="BF8" s="161" t="n">
        <v>1</v>
      </c>
      <c r="BG8" s="161" t="n">
        <v>0</v>
      </c>
      <c r="BH8" s="161" t="n">
        <v>1</v>
      </c>
      <c r="BI8" s="161" t="n">
        <v>1</v>
      </c>
      <c r="BJ8" s="162" t="inlineStr">
        <is>
          <t>Chuanghe Xincai (CITIC Goldstone)</t>
        </is>
      </c>
      <c r="BK8" s="163" t="n">
        <v>0.082</v>
      </c>
      <c r="BL8" s="161" t="n">
        <v>0</v>
      </c>
      <c r="BM8" s="164" t="inlineStr">
        <is>
          <t>Pre-IPO</t>
        </is>
      </c>
      <c r="BN8" s="165" t="n">
        <v>3.02</v>
      </c>
      <c r="BO8" s="51" t="inlineStr">
        <is>
          <t>自然人</t>
        </is>
      </c>
      <c r="BP8" s="135" t="n">
        <v>0.7494</v>
      </c>
      <c r="BQ8" s="135" t="n">
        <v>0.7494</v>
      </c>
      <c r="BR8" s="137" t="n">
        <v>245726000</v>
      </c>
      <c r="BS8" s="51" t="inlineStr">
        <is>
          <t>规模商业化（已量产：铜阴极、氢氧化钴已投产销售）</t>
        </is>
      </c>
      <c r="BT8" s="142" t="n">
        <v>0.1001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052020</t>
        </is>
      </c>
      <c r="CB8" s="76" t="inlineStr">
        <is>
          <t>HSICS (Hang Seng Industry Classification System) 2026</t>
        </is>
      </c>
      <c r="CC8" s="140" t="n">
        <v>40199</v>
      </c>
      <c r="CD8" s="171" t="n">
        <v>15.97</v>
      </c>
      <c r="CE8" s="76" t="inlineStr">
        <is>
          <t>PRC</t>
        </is>
      </c>
      <c r="CF8" s="89" t="inlineStr">
        <is>
          <t>Kunming, Yunnan Province, PRC</t>
        </is>
      </c>
      <c r="CG8" s="91" t="n">
        <v>1000</v>
      </c>
      <c r="CH8" s="60" t="inlineStr">
        <is>
          <t>IFRS Accounting Standards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963785000</v>
      </c>
      <c r="CO8" s="64" t="n">
        <v>161204000</v>
      </c>
      <c r="CP8" s="64" t="n">
        <v>134982000</v>
      </c>
      <c r="CQ8" s="141" t="n">
        <v>46022</v>
      </c>
      <c r="CR8" s="141" t="n">
        <v>46028</v>
      </c>
      <c r="CS8" s="63" t="n">
        <v>36765600</v>
      </c>
      <c r="CT8" s="64" t="n">
        <v>222680000</v>
      </c>
      <c r="CU8" s="64" t="n">
        <v>72120000</v>
      </c>
      <c r="CV8" s="59" t="inlineStr">
        <is>
          <t>无保留意见 (Unqualified opinion)</t>
        </is>
      </c>
      <c r="CW8" s="64" t="n">
        <v>60400000</v>
      </c>
      <c r="CX8" s="51" t="inlineStr">
        <is>
          <t>Glencore AG; Stoneylake Global; North Rock; ChinaAMC (HK); New Asia Ferrell; Bridge Zone Group; Zhengxin Group; Sunwoda Treasury</t>
        </is>
      </c>
      <c r="CY8" s="142" t="n">
        <v>0.425</v>
      </c>
      <c r="CZ8" s="136" t="n">
        <v>46212</v>
      </c>
      <c r="DA8" s="143" t="n">
        <v>143.46</v>
      </c>
      <c r="DB8" s="63" t="n">
        <v>64456</v>
      </c>
      <c r="DC8" s="63" t="n">
        <v>527434000</v>
      </c>
      <c r="DD8" s="59" t="inlineStr">
        <is>
          <t>Subscription level 143.46 times</t>
        </is>
      </c>
      <c r="DE8" s="141" t="inlineStr">
        <is>
          <t>NA</t>
        </is>
      </c>
      <c r="DF8" s="141" t="n">
        <v>46030</v>
      </c>
      <c r="DG8" s="63" t="n">
        <v>36765600</v>
      </c>
      <c r="DH8" s="63" t="n">
        <v>3676600</v>
      </c>
      <c r="DI8" s="63" t="n">
        <v>33089000</v>
      </c>
      <c r="DJ8" s="63" t="n">
        <v>5514800</v>
      </c>
      <c r="DK8" s="169" t="n">
        <v>1</v>
      </c>
      <c r="DL8" s="59" t="inlineStr">
        <is>
          <t>Claw-back triggered: No</t>
        </is>
      </c>
      <c r="DM8" s="144" t="n">
        <v>1042600000</v>
      </c>
      <c r="DN8" s="142" t="n">
        <v>0.25</v>
      </c>
      <c r="DO8" s="51" t="n">
        <v>147062243</v>
      </c>
      <c r="DP8" s="142" t="n">
        <v>0.1438</v>
      </c>
      <c r="DQ8" s="59" t="inlineStr">
        <is>
          <t>Free float denominator = total issued shares upon listing (col_CZ); numerator = offer shares minus cornerstone allocation</t>
        </is>
      </c>
      <c r="DR8" s="63" t="n">
        <v>147062243</v>
      </c>
      <c r="DS8" s="142" t="n">
        <v>-0.00016594</v>
      </c>
      <c r="DT8" s="80" t="n">
        <v>47</v>
      </c>
      <c r="DU8" s="142" t="n">
        <v>0.0321107</v>
      </c>
      <c r="DV8" s="144" t="n">
        <v>53950000000</v>
      </c>
      <c r="DW8" s="145" t="n">
        <v>37.427</v>
      </c>
      <c r="DX8" s="169" t="n">
        <v>0.247567</v>
      </c>
      <c r="DY8" s="172" t="n">
        <v>273058111.2</v>
      </c>
      <c r="DZ8" s="146" t="n">
        <v>37.627</v>
      </c>
      <c r="EA8" s="146" t="n">
        <v>38.747</v>
      </c>
      <c r="EB8" s="146" t="n">
        <v>35.727</v>
      </c>
      <c r="EC8" s="63" t="n">
        <v>12900893</v>
      </c>
      <c r="ED8" s="169" t="n">
        <v>0.350896</v>
      </c>
      <c r="EE8" s="64" t="n">
        <v>483458480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云南金浔资源股份有限公司</t>
        </is>
      </c>
      <c r="EI8" s="174" t="inlineStr">
        <is>
          <t>Active</t>
        </is>
      </c>
      <c r="EJ8" s="175" t="n">
        <v>40.387</v>
      </c>
      <c r="EK8" s="176" t="n">
        <v>0.079087</v>
      </c>
      <c r="EL8" s="176" t="n">
        <v>0.346233</v>
      </c>
      <c r="EM8" s="176" t="n">
        <v>0.024911</v>
      </c>
      <c r="EN8" s="176" t="n">
        <v>-0.049411</v>
      </c>
      <c r="EO8" s="179" t="n">
        <v>1.0529</v>
      </c>
      <c r="EP8" s="179" t="n">
        <v>1.1352</v>
      </c>
      <c r="EQ8" s="178" t="n">
        <v>72323825</v>
      </c>
      <c r="ER8" s="175" t="n">
        <v>13.43</v>
      </c>
      <c r="ES8" s="176" t="n">
        <v>-0.641168</v>
      </c>
      <c r="ET8" s="176" t="n">
        <v>-0.552333</v>
      </c>
      <c r="EU8" s="176" t="n">
        <v>-0.083929</v>
      </c>
      <c r="EV8" s="176" t="n">
        <v>-0.168025</v>
      </c>
      <c r="EW8" s="179" t="n">
        <v>0.3917</v>
      </c>
      <c r="EX8" s="179" t="n">
        <v>0.4313</v>
      </c>
      <c r="EY8" s="178" t="n">
        <v>5365380.5</v>
      </c>
      <c r="EZ8" s="176" t="n">
        <v>0.011098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Huatai Financial Holdings (Hong Kong) Limited</t>
        </is>
      </c>
      <c r="FG8" s="185" t="inlineStr">
        <is>
          <t>2026-02-05</t>
        </is>
      </c>
      <c r="FH8" s="183" t="n">
        <v>0</v>
      </c>
      <c r="FI8" s="178" t="n">
        <v>5514800</v>
      </c>
      <c r="FJ8" s="176" t="n">
        <v>0.15</v>
      </c>
      <c r="FK8" s="185" t="inlineStr">
        <is>
          <t>2026-02-05</t>
        </is>
      </c>
      <c r="FL8" s="178" t="n">
        <v>5514800</v>
      </c>
      <c r="FM8" s="176" t="n">
        <v>1</v>
      </c>
      <c r="FN8" s="176" t="n">
        <v>-0.24636</v>
      </c>
      <c r="FO8" s="176" t="n">
        <v>-0.231758</v>
      </c>
      <c r="FP8" s="176" t="n">
        <v>0.323889</v>
      </c>
      <c r="FQ8" s="176" t="n">
        <v>0.058247</v>
      </c>
      <c r="FR8" s="179" t="n">
        <v>1.0311</v>
      </c>
      <c r="FS8" s="176" t="n">
        <v>0.079087</v>
      </c>
      <c r="FT8" s="179" t="n">
        <v>1.0529</v>
      </c>
      <c r="FU8" s="176" t="n">
        <v>-0.313143</v>
      </c>
      <c r="FV8" s="179" t="n">
        <v>0.6944</v>
      </c>
      <c r="FW8" s="179" t="n">
        <v>0.7953</v>
      </c>
      <c r="FX8" s="178" t="n">
        <v>35534990.63</v>
      </c>
      <c r="FY8" s="186" t="n">
        <v>0.006392587301587302</v>
      </c>
      <c r="FZ8" s="183" t="n">
        <v>0</v>
      </c>
      <c r="GA8" s="176" t="n">
        <v>0.06964962622760634</v>
      </c>
      <c r="GB8" s="176" t="n">
        <v>0.78591</v>
      </c>
      <c r="GC8" s="185" t="inlineStr">
        <is>
          <t>2026-07-09</t>
        </is>
      </c>
      <c r="GD8" s="185" t="inlineStr">
        <is>
          <t>2027-01-09</t>
        </is>
      </c>
      <c r="GE8" s="176" t="n">
        <v>-0.220671</v>
      </c>
      <c r="GF8" s="176" t="n">
        <v>0.122378</v>
      </c>
      <c r="GG8" s="179" t="n">
        <v>1.0202</v>
      </c>
      <c r="GH8" s="181" t="inlineStr">
        <is>
          <t>Huatai Financial Holdings (Hong Kong) Limited</t>
        </is>
      </c>
      <c r="GI8" s="183" t="n">
        <v>0</v>
      </c>
      <c r="GJ8" s="183" t="n">
        <v>0</v>
      </c>
      <c r="GK8" s="176" t="n">
        <v>0.00015</v>
      </c>
      <c r="GL8" s="176" t="n">
        <v>0.01</v>
      </c>
      <c r="GM8" s="176" t="n">
        <v>0.01015</v>
      </c>
      <c r="GN8" s="183" t="n">
        <v>8</v>
      </c>
      <c r="GO8" s="183" t="n">
        <v>0</v>
      </c>
      <c r="GP8" s="183" t="n">
        <v>0</v>
      </c>
      <c r="GQ8" s="183" t="n">
        <v>1</v>
      </c>
      <c r="GR8" s="183" t="n">
        <v>1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0501.HK</t>
        </is>
      </c>
      <c r="C9" s="44" t="inlineStr">
        <is>
          <t>OmniVision Integrated Circuits Group, Inc. - H shares</t>
        </is>
      </c>
      <c r="D9" s="130" t="n">
        <v>46022</v>
      </c>
      <c r="E9" s="48" t="n">
        <v>46034</v>
      </c>
      <c r="F9" s="43" t="inlineStr">
        <is>
          <t>UBS Securities Hong Kong Limited / China International Capital Corporation Hong Kong Securities Limited / Ping An of China Capital (Hong Kong) Company Limited / GF Capital (Hong Kong) Limited</t>
        </is>
      </c>
      <c r="G9" s="43" t="inlineStr">
        <is>
          <t>BDO Limited</t>
        </is>
      </c>
      <c r="H9" s="43" t="inlineStr">
        <is>
          <t>N/A</t>
        </is>
      </c>
      <c r="I9" s="131" t="n">
        <v>479984000</v>
      </c>
      <c r="J9" s="148" t="n">
        <v>4837683280</v>
      </c>
      <c r="K9" s="133" t="n">
        <v>104.8</v>
      </c>
      <c r="L9" t="n">
        <v>1255474412</v>
      </c>
      <c r="M9" s="67" t="n">
        <v>45800000</v>
      </c>
      <c r="N9" t="n">
        <v>1209674412</v>
      </c>
      <c r="O9" t="n">
        <v>1209674412</v>
      </c>
      <c r="P9" t="n">
        <v>0</v>
      </c>
      <c r="Q9" t="n">
        <v>45800000</v>
      </c>
      <c r="R9" s="67" t="n">
        <v>41220000</v>
      </c>
      <c r="S9" s="67" t="n">
        <v>4580000</v>
      </c>
      <c r="T9" s="147" t="n">
        <v>104.8</v>
      </c>
      <c r="U9" s="147" t="inlineStr">
        <is>
          <t>NaN</t>
        </is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37743164000</v>
      </c>
      <c r="AA9" s="137" t="n">
        <v>38964574000</v>
      </c>
      <c r="AB9" s="137" t="n">
        <v>42484301000</v>
      </c>
      <c r="AC9" s="137" t="n">
        <v>21494687000</v>
      </c>
      <c r="AD9" s="137" t="n">
        <v>24202390000</v>
      </c>
      <c r="AE9" s="137" t="n">
        <v>26187007000</v>
      </c>
      <c r="AF9" s="137" t="n">
        <v>16248477000</v>
      </c>
      <c r="AG9" s="137" t="n">
        <v>14762184000</v>
      </c>
      <c r="AH9" s="137" t="n">
        <v>16297294000</v>
      </c>
      <c r="AI9" s="137" t="n">
        <v>20984259000</v>
      </c>
      <c r="AJ9" s="137" t="n">
        <v>25706819000</v>
      </c>
      <c r="AK9" s="137" t="n">
        <v>27888286000</v>
      </c>
      <c r="AL9" s="137" t="n">
        <v>691573000</v>
      </c>
      <c r="AM9" s="137" t="n">
        <v>3272807000</v>
      </c>
      <c r="AN9" s="137" t="n">
        <v>4384100000</v>
      </c>
      <c r="AO9" s="137" t="n">
        <v>543950000</v>
      </c>
      <c r="AP9" s="137" t="n">
        <v>3278641000</v>
      </c>
      <c r="AQ9" s="137" t="n">
        <v>4040786000</v>
      </c>
      <c r="AR9" s="142" t="n">
        <v>0.006</v>
      </c>
      <c r="AS9" s="142" t="n">
        <v>0.006</v>
      </c>
      <c r="AT9" s="84" t="n">
        <v>0.15</v>
      </c>
      <c r="AU9" s="51" t="inlineStr">
        <is>
          <t>Fabless semiconductor design: design, development and sale of integrated circuits (CIS)</t>
        </is>
      </c>
      <c r="AV9" s="51" t="inlineStr">
        <is>
          <t>Main Board; Chapter 19A PRC issuer with other listed shares (A+H)</t>
        </is>
      </c>
      <c r="AW9" s="136" t="n">
        <v>45838</v>
      </c>
      <c r="AX9" s="137" t="n">
        <v>1790999000</v>
      </c>
      <c r="AY9" s="117" t="n">
        <v>11183571000</v>
      </c>
      <c r="AZ9" s="117" t="n">
        <v>1367726000</v>
      </c>
      <c r="BA9" s="117" t="n">
        <v>359743000</v>
      </c>
      <c r="BB9" s="138" t="n">
        <v>0.503</v>
      </c>
      <c r="BC9" s="139" t="n">
        <v>0.5</v>
      </c>
      <c r="BD9" s="80" t="n">
        <v>0</v>
      </c>
      <c r="BE9" s="161" t="n">
        <v>0</v>
      </c>
      <c r="BF9" s="161" t="n">
        <v>0</v>
      </c>
      <c r="BG9" s="161" t="n">
        <v>0</v>
      </c>
      <c r="BH9" s="161" t="n">
        <v>0</v>
      </c>
      <c r="BI9" s="161" t="n">
        <v>0</v>
      </c>
      <c r="BJ9" s="162" t="inlineStr">
        <is>
          <t>NA</t>
        </is>
      </c>
      <c r="BK9" s="163" t="n">
        <v>0</v>
      </c>
      <c r="BL9" s="161" t="n">
        <v>0</v>
      </c>
      <c r="BM9" s="164" t="inlineStr">
        <is>
          <t>None</t>
        </is>
      </c>
      <c r="BN9" s="165" t="n">
        <v>0</v>
      </c>
      <c r="BO9" s="51" t="inlineStr">
        <is>
          <t>自然人</t>
        </is>
      </c>
      <c r="BP9" s="135" t="n">
        <v>0.3015</v>
      </c>
      <c r="BQ9" s="135" t="n">
        <v>0.3015</v>
      </c>
      <c r="BR9" s="137" t="n">
        <v>10144100000</v>
      </c>
      <c r="BS9" s="51" t="inlineStr">
        <is>
          <t>已量产（mass production）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1</v>
      </c>
      <c r="BX9" s="77" t="n">
        <v>0</v>
      </c>
      <c r="BY9" s="77" t="n">
        <v>0</v>
      </c>
      <c r="BZ9" s="78" t="n">
        <v>0</v>
      </c>
      <c r="CA9" s="60" t="inlineStr">
        <is>
          <t>703010</t>
        </is>
      </c>
      <c r="CB9" s="76" t="inlineStr">
        <is>
          <t>HSICS (Hang Seng Industry Classification System) 2026</t>
        </is>
      </c>
      <c r="CC9" s="140" t="n">
        <v>39217</v>
      </c>
      <c r="CD9" s="171" t="n">
        <v>18.66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13944143000</v>
      </c>
      <c r="CO9" s="64" t="n">
        <v>2192050000</v>
      </c>
      <c r="CP9" s="64" t="n">
        <v>2020393000</v>
      </c>
      <c r="CQ9" s="141" t="n">
        <v>46022</v>
      </c>
      <c r="CR9" s="141" t="n">
        <v>46029</v>
      </c>
      <c r="CS9" s="63" t="n">
        <v>45800000</v>
      </c>
      <c r="CT9" s="64" t="n">
        <v>4126000000</v>
      </c>
      <c r="CU9" s="64" t="n">
        <v>699600000</v>
      </c>
      <c r="CV9" s="59" t="inlineStr">
        <is>
          <t>Unqualified opinion（无保留意见）</t>
        </is>
      </c>
      <c r="CW9" s="64" t="n">
        <v>106660000</v>
      </c>
      <c r="CX9" s="51" t="inlineStr">
        <is>
          <t>Wildlife Willow Limited; UBS AM Singapore; FOL; Huaqin Telecom Hong Kong Limited; SKY ROYAL TRADING LIMITED; Pudong Science and Technology (Cayman) Co., Ltd.; JSC International Investment Fund SPC; Ghisallo Fund Master Ltd; Dajia Life; PSBC Wealth Management Co., Ltd.</t>
        </is>
      </c>
      <c r="CY9" s="142" t="n">
        <v>0.4528</v>
      </c>
      <c r="CZ9" s="136" t="n">
        <v>46215</v>
      </c>
      <c r="DA9" s="143" t="n">
        <v>9.279999999999999</v>
      </c>
      <c r="DB9" s="63" t="n">
        <v>14551</v>
      </c>
      <c r="DC9" s="63" t="n">
        <v>42511100</v>
      </c>
      <c r="DD9" s="59" t="inlineStr">
        <is>
          <t>Subscription level 9.28 times</t>
        </is>
      </c>
      <c r="DE9" s="141" t="n">
        <v>46030</v>
      </c>
      <c r="DF9" s="141" t="n">
        <v>46031</v>
      </c>
      <c r="DG9" s="63" t="n">
        <v>45800000</v>
      </c>
      <c r="DH9" s="63" t="n">
        <v>4580000</v>
      </c>
      <c r="DI9" s="63" t="n">
        <v>41220000</v>
      </c>
      <c r="DJ9" s="63" t="n">
        <v>4941100</v>
      </c>
      <c r="DK9" s="169" t="n">
        <v>0.719229</v>
      </c>
      <c r="DL9" s="59" t="inlineStr">
        <is>
          <t>Claw-back not triggered (Claw-back triggered: N/A); the final number of Offer Shares under the Hong Kong Public Offering was 4,580,000, the same as the number initially available (10% of the Global Offering).</t>
        </is>
      </c>
      <c r="DM9" s="144" t="n">
        <v>4693200000</v>
      </c>
      <c r="DN9" s="142" t="n">
        <v>0.03648</v>
      </c>
      <c r="DO9" s="51" t="n">
        <v>1255474412</v>
      </c>
      <c r="DP9" s="142" t="n">
        <v>0.01996</v>
      </c>
      <c r="DQ9" s="59" t="inlineStr">
        <is>
          <t>Free float / public shareholding denominator = number of issued Shares upon Listing (before exercise of the Over-allotment Option), 1,255,474,412 Shares including 3,921,163 treasury A Shares; H Shares held by the Cornerstone Investors (six-month lock-up) are excluded from the free float.</t>
        </is>
      </c>
      <c r="DR9" s="63" t="n">
        <v>1255474412</v>
      </c>
      <c r="DS9" s="142" t="n">
        <v>-0.00016594</v>
      </c>
      <c r="DT9" s="80" t="n">
        <v>47</v>
      </c>
      <c r="DU9" s="142" t="n">
        <v>0.0321107</v>
      </c>
      <c r="DV9" s="144" t="n">
        <v>53950000000</v>
      </c>
      <c r="DW9" s="145" t="n">
        <v>121.686</v>
      </c>
      <c r="DX9" s="169" t="n">
        <v>0.161126</v>
      </c>
      <c r="DY9" s="172" t="n">
        <v>773378800</v>
      </c>
      <c r="DZ9" s="146" t="n">
        <v>107.886</v>
      </c>
      <c r="EA9" s="146" t="n">
        <v>121.686</v>
      </c>
      <c r="EB9" s="146" t="n">
        <v>107.886</v>
      </c>
      <c r="EC9" s="63" t="n">
        <v>7260177</v>
      </c>
      <c r="ED9" s="169" t="n">
        <v>0.158519</v>
      </c>
      <c r="EE9" s="64" t="n">
        <v>818673480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豪威集成电路（集团）股份有限公司</t>
        </is>
      </c>
      <c r="EI9" s="174" t="inlineStr">
        <is>
          <t>Active</t>
        </is>
      </c>
      <c r="EJ9" s="175" t="n">
        <v>104.686</v>
      </c>
      <c r="EK9" s="176" t="n">
        <v>-0.139704</v>
      </c>
      <c r="EL9" s="176" t="n">
        <v>-0.001088</v>
      </c>
      <c r="EM9" s="176" t="n">
        <v>-0.001824</v>
      </c>
      <c r="EN9" s="176" t="n">
        <v>-0.08817700000000001</v>
      </c>
      <c r="EO9" s="179" t="n">
        <v>0.8619</v>
      </c>
      <c r="EP9" s="179" t="n">
        <v>0.9435</v>
      </c>
      <c r="EQ9" s="178" t="n">
        <v>112015974.5</v>
      </c>
      <c r="ER9" s="175" t="n">
        <v>77.55</v>
      </c>
      <c r="ES9" s="176" t="n">
        <v>-0.362704</v>
      </c>
      <c r="ET9" s="176" t="n">
        <v>-0.260019</v>
      </c>
      <c r="EU9" s="176" t="n">
        <v>-0.09</v>
      </c>
      <c r="EV9" s="176" t="n">
        <v>-0.20241</v>
      </c>
      <c r="EW9" s="179" t="n">
        <v>0.7003</v>
      </c>
      <c r="EX9" s="179" t="n">
        <v>0.799</v>
      </c>
      <c r="EY9" s="178" t="n">
        <v>72406991</v>
      </c>
      <c r="EZ9" s="176" t="n">
        <v>0.08844399999999999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Hong Kong Securities Limited</t>
        </is>
      </c>
      <c r="FG9" s="185" t="inlineStr">
        <is>
          <t>2026-02-06</t>
        </is>
      </c>
      <c r="FH9" s="183" t="n">
        <v>1</v>
      </c>
      <c r="FI9" s="178" t="n">
        <v>6870000</v>
      </c>
      <c r="FJ9" s="176" t="n">
        <v>0.15</v>
      </c>
      <c r="FK9" s="185" t="inlineStr">
        <is>
          <t>2026-02-06</t>
        </is>
      </c>
      <c r="FL9" s="178" t="n">
        <v>4941100</v>
      </c>
      <c r="FM9" s="176" t="n">
        <v>0.7192000000000001</v>
      </c>
      <c r="FN9" s="176" t="n">
        <v>-0.034389</v>
      </c>
      <c r="FO9" s="176" t="n">
        <v>-0.058747</v>
      </c>
      <c r="FP9" s="176" t="n">
        <v>0.503441</v>
      </c>
      <c r="FQ9" s="176" t="n">
        <v>-0.070674</v>
      </c>
      <c r="FR9" s="179" t="n">
        <v>0.9211</v>
      </c>
      <c r="FS9" s="176" t="n">
        <v>-0.139704</v>
      </c>
      <c r="FT9" s="179" t="n">
        <v>0.8619</v>
      </c>
      <c r="FU9" s="176" t="n">
        <v>-0.342685</v>
      </c>
      <c r="FV9" s="179" t="n">
        <v>0.6626</v>
      </c>
      <c r="FW9" s="179" t="n">
        <v>0.7569</v>
      </c>
      <c r="FX9" s="178" t="n">
        <v>71389526.83</v>
      </c>
      <c r="FY9" s="186" t="n">
        <v>0.000481952380952381</v>
      </c>
      <c r="FZ9" s="183" t="n">
        <v>0</v>
      </c>
      <c r="GA9" s="176" t="n">
        <v>0.03717753045934797</v>
      </c>
      <c r="GB9" s="176" t="n">
        <v>0.449098</v>
      </c>
      <c r="GC9" s="185" t="inlineStr">
        <is>
          <t>2026-07-12</t>
        </is>
      </c>
      <c r="GD9" s="185" t="inlineStr">
        <is>
          <t>2027-01-12</t>
        </is>
      </c>
      <c r="GE9" s="176" t="n">
        <v>0.018095</v>
      </c>
      <c r="GF9" s="176" t="n">
        <v>0.004558</v>
      </c>
      <c r="GG9" s="179" t="n">
        <v>1.0749</v>
      </c>
      <c r="GH9" s="181" t="inlineStr">
        <is>
          <t>China International Capital Corporation Hong Kong Securities Limited</t>
        </is>
      </c>
      <c r="GI9" s="183" t="n">
        <v>0</v>
      </c>
      <c r="GJ9" s="183" t="n">
        <v>0</v>
      </c>
      <c r="GK9" s="176" t="n">
        <v>6e-05</v>
      </c>
      <c r="GL9" s="176" t="n">
        <v>0.01</v>
      </c>
      <c r="GM9" s="176" t="n">
        <v>0.01006</v>
      </c>
      <c r="GN9" s="183" t="n">
        <v>12</v>
      </c>
      <c r="GO9" s="183" t="n">
        <v>1</v>
      </c>
      <c r="GP9" s="183" t="n">
        <v>0</v>
      </c>
      <c r="GQ9" s="183" t="n">
        <v>0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3986.HK</t>
        </is>
      </c>
      <c r="C10" s="44" t="inlineStr">
        <is>
          <t>GigaDevice Semiconductor Inc. - H shares</t>
        </is>
      </c>
      <c r="D10" s="130" t="n">
        <v>46022</v>
      </c>
      <c r="E10" s="48" t="n">
        <v>46035</v>
      </c>
      <c r="F10" s="43" t="inlineStr">
        <is>
          <t>China International Capital Corporation Hong Kong Securities Limited / Huatai Financial Holdings (Hong Kong) Limited</t>
        </is>
      </c>
      <c r="G10" s="43" t="inlineStr">
        <is>
          <t>KPMG</t>
        </is>
      </c>
      <c r="H10" s="43" t="inlineStr">
        <is>
          <t>N/A</t>
        </is>
      </c>
      <c r="I10" s="131" t="n">
        <v>468439200</v>
      </c>
      <c r="J10" s="148" t="n">
        <v>4918563000</v>
      </c>
      <c r="K10" s="133" t="n">
        <v>162</v>
      </c>
      <c r="L10" t="n">
        <v>696765151</v>
      </c>
      <c r="M10" s="67" t="n">
        <v>28915800</v>
      </c>
      <c r="N10" t="n">
        <v>667849351</v>
      </c>
      <c r="O10" t="n">
        <v>667849351</v>
      </c>
      <c r="P10" t="n">
        <v>0</v>
      </c>
      <c r="Q10" t="n">
        <v>28915800</v>
      </c>
      <c r="R10" s="67" t="n">
        <v>26024200</v>
      </c>
      <c r="S10" s="67" t="n">
        <v>2891600</v>
      </c>
      <c r="T10" s="147" t="n">
        <v>162</v>
      </c>
      <c r="U10" s="147" t="n">
        <v>132</v>
      </c>
      <c r="V10" s="169" t="n">
        <v>0.102041</v>
      </c>
      <c r="W10" s="169" t="n">
        <v>0.204082</v>
      </c>
      <c r="X10" s="170" t="inlineStr">
        <is>
          <t>At high</t>
        </is>
      </c>
      <c r="Y10" s="26" t="inlineStr">
        <is>
          <t>RMB</t>
        </is>
      </c>
      <c r="Z10" s="137" t="n">
        <v>16455780000</v>
      </c>
      <c r="AA10" s="137" t="n">
        <v>19228830000</v>
      </c>
      <c r="AB10" s="137" t="n">
        <v>19800067000</v>
      </c>
      <c r="AC10" s="137" t="n">
        <v>15199573000</v>
      </c>
      <c r="AD10" s="137" t="n">
        <v>16678777000</v>
      </c>
      <c r="AE10" s="137" t="n">
        <v>17435246000</v>
      </c>
      <c r="AF10" s="137" t="n">
        <v>1256207000</v>
      </c>
      <c r="AG10" s="137" t="n">
        <v>2550053000</v>
      </c>
      <c r="AH10" s="137" t="n">
        <v>2364821000</v>
      </c>
      <c r="AI10" s="137" t="n">
        <v>5760823000</v>
      </c>
      <c r="AJ10" s="137" t="n">
        <v>7355978000</v>
      </c>
      <c r="AK10" s="137" t="n">
        <v>8300618000</v>
      </c>
      <c r="AL10" s="137" t="n">
        <v>124748000</v>
      </c>
      <c r="AM10" s="137" t="n">
        <v>1123663000</v>
      </c>
      <c r="AN10" s="137" t="n">
        <v>1192158000</v>
      </c>
      <c r="AO10" s="137" t="n">
        <v>161141000</v>
      </c>
      <c r="AP10" s="137" t="n">
        <v>1100881000</v>
      </c>
      <c r="AQ10" s="137" t="n">
        <v>1175670000</v>
      </c>
      <c r="AR10" s="142" t="n">
        <v>0.004</v>
      </c>
      <c r="AS10" s="142" t="n">
        <v>0.004</v>
      </c>
      <c r="AT10" s="84" t="n">
        <v>0.15</v>
      </c>
      <c r="AU10" s="51" t="inlineStr">
        <is>
          <t>Fabless IC design house: specialty memory chips (NOR Flash, SLC NAND, niche DRAM), MCU, analog and sensor chips</t>
        </is>
      </c>
      <c r="AV10" s="51" t="inlineStr">
        <is>
          <t>Main Board; Chapter 19A PRC issuer with other listed shares (A+H)</t>
        </is>
      </c>
      <c r="AW10" s="136" t="n">
        <v>45838</v>
      </c>
      <c r="AX10" s="137" t="n">
        <v>957821000</v>
      </c>
      <c r="AY10" s="117" t="n">
        <v>7829677000</v>
      </c>
      <c r="AZ10" s="117" t="n">
        <v>567680000</v>
      </c>
      <c r="BA10" s="117" t="n">
        <v>91824000</v>
      </c>
      <c r="BB10" s="138" t="n">
        <v>0.294</v>
      </c>
      <c r="BC10" s="139" t="n">
        <v>0.5</v>
      </c>
      <c r="BD10" s="80" t="n">
        <v>1</v>
      </c>
      <c r="BE10" s="161" t="n">
        <v>1</v>
      </c>
      <c r="BF10" s="161" t="n">
        <v>0</v>
      </c>
      <c r="BG10" s="161" t="n">
        <v>0</v>
      </c>
      <c r="BH10" s="161" t="n">
        <v>0</v>
      </c>
      <c r="BI10" s="161" t="n">
        <v>1</v>
      </c>
      <c r="BJ10" s="162" t="inlineStr">
        <is>
          <t>Tus Zhonghai Venture Capital; Insight Power; InfoGrid</t>
        </is>
      </c>
      <c r="BK10" s="163" t="n">
        <v>0.1189</v>
      </c>
      <c r="BL10" s="161" t="n">
        <v>0</v>
      </c>
      <c r="BM10" s="164" t="inlineStr">
        <is>
          <t>Series A</t>
        </is>
      </c>
      <c r="BN10" s="165" t="n">
        <v>12.5</v>
      </c>
      <c r="BO10" s="51" t="inlineStr">
        <is>
          <t>自然人</t>
        </is>
      </c>
      <c r="BP10" s="135" t="n">
        <v>0.0844</v>
      </c>
      <c r="BQ10" s="135" t="n">
        <v>0.0844</v>
      </c>
      <c r="BR10" s="137" t="n">
        <v>734317000</v>
      </c>
      <c r="BS10" s="51" t="inlineStr">
        <is>
          <t>已量产/规模商业化（large-scale mass production）</t>
        </is>
      </c>
      <c r="BT10" s="142" t="n">
        <v>0</v>
      </c>
      <c r="BU10" s="60" t="inlineStr">
        <is>
          <t>Main Board</t>
        </is>
      </c>
      <c r="BV10" s="89" t="inlineStr">
        <is>
          <t>H Shares</t>
        </is>
      </c>
      <c r="BW10" s="61" t="n">
        <v>1</v>
      </c>
      <c r="BX10" s="77" t="n">
        <v>0</v>
      </c>
      <c r="BY10" s="77" t="n">
        <v>0</v>
      </c>
      <c r="BZ10" s="78" t="n">
        <v>0</v>
      </c>
      <c r="CA10" s="60" t="inlineStr">
        <is>
          <t>703010</t>
        </is>
      </c>
      <c r="CB10" s="76" t="inlineStr">
        <is>
          <t>HSICS (Hang Seng Industry Classification System) 2026</t>
        </is>
      </c>
      <c r="CC10" s="140" t="n">
        <v>38448</v>
      </c>
      <c r="CD10" s="171" t="n">
        <v>20.77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 Accounting Standards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4150309000</v>
      </c>
      <c r="CO10" s="64" t="n">
        <v>596079000</v>
      </c>
      <c r="CP10" s="64" t="n">
        <v>587835000</v>
      </c>
      <c r="CQ10" s="141" t="n">
        <v>46022</v>
      </c>
      <c r="CR10" s="141" t="n">
        <v>46030</v>
      </c>
      <c r="CS10" s="63" t="n">
        <v>28915800</v>
      </c>
      <c r="CT10" s="64" t="n">
        <v>1532726000</v>
      </c>
      <c r="CU10" s="64" t="n">
        <v>412484000</v>
      </c>
      <c r="CV10" s="59" t="inlineStr">
        <is>
          <t>无保留意见 (Unqualified opinion)</t>
        </is>
      </c>
      <c r="CW10" s="64" t="n">
        <v>69960000</v>
      </c>
      <c r="CX10" s="51" t="inlineStr">
        <is>
          <t>Yuanfeng Asset Management and HTCI (in connection with the Yuanfeng Asset Management OTC Swaps); CPE; Shanghai Greenwoods and HTCI (in connection with the Greenwoods OTC Swaps); Yunfeng Capital New Alternative Limited; New Golden Future Limited; DAMSIMF; CloudAlpha Capital; 3W Fund; HUAQIN TELECOM HONG KONG LIMITED; Metazone; Sky Royal Trading Limited; Green Better; New China Asset Management; Taikang Life; Summit Ridge; ICBC Wealth; GBAD Fund Management; Wind Sabre</t>
        </is>
      </c>
      <c r="CY10" s="142" t="n">
        <v>0.4978</v>
      </c>
      <c r="CZ10" s="136" t="n">
        <v>46216</v>
      </c>
      <c r="DA10" s="143" t="n">
        <v>542.22</v>
      </c>
      <c r="DB10" s="63" t="n">
        <v>148419</v>
      </c>
      <c r="DC10" s="63" t="n">
        <v>1567888600</v>
      </c>
      <c r="DD10" s="59" t="inlineStr">
        <is>
          <t>Subscription level 542.22 times</t>
        </is>
      </c>
      <c r="DE10" s="141" t="n">
        <v>46031</v>
      </c>
      <c r="DF10" s="141" t="n">
        <v>46034</v>
      </c>
      <c r="DG10" s="63" t="n">
        <v>28915800</v>
      </c>
      <c r="DH10" s="63" t="n">
        <v>2891600</v>
      </c>
      <c r="DI10" s="63" t="n">
        <v>26024200</v>
      </c>
      <c r="DJ10" s="63" t="n">
        <v>4337300</v>
      </c>
      <c r="DK10" s="169" t="n">
        <v>1</v>
      </c>
      <c r="DL10" s="59" t="inlineStr">
        <is>
          <t>Claw-back triggered: N/A. Final no. of Offer Shares under the Hong Kong Public Offering 2,891,600, same as initially available; no reallocation from the International Offering.</t>
        </is>
      </c>
      <c r="DM10" s="144" t="n">
        <v>4610900000</v>
      </c>
      <c r="DN10" s="142" t="n">
        <v>0.0415</v>
      </c>
      <c r="DO10" s="51" t="n">
        <v>696765151</v>
      </c>
      <c r="DP10" s="142" t="n">
        <v>0.0208</v>
      </c>
      <c r="DQ10" s="59" t="inlineStr">
        <is>
          <t>Free float denominator = total number of issued Shares upon Listing (before exercise of the Over-allotment Option) = 696,765,151 Shares; H Shares held by the Cornerstone Investors upon Listing (six-month lock-up) are excluded from free float.</t>
        </is>
      </c>
      <c r="DR10" s="63" t="n">
        <v>696765151</v>
      </c>
      <c r="DS10" s="142" t="n">
        <v>-0.00016594</v>
      </c>
      <c r="DT10" s="80" t="n">
        <v>47</v>
      </c>
      <c r="DU10" s="142" t="n">
        <v>0.0321107</v>
      </c>
      <c r="DV10" s="144" t="n">
        <v>53950000000</v>
      </c>
      <c r="DW10" s="145" t="n">
        <v>221.945</v>
      </c>
      <c r="DX10" s="169" t="n">
        <v>0.370031</v>
      </c>
      <c r="DY10" s="172" t="n">
        <v>1733357631</v>
      </c>
      <c r="DZ10" s="146" t="n">
        <v>234.145</v>
      </c>
      <c r="EA10" s="146" t="n">
        <v>247.945</v>
      </c>
      <c r="EB10" s="146" t="n">
        <v>219.145</v>
      </c>
      <c r="EC10" s="63" t="n">
        <v>10433965</v>
      </c>
      <c r="ED10" s="169" t="n">
        <v>0.36084</v>
      </c>
      <c r="EE10" s="64" t="n">
        <v>2393989930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兆易创新科技集团股份有限公司</t>
        </is>
      </c>
      <c r="EI10" s="174" t="inlineStr">
        <is>
          <t>Active</t>
        </is>
      </c>
      <c r="EJ10" s="175" t="n">
        <v>313.145</v>
      </c>
      <c r="EK10" s="176" t="n">
        <v>0.410913</v>
      </c>
      <c r="EL10" s="176" t="n">
        <v>0.932994</v>
      </c>
      <c r="EM10" s="176" t="n">
        <v>0.006655</v>
      </c>
      <c r="EN10" s="176" t="n">
        <v>-0.07703699999999999</v>
      </c>
      <c r="EO10" s="179" t="n">
        <v>1.4016</v>
      </c>
      <c r="EP10" s="179" t="n">
        <v>1.5287</v>
      </c>
      <c r="EQ10" s="178" t="n">
        <v>515852110.5</v>
      </c>
      <c r="ER10" s="175" t="n">
        <v>629</v>
      </c>
      <c r="ES10" s="176" t="n">
        <v>1.834035</v>
      </c>
      <c r="ET10" s="176" t="n">
        <v>2.882716</v>
      </c>
      <c r="EU10" s="176" t="n">
        <v>-0.098134</v>
      </c>
      <c r="EV10" s="176" t="n">
        <v>-0.203305</v>
      </c>
      <c r="EW10" s="179" t="n">
        <v>3.1424</v>
      </c>
      <c r="EX10" s="179" t="n">
        <v>3.5572</v>
      </c>
      <c r="EY10" s="178" t="n">
        <v>3205313013.5</v>
      </c>
      <c r="EZ10" s="176" t="n">
        <v>1.3389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Huatai Financial Holdings (Hong Kong) Limited</t>
        </is>
      </c>
      <c r="FG10" s="185" t="inlineStr">
        <is>
          <t>2026-02-07</t>
        </is>
      </c>
      <c r="FH10" s="183" t="n">
        <v>0</v>
      </c>
      <c r="FI10" s="178" t="n">
        <v>4337300</v>
      </c>
      <c r="FJ10" s="176" t="n">
        <v>0.15</v>
      </c>
      <c r="FK10" s="185" t="inlineStr">
        <is>
          <t>2026-02-07</t>
        </is>
      </c>
      <c r="FL10" s="178" t="n">
        <v>4337300</v>
      </c>
      <c r="FM10" s="176" t="n">
        <v>1</v>
      </c>
      <c r="FN10" s="176" t="n">
        <v>0.337132</v>
      </c>
      <c r="FO10" s="176" t="n">
        <v>0.146897</v>
      </c>
      <c r="FP10" s="176" t="n">
        <v>1.11842</v>
      </c>
      <c r="FQ10" s="176" t="n">
        <v>0.302778</v>
      </c>
      <c r="FR10" s="179" t="n">
        <v>1.3167</v>
      </c>
      <c r="FS10" s="176" t="n">
        <v>0.410913</v>
      </c>
      <c r="FT10" s="179" t="n">
        <v>1.4016</v>
      </c>
      <c r="FU10" s="176" t="n">
        <v>0.937169</v>
      </c>
      <c r="FV10" s="179" t="n">
        <v>1.9881</v>
      </c>
      <c r="FW10" s="179" t="n">
        <v>2.2549</v>
      </c>
      <c r="FX10" s="178" t="n">
        <v>625038076.98</v>
      </c>
      <c r="FY10" s="186" t="n">
        <v>7.315079365079365e-05</v>
      </c>
      <c r="FZ10" s="183" t="n">
        <v>0</v>
      </c>
      <c r="GA10" s="176" t="n">
        <v>0.08569336033514878</v>
      </c>
      <c r="GB10" s="176" t="n">
        <v>0.572516</v>
      </c>
      <c r="GC10" s="185" t="inlineStr">
        <is>
          <t>2026-07-13</t>
        </is>
      </c>
      <c r="GD10" s="185" t="inlineStr">
        <is>
          <t>2027-01-13</t>
        </is>
      </c>
      <c r="GE10" s="176" t="n">
        <v>-0.476589</v>
      </c>
      <c r="GF10" s="176" t="n">
        <v>-0.182211</v>
      </c>
      <c r="GG10" s="179" t="n">
        <v>1.2463</v>
      </c>
      <c r="GH10" s="181" t="inlineStr">
        <is>
          <t>Huatai Financial Holdings (Hong Kong) Limited</t>
        </is>
      </c>
      <c r="GI10" s="183" t="n">
        <v>0</v>
      </c>
      <c r="GJ10" s="183" t="n">
        <v>0</v>
      </c>
      <c r="GK10" s="176" t="n">
        <v>4e-05</v>
      </c>
      <c r="GL10" s="176" t="n">
        <v>0.01</v>
      </c>
      <c r="GM10" s="176" t="n">
        <v>0.01004</v>
      </c>
      <c r="GN10" s="183" t="n">
        <v>18</v>
      </c>
      <c r="GO10" s="183" t="n">
        <v>1</v>
      </c>
      <c r="GP10" s="183" t="n">
        <v>0</v>
      </c>
      <c r="GQ10" s="183" t="n">
        <v>3</v>
      </c>
      <c r="GR10" s="183" t="n">
        <v>1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10</v>
      </c>
      <c r="B11" s="47" t="inlineStr">
        <is>
          <t>1641.HK</t>
        </is>
      </c>
      <c r="C11" s="44" t="inlineStr">
        <is>
          <t>Hongxing Coldchain (Hunan) Co., Ltd.- H shares</t>
        </is>
      </c>
      <c r="D11" s="130" t="n">
        <v>46022</v>
      </c>
      <c r="E11" s="48" t="n">
        <v>46035</v>
      </c>
      <c r="F11" s="43" t="inlineStr">
        <is>
          <t>CCB International Capital Limited / ABCI Capital Limited</t>
        </is>
      </c>
      <c r="G11" s="43" t="inlineStr">
        <is>
          <t>Ernst &amp; Young</t>
        </is>
      </c>
      <c r="H11" s="43" t="inlineStr">
        <is>
          <t>Jones Lang LaSalle Corporate Appraisal and Advisory Limited</t>
        </is>
      </c>
      <c r="I11" s="131" t="n">
        <v>28522890</v>
      </c>
      <c r="J11" s="148" t="n">
        <v>256681490</v>
      </c>
      <c r="K11" s="133" t="n">
        <v>12.26</v>
      </c>
      <c r="L11" t="n">
        <v>98263000</v>
      </c>
      <c r="M11" s="67" t="n">
        <v>23263000</v>
      </c>
      <c r="N11" t="n">
        <v>75000000</v>
      </c>
      <c r="O11" t="n">
        <v>75000000</v>
      </c>
      <c r="P11" t="n">
        <v>0</v>
      </c>
      <c r="Q11" t="n">
        <v>23263000</v>
      </c>
      <c r="R11" s="67" t="n">
        <v>20936500</v>
      </c>
      <c r="S11" s="67" t="n">
        <v>2326500</v>
      </c>
      <c r="T11" s="147" t="n">
        <v>12.26</v>
      </c>
      <c r="U11" s="147" t="n">
        <v>12.26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1289104000</v>
      </c>
      <c r="AA11" s="137" t="n">
        <v>1211953000</v>
      </c>
      <c r="AB11" s="137" t="n">
        <v>1221976000</v>
      </c>
      <c r="AC11" s="137" t="n">
        <v>881529000</v>
      </c>
      <c r="AD11" s="137" t="n">
        <v>824409000</v>
      </c>
      <c r="AE11" s="137" t="n">
        <v>824092000</v>
      </c>
      <c r="AF11" s="137" t="n">
        <v>407575000</v>
      </c>
      <c r="AG11" s="137" t="n">
        <v>387544000</v>
      </c>
      <c r="AH11" s="137" t="n">
        <v>397884000</v>
      </c>
      <c r="AI11" s="137" t="n">
        <v>201760000</v>
      </c>
      <c r="AJ11" s="137" t="n">
        <v>233576000</v>
      </c>
      <c r="AK11" s="137" t="n">
        <v>236096000</v>
      </c>
      <c r="AL11" s="137" t="n">
        <v>100945000</v>
      </c>
      <c r="AM11" s="137" t="n">
        <v>111231000</v>
      </c>
      <c r="AN11" s="137" t="n">
        <v>106614000</v>
      </c>
      <c r="AO11" s="137" t="n">
        <v>75312000</v>
      </c>
      <c r="AP11" s="137" t="n">
        <v>82880000</v>
      </c>
      <c r="AQ11" s="137" t="n">
        <v>79366000</v>
      </c>
      <c r="AR11" s="142" t="n">
        <v>0.03</v>
      </c>
      <c r="AS11" s="142" t="n">
        <v>0.03</v>
      </c>
      <c r="AT11" s="84" t="n">
        <v>0</v>
      </c>
      <c r="AU11" s="51" t="inlineStr">
        <is>
          <t>frozen food storage services and frozen food space leasing services</t>
        </is>
      </c>
      <c r="AV11" s="51" t="inlineStr">
        <is>
          <t>Main Board (Chapter 19A PRC issuer)</t>
        </is>
      </c>
      <c r="AW11" s="136" t="n">
        <v>45838</v>
      </c>
      <c r="AX11" s="137" t="n">
        <v>75552000</v>
      </c>
      <c r="AY11" s="117" t="n">
        <v>78238000</v>
      </c>
      <c r="AZ11" s="117" t="n">
        <v>513000</v>
      </c>
      <c r="BA11" s="117" t="n">
        <v>0</v>
      </c>
      <c r="BB11" s="138" t="n">
        <v>0.075</v>
      </c>
      <c r="BC11" s="139" t="n">
        <v>0.5</v>
      </c>
      <c r="BD11" s="80" t="n">
        <v>0</v>
      </c>
      <c r="BE11" s="161" t="n">
        <v>0</v>
      </c>
      <c r="BF11" s="161" t="n">
        <v>0</v>
      </c>
      <c r="BG11" s="161" t="n">
        <v>0</v>
      </c>
      <c r="BH11" s="161" t="n">
        <v>0</v>
      </c>
      <c r="BI11" s="161" t="n">
        <v>0</v>
      </c>
      <c r="BJ11" s="162" t="inlineStr">
        <is>
          <t>NA</t>
        </is>
      </c>
      <c r="BK11" s="163" t="n">
        <v>0</v>
      </c>
      <c r="BL11" s="161" t="n">
        <v>0</v>
      </c>
      <c r="BM11" s="164" t="inlineStr">
        <is>
          <t>None</t>
        </is>
      </c>
      <c r="BN11" s="165" t="n">
        <v>0</v>
      </c>
      <c r="BO11" s="51" t="inlineStr">
        <is>
          <t>集体所有制企业（长沙红星投资经营管理中心，由2,000余名红星村村民集体所有，无单一自然人/国资实际控制人）</t>
        </is>
      </c>
      <c r="BP11" s="135" t="n">
        <v>0.5417</v>
      </c>
      <c r="BQ11" s="135" t="n">
        <v>0.5417</v>
      </c>
      <c r="BR11" s="137" t="n">
        <v>208452000</v>
      </c>
      <c r="BS11" s="51" t="inlineStr">
        <is>
          <t>已商业化运营（各期项目已竣工验收并投入运营；2024年Phase V扩建项目通过竣工验收，总可用仓储容量超过230,000吨）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601030</t>
        </is>
      </c>
      <c r="CB11" s="76" t="inlineStr">
        <is>
          <t>HSICS (Hang Seng Industry Classification System) 2026</t>
        </is>
      </c>
      <c r="CC11" s="140" t="n">
        <v>39006</v>
      </c>
      <c r="CD11" s="171" t="n">
        <v>19.24</v>
      </c>
      <c r="CE11" s="76" t="inlineStr">
        <is>
          <t>PRC</t>
        </is>
      </c>
      <c r="CF11" s="89" t="inlineStr">
        <is>
          <t>Changsha City, Hunan Province, the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118048000</v>
      </c>
      <c r="CO11" s="64" t="n">
        <v>53307000</v>
      </c>
      <c r="CP11" s="64" t="n">
        <v>39683000</v>
      </c>
      <c r="CQ11" s="141" t="n">
        <v>46022</v>
      </c>
      <c r="CR11" s="141" t="n">
        <v>46030</v>
      </c>
      <c r="CS11" s="63" t="n">
        <v>24566464</v>
      </c>
      <c r="CT11" s="64" t="n">
        <v>62861000</v>
      </c>
      <c r="CU11" s="64" t="n">
        <v>16830000</v>
      </c>
      <c r="CV11" s="59" t="inlineStr">
        <is>
          <t>无保留意见 (Unqualified opinion)</t>
        </is>
      </c>
      <c r="CW11" s="64" t="n">
        <v>32900000</v>
      </c>
      <c r="CX11" s="51" t="inlineStr">
        <is>
          <t>FUHUIDA (HK) LIMITED</t>
        </is>
      </c>
      <c r="CY11" s="142" t="n">
        <v>0.0766</v>
      </c>
      <c r="CZ11" s="136" t="n">
        <v>46216</v>
      </c>
      <c r="DA11" s="143" t="n">
        <v>2309.25</v>
      </c>
      <c r="DB11" s="63" t="n">
        <v>103102</v>
      </c>
      <c r="DC11" s="63" t="n">
        <v>5372469000</v>
      </c>
      <c r="DD11" s="59" t="inlineStr">
        <is>
          <t>Subscription level 2,309.25 times</t>
        </is>
      </c>
      <c r="DE11" s="141" t="inlineStr">
        <is>
          <t>NA</t>
        </is>
      </c>
      <c r="DF11" s="141" t="n">
        <v>46034</v>
      </c>
      <c r="DG11" s="63" t="n">
        <v>23263000</v>
      </c>
      <c r="DH11" s="63" t="n">
        <v>2326500</v>
      </c>
      <c r="DI11" s="63" t="n">
        <v>20936500</v>
      </c>
      <c r="DJ11" s="63" t="n">
        <v>0</v>
      </c>
      <c r="DK11" s="169" t="n">
        <v>0</v>
      </c>
      <c r="DL11" s="59" t="inlineStr">
        <is>
          <t>Claw-back triggered: No. No. of Offer Shares reallocated from the International Offering (claw-back): N/A</t>
        </is>
      </c>
      <c r="DM11" s="144" t="n">
        <v>252330000</v>
      </c>
      <c r="DN11" s="142" t="n">
        <v>0.25</v>
      </c>
      <c r="DO11" s="51" t="n">
        <v>98263000</v>
      </c>
      <c r="DP11" s="142" t="n">
        <v>0.2186</v>
      </c>
      <c r="DQ11" s="59" t="inlineStr">
        <is>
          <t>Excluding the Offer Shares to be allocated to the cornerstone investor that are subject to a lock-up period of six months following the Listing Date and the H Shares to be converted from Unlisted Shares that are subjected to a lockup period of 12 months following the Listing Date</t>
        </is>
      </c>
      <c r="DR11" s="63" t="n">
        <v>21482000</v>
      </c>
      <c r="DS11" s="142" t="n">
        <v>-0.00016594</v>
      </c>
      <c r="DT11" s="80" t="n">
        <v>47</v>
      </c>
      <c r="DU11" s="142" t="n">
        <v>0.0321107</v>
      </c>
      <c r="DV11" s="144" t="n">
        <v>53950000000</v>
      </c>
      <c r="DW11" s="145" t="n">
        <v>11.949</v>
      </c>
      <c r="DX11" s="169" t="n">
        <v>-0.025367</v>
      </c>
      <c r="DY11" s="172" t="n">
        <v>-7234793</v>
      </c>
      <c r="DZ11" s="146" t="n">
        <v>19.229</v>
      </c>
      <c r="EA11" s="146" t="n">
        <v>19.349</v>
      </c>
      <c r="EB11" s="146" t="n">
        <v>11.649</v>
      </c>
      <c r="EC11" s="63" t="n">
        <v>13868000</v>
      </c>
      <c r="ED11" s="169" t="n">
        <v>0.59614</v>
      </c>
      <c r="EE11" s="64" t="n">
        <v>212183760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红星冷链(湖南)股份有限公司</t>
        </is>
      </c>
      <c r="EI11" s="174" t="inlineStr">
        <is>
          <t>Active</t>
        </is>
      </c>
      <c r="EJ11" s="175" t="n">
        <v>8.048999999999999</v>
      </c>
      <c r="EK11" s="176" t="n">
        <v>-0.326387</v>
      </c>
      <c r="EL11" s="176" t="n">
        <v>-0.343475</v>
      </c>
      <c r="EM11" s="176" t="n">
        <v>0.006655</v>
      </c>
      <c r="EN11" s="176" t="n">
        <v>-0.07703699999999999</v>
      </c>
      <c r="EO11" s="179" t="n">
        <v>0.6692</v>
      </c>
      <c r="EP11" s="179" t="n">
        <v>0.7298</v>
      </c>
      <c r="EQ11" s="178" t="n">
        <v>15266736</v>
      </c>
      <c r="ER11" s="175" t="n">
        <v>4.3</v>
      </c>
      <c r="ES11" s="176" t="n">
        <v>-0.640137</v>
      </c>
      <c r="ET11" s="176" t="n">
        <v>-0.649266</v>
      </c>
      <c r="EU11" s="176" t="n">
        <v>-0.098134</v>
      </c>
      <c r="EV11" s="176" t="n">
        <v>-0.203305</v>
      </c>
      <c r="EW11" s="179" t="n">
        <v>0.399</v>
      </c>
      <c r="EX11" s="179" t="n">
        <v>0.4517</v>
      </c>
      <c r="EY11" s="178" t="n">
        <v>111651</v>
      </c>
      <c r="EZ11" s="176" t="n">
        <v>0.000526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2026-02-12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2026-01-13</t>
        </is>
      </c>
      <c r="FL11" s="178" t="n">
        <v>0</v>
      </c>
      <c r="FM11" s="176" t="n">
        <v>0</v>
      </c>
      <c r="FN11" s="176" t="n">
        <v>-0.039658</v>
      </c>
      <c r="FO11" s="176" t="n">
        <v>-0.139843</v>
      </c>
      <c r="FP11" s="176" t="n">
        <v>0.102559</v>
      </c>
      <c r="FQ11" s="176" t="n">
        <v>-0.146456</v>
      </c>
      <c r="FR11" s="179" t="n">
        <v>0.8627</v>
      </c>
      <c r="FS11" s="176" t="n">
        <v>-0.326387</v>
      </c>
      <c r="FT11" s="179" t="n">
        <v>0.6692</v>
      </c>
      <c r="FU11" s="176" t="n">
        <v>-0.419282</v>
      </c>
      <c r="FV11" s="179" t="n">
        <v>0.596</v>
      </c>
      <c r="FW11" s="179" t="n">
        <v>0.676</v>
      </c>
      <c r="FX11" s="178" t="n">
        <v>5445956.83</v>
      </c>
      <c r="FY11" s="186" t="n">
        <v>0.109954784</v>
      </c>
      <c r="FZ11" s="183" t="n">
        <v>1</v>
      </c>
      <c r="GA11" s="176" t="n">
        <v>0.0385440201766578</v>
      </c>
      <c r="GB11" s="176" t="n">
        <v>0.792289</v>
      </c>
      <c r="GC11" s="185" t="inlineStr">
        <is>
          <t>2026-07-13</t>
        </is>
      </c>
      <c r="GD11" s="185" t="inlineStr">
        <is>
          <t>2027-01-13</t>
        </is>
      </c>
      <c r="GE11" s="176" t="n">
        <v>-0.063189</v>
      </c>
      <c r="GF11" s="176" t="n">
        <v>-0.211067</v>
      </c>
      <c r="GG11" s="179" t="n">
        <v>3.3207</v>
      </c>
      <c r="GH11" s="181" t="inlineStr">
        <is>
          <t>China International Capital Corporation / Sponsor-OC</t>
        </is>
      </c>
      <c r="GI11" s="183" t="n">
        <v>0</v>
      </c>
      <c r="GJ11" s="183" t="n">
        <v>0</v>
      </c>
      <c r="GK11" s="176" t="n">
        <v>0.0003</v>
      </c>
      <c r="GL11" s="176" t="n">
        <v>0.01</v>
      </c>
      <c r="GM11" s="176" t="n">
        <v>0.0103</v>
      </c>
      <c r="GN11" s="183" t="n">
        <v>1</v>
      </c>
      <c r="GO11" s="183" t="n">
        <v>0</v>
      </c>
      <c r="GP11" s="183" t="n">
        <v>0</v>
      </c>
      <c r="GQ11" s="183" t="n">
        <v>0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11</v>
      </c>
      <c r="B12" s="47" t="inlineStr">
        <is>
          <t>9611.HK</t>
        </is>
      </c>
      <c r="C12" s="44" t="inlineStr">
        <is>
          <t>Shanghai Longcheer Technology Co., Ltd.- H shares</t>
        </is>
      </c>
      <c r="D12" s="130" t="n">
        <v>46036</v>
      </c>
      <c r="E12" s="48" t="n">
        <v>46044</v>
      </c>
      <c r="F12" s="43" t="inlineStr">
        <is>
          <t>Citigroup Global Markets Asia Limited / Haitong International Capital Limited / Guotai Junan Capital Limited</t>
        </is>
      </c>
      <c r="G12" s="43" t="inlineStr">
        <is>
          <t>Ernst &amp; Young</t>
        </is>
      </c>
      <c r="H12" s="43" t="inlineStr">
        <is>
          <t>N/A</t>
        </is>
      </c>
      <c r="I12" s="131" t="n">
        <v>162006000</v>
      </c>
      <c r="J12" s="148" t="n">
        <v>1458026100</v>
      </c>
      <c r="K12" s="133" t="n">
        <v>31</v>
      </c>
      <c r="L12" t="n">
        <v>522590644</v>
      </c>
      <c r="M12" s="67" t="n">
        <v>52259100</v>
      </c>
      <c r="N12" t="n">
        <v>470331544</v>
      </c>
      <c r="O12" t="n">
        <v>470331544</v>
      </c>
      <c r="P12" t="n">
        <v>0</v>
      </c>
      <c r="Q12" t="n">
        <v>52259100</v>
      </c>
      <c r="R12" s="67" t="n">
        <v>47033100</v>
      </c>
      <c r="S12" s="67" t="n">
        <v>5226000</v>
      </c>
      <c r="T12" s="147" t="n">
        <v>31</v>
      </c>
      <c r="U12" s="147" t="inlineStr">
        <is>
          <t>NaN</t>
        </is>
      </c>
      <c r="V12" s="169" t="n">
        <v>0</v>
      </c>
      <c r="W12" s="169" t="n">
        <v>0</v>
      </c>
      <c r="X12" s="170" t="inlineStr">
        <is>
          <t>Fixed price</t>
        </is>
      </c>
      <c r="Y12" s="26" t="inlineStr">
        <is>
          <t>RMB</t>
        </is>
      </c>
      <c r="Z12" s="137" t="n">
        <v>19838899000</v>
      </c>
      <c r="AA12" s="137" t="n">
        <v>26345614000</v>
      </c>
      <c r="AB12" s="137" t="n">
        <v>27306843000</v>
      </c>
      <c r="AC12" s="137" t="n">
        <v>3825397000</v>
      </c>
      <c r="AD12" s="137" t="n">
        <v>5593130000</v>
      </c>
      <c r="AE12" s="137" t="n">
        <v>5739830000</v>
      </c>
      <c r="AF12" s="137" t="n">
        <v>16013502000</v>
      </c>
      <c r="AG12" s="137" t="n">
        <v>20752484000</v>
      </c>
      <c r="AH12" s="137" t="n">
        <v>21567013000</v>
      </c>
      <c r="AI12" s="137" t="n">
        <v>27185064000</v>
      </c>
      <c r="AJ12" s="137" t="n">
        <v>46382472000</v>
      </c>
      <c r="AK12" s="137" t="n">
        <v>41775470666.66667</v>
      </c>
      <c r="AL12" s="137" t="n">
        <v>651080000</v>
      </c>
      <c r="AM12" s="137" t="n">
        <v>514004000</v>
      </c>
      <c r="AN12" s="137" t="n">
        <v>733184000</v>
      </c>
      <c r="AO12" s="137" t="n">
        <v>602711000</v>
      </c>
      <c r="AP12" s="137" t="n">
        <v>493350000</v>
      </c>
      <c r="AQ12" s="137" t="n">
        <v>685978666.6666666</v>
      </c>
      <c r="AR12" s="142" t="n">
        <v>0.022</v>
      </c>
      <c r="AS12" s="142" t="n">
        <v>0.022</v>
      </c>
      <c r="AT12" s="84" t="n">
        <v>0.15</v>
      </c>
      <c r="AU12" s="51" t="inlineStr">
        <is>
          <t>Smart devices and services provider offering solutions including product research, design, manufacturing, and support</t>
        </is>
      </c>
      <c r="AV12" s="51" t="inlineStr">
        <is>
          <t>Main Board (Chapter 19A PRC issuer)</t>
        </is>
      </c>
      <c r="AW12" s="136" t="n">
        <v>45930</v>
      </c>
      <c r="AX12" s="137" t="n">
        <v>915761000</v>
      </c>
      <c r="AY12" s="117" t="n">
        <v>6850371000</v>
      </c>
      <c r="AZ12" s="117" t="n">
        <v>1951106000</v>
      </c>
      <c r="BA12" s="117" t="n">
        <v>12463000</v>
      </c>
      <c r="BB12" s="138" t="n">
        <v>0.794</v>
      </c>
      <c r="BC12" s="139" t="n">
        <v>0.75</v>
      </c>
      <c r="BD12" s="80" t="n">
        <v>1</v>
      </c>
      <c r="BE12" s="161" t="n">
        <v>1</v>
      </c>
      <c r="BF12" s="161" t="n">
        <v>0</v>
      </c>
      <c r="BG12" s="161" t="n">
        <v>1</v>
      </c>
      <c r="BH12" s="161" t="n">
        <v>0</v>
      </c>
      <c r="BI12" s="161" t="n">
        <v>1</v>
      </c>
      <c r="BJ12" s="162" t="inlineStr">
        <is>
          <t>Suzhou Industrial Park Shunwei Technology Venture Investment (Shunwei Capital)</t>
        </is>
      </c>
      <c r="BK12" s="163" t="n">
        <v>0.091</v>
      </c>
      <c r="BL12" s="161" t="n">
        <v>0</v>
      </c>
      <c r="BM12" s="164" t="inlineStr">
        <is>
          <t>Series A</t>
        </is>
      </c>
      <c r="BN12" s="165" t="n">
        <v>10.2</v>
      </c>
      <c r="BO12" s="51" t="inlineStr">
        <is>
          <t>自然人</t>
        </is>
      </c>
      <c r="BP12" s="135" t="n">
        <v>0.3476</v>
      </c>
      <c r="BQ12" s="135" t="n">
        <v>0.3476</v>
      </c>
      <c r="BR12" s="137" t="n">
        <v>3877178000</v>
      </c>
      <c r="BS12" s="51" t="inlineStr">
        <is>
          <t>已量产（规模商业化，mass production）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701010</t>
        </is>
      </c>
      <c r="CB12" s="76" t="inlineStr">
        <is>
          <t>HSICS (Hang Seng Industry Classification System) 2026</t>
        </is>
      </c>
      <c r="CC12" s="140" t="n">
        <v>38287</v>
      </c>
      <c r="CD12" s="171" t="n">
        <v>21.24</v>
      </c>
      <c r="CE12" s="76" t="inlineStr">
        <is>
          <t>PRC</t>
        </is>
      </c>
      <c r="CF12" s="89" t="inlineStr">
        <is>
          <t>Shanghai, PRC</t>
        </is>
      </c>
      <c r="CG12" s="91" t="n">
        <v>1000</v>
      </c>
      <c r="CH12" s="60" t="inlineStr">
        <is>
          <t>IFRS Accounting Standards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31331603000</v>
      </c>
      <c r="CO12" s="64" t="n">
        <v>549888000</v>
      </c>
      <c r="CP12" s="64" t="n">
        <v>514484000</v>
      </c>
      <c r="CQ12" s="141" t="n">
        <v>46036</v>
      </c>
      <c r="CR12" s="141" t="n">
        <v>46041</v>
      </c>
      <c r="CS12" s="63" t="n">
        <v>52259100</v>
      </c>
      <c r="CT12" s="64" t="n">
        <v>2606382000</v>
      </c>
      <c r="CU12" s="64" t="n">
        <v>708030000</v>
      </c>
      <c r="CV12" s="59" t="inlineStr">
        <is>
          <t>无保留意见（Unqualified opinion）</t>
        </is>
      </c>
      <c r="CW12" s="64" t="n">
        <v>100100000</v>
      </c>
      <c r="CX12" s="51" t="inlineStr">
        <is>
          <t>Qualcomm; Jiangxi Guokong; OmniVision HK; Hong Kong Yuto; Qingdao Guanlan and Guotai Junan Investments (Hong Kong) Limited (in connection with Guanlan OTC Swaps); Endless Growth</t>
        </is>
      </c>
      <c r="CY12" s="142" t="n">
        <v>0.2718</v>
      </c>
      <c r="CZ12" s="136" t="n">
        <v>46225</v>
      </c>
      <c r="DA12" s="143" t="n">
        <v>1149.76</v>
      </c>
      <c r="DB12" s="63" t="n">
        <v>145096</v>
      </c>
      <c r="DC12" s="63" t="n">
        <v>6008667200</v>
      </c>
      <c r="DD12" s="59" t="inlineStr">
        <is>
          <t>Subscription level 1,149.76 times</t>
        </is>
      </c>
      <c r="DE12" s="141" t="n">
        <v>46042</v>
      </c>
      <c r="DF12" s="141" t="n">
        <v>46043</v>
      </c>
      <c r="DG12" s="63" t="n">
        <v>52259100</v>
      </c>
      <c r="DH12" s="63" t="n">
        <v>5226000</v>
      </c>
      <c r="DI12" s="63" t="n">
        <v>47033100</v>
      </c>
      <c r="DJ12" s="63" t="n">
        <v>0</v>
      </c>
      <c r="DK12" s="169" t="n">
        <v>0</v>
      </c>
      <c r="DL12" s="59" t="inlineStr">
        <is>
          <t>Reallocation: No; number of Offer Shares reallocated from the International Offering: 0; final number of Offer Shares under the Hong Kong Public Offering: 5,226,000.</t>
        </is>
      </c>
      <c r="DM12" s="144" t="n">
        <v>1519900000</v>
      </c>
      <c r="DN12" s="142" t="n">
        <v>0.1002</v>
      </c>
      <c r="DO12" s="51" t="n">
        <v>522590644</v>
      </c>
      <c r="DP12" s="142" t="n">
        <v>0.0728</v>
      </c>
      <c r="DQ12" s="59" t="inlineStr">
        <is>
          <t>Free float denominator = total issued share capital of the Company upon Listing (522,590,644 Shares, before any exercise of the Over-allotment Option); H Shares held by the Cornerstone Investors (14,200,900 Shares, subject to a six-month lock-up) are excluded from the free float; free float 7.28% at the final Offer Price of HK$31.00.</t>
        </is>
      </c>
      <c r="DR12" s="63" t="n">
        <v>522590644</v>
      </c>
      <c r="DS12" s="142" t="n">
        <v>0.05162298</v>
      </c>
      <c r="DT12" s="80" t="n">
        <v>54</v>
      </c>
      <c r="DU12" s="142" t="n">
        <v>0.0269</v>
      </c>
      <c r="DV12" s="144" t="n">
        <v>53973000000</v>
      </c>
      <c r="DW12" s="145" t="n">
        <v>31.529</v>
      </c>
      <c r="DX12" s="169" t="n">
        <v>0.017065</v>
      </c>
      <c r="DY12" s="172" t="n">
        <v>27645063.9</v>
      </c>
      <c r="DZ12" s="146" t="n">
        <v>34.429</v>
      </c>
      <c r="EA12" s="146" t="n">
        <v>36.289</v>
      </c>
      <c r="EB12" s="146" t="n">
        <v>30.649</v>
      </c>
      <c r="EC12" s="63" t="n">
        <v>24635488</v>
      </c>
      <c r="ED12" s="169" t="n">
        <v>0.47141</v>
      </c>
      <c r="EE12" s="64" t="n">
        <v>836579720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上海龙旗科技股份有限公司</t>
        </is>
      </c>
      <c r="EI12" s="174" t="inlineStr">
        <is>
          <t>Active</t>
        </is>
      </c>
      <c r="EJ12" s="175" t="n">
        <v>29.989</v>
      </c>
      <c r="EK12" s="176" t="n">
        <v>-0.048844</v>
      </c>
      <c r="EL12" s="176" t="n">
        <v>-0.032613</v>
      </c>
      <c r="EM12" s="176" t="n">
        <v>0.016971</v>
      </c>
      <c r="EN12" s="176" t="n">
        <v>-0.065439</v>
      </c>
      <c r="EO12" s="179" t="n">
        <v>0.9353</v>
      </c>
      <c r="EP12" s="179" t="n">
        <v>1.0178</v>
      </c>
      <c r="EQ12" s="178" t="n">
        <v>82898825</v>
      </c>
      <c r="ER12" s="175" t="n">
        <v>21.74</v>
      </c>
      <c r="ES12" s="176" t="n">
        <v>-0.310476</v>
      </c>
      <c r="ET12" s="176" t="n">
        <v>-0.29871</v>
      </c>
      <c r="EU12" s="176" t="n">
        <v>-0.06523900000000001</v>
      </c>
      <c r="EV12" s="176" t="n">
        <v>-0.189887</v>
      </c>
      <c r="EW12" s="179" t="n">
        <v>0.7376</v>
      </c>
      <c r="EX12" s="179" t="n">
        <v>0.8511</v>
      </c>
      <c r="EY12" s="178" t="n">
        <v>18102085.5</v>
      </c>
      <c r="EZ12" s="176" t="n">
        <v>0.021638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2026-02-21</t>
        </is>
      </c>
      <c r="FH12" s="183" t="n">
        <v>0</v>
      </c>
      <c r="FI12" s="178" t="n">
        <v>0</v>
      </c>
      <c r="FJ12" s="176" t="n">
        <v>0.1111</v>
      </c>
      <c r="FK12" s="185" t="inlineStr">
        <is>
          <t>2026-01-14</t>
        </is>
      </c>
      <c r="FL12" s="178" t="n">
        <v>0</v>
      </c>
      <c r="FM12" s="176" t="n">
        <v>0</v>
      </c>
      <c r="FN12" s="176" t="n">
        <v>-0.039231</v>
      </c>
      <c r="FO12" s="176" t="n">
        <v>-0.295442</v>
      </c>
      <c r="FP12" s="176" t="n">
        <v>0.312266</v>
      </c>
      <c r="FQ12" s="176" t="n">
        <v>-0.034889</v>
      </c>
      <c r="FR12" s="179" t="n">
        <v>0.9236</v>
      </c>
      <c r="FS12" s="176" t="n">
        <v>-0.048844</v>
      </c>
      <c r="FT12" s="179" t="n">
        <v>0.9353</v>
      </c>
      <c r="FU12" s="176" t="n">
        <v>-0.345713</v>
      </c>
      <c r="FV12" s="179" t="n">
        <v>0.6785</v>
      </c>
      <c r="FW12" s="179" t="n">
        <v>0.7811</v>
      </c>
      <c r="FX12" s="178" t="n">
        <v>41427494.13</v>
      </c>
      <c r="FY12" s="186" t="n">
        <v>0.001705039682539683</v>
      </c>
      <c r="FZ12" s="183" t="n">
        <v>0</v>
      </c>
      <c r="GA12" s="176" t="n">
        <v>0.03925233705565075</v>
      </c>
      <c r="GB12" s="176" t="n">
        <v>0.443109</v>
      </c>
      <c r="GC12" s="185" t="inlineStr">
        <is>
          <t>2026-07-22</t>
        </is>
      </c>
      <c r="GD12" s="185" t="inlineStr">
        <is>
          <t>2027-01-22</t>
        </is>
      </c>
      <c r="GE12" s="176" t="n">
        <v>-0.078404</v>
      </c>
      <c r="GF12" s="176" t="n">
        <v>-0.158173</v>
      </c>
      <c r="GG12" s="179" t="n">
        <v>1.1393</v>
      </c>
      <c r="GH12" s="181" t="inlineStr">
        <is>
          <t>China International Capital Corporation / Sponsor-OC</t>
        </is>
      </c>
      <c r="GI12" s="183" t="n">
        <v>0</v>
      </c>
      <c r="GJ12" s="183" t="n">
        <v>0</v>
      </c>
      <c r="GK12" s="176" t="n">
        <v>0.00022</v>
      </c>
      <c r="GL12" s="176" t="n">
        <v>0.01</v>
      </c>
      <c r="GM12" s="176" t="n">
        <v>0.01022</v>
      </c>
      <c r="GN12" s="183" t="n">
        <v>6</v>
      </c>
      <c r="GO12" s="183" t="n">
        <v>1</v>
      </c>
      <c r="GP12" s="183" t="n">
        <v>0</v>
      </c>
      <c r="GQ12" s="183" t="n">
        <v>1</v>
      </c>
      <c r="GR12" s="183" t="n">
        <v>1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12</v>
      </c>
      <c r="B13" s="47" t="inlineStr">
        <is>
          <t>1768.HK</t>
        </is>
      </c>
      <c r="C13" s="44" t="inlineStr">
        <is>
          <t>BUSY MING GROUP CO., LTD.- H shares</t>
        </is>
      </c>
      <c r="D13" s="130" t="n">
        <v>46042</v>
      </c>
      <c r="E13" s="48" t="n">
        <v>46050</v>
      </c>
      <c r="F13" s="43" t="inlineStr">
        <is>
          <t>Goldman Sachs (Asia) L.L.C / Huatai Financial Holdings (Hong Kong) Limited</t>
        </is>
      </c>
      <c r="G13" s="43" t="inlineStr">
        <is>
          <t>Ernst &amp; Young</t>
        </is>
      </c>
      <c r="H13" s="43" t="inlineStr">
        <is>
          <t>N/A</t>
        </is>
      </c>
      <c r="I13" s="131" t="n">
        <v>333653320</v>
      </c>
      <c r="J13" s="148" t="n">
        <v>3886770160</v>
      </c>
      <c r="K13" s="133" t="n">
        <v>236.6</v>
      </c>
      <c r="L13" t="n">
        <v>214101100</v>
      </c>
      <c r="M13" s="67" t="n">
        <v>14101100</v>
      </c>
      <c r="N13" t="n">
        <v>200000000</v>
      </c>
      <c r="O13" t="n">
        <v>200000000</v>
      </c>
      <c r="P13" t="n">
        <v>0</v>
      </c>
      <c r="Q13" t="n">
        <v>14101100</v>
      </c>
      <c r="R13" s="67" t="n">
        <v>12690900</v>
      </c>
      <c r="S13" s="67" t="n">
        <v>1410200</v>
      </c>
      <c r="T13" s="147" t="n">
        <v>236.6</v>
      </c>
      <c r="U13" s="147" t="n">
        <v>229.6</v>
      </c>
      <c r="V13" s="169" t="n">
        <v>0.015015</v>
      </c>
      <c r="W13" s="169" t="n">
        <v>0.03003</v>
      </c>
      <c r="X13" s="170" t="inlineStr">
        <is>
          <t>At high</t>
        </is>
      </c>
      <c r="Y13" s="26" t="inlineStr">
        <is>
          <t>RMB</t>
        </is>
      </c>
      <c r="Z13" s="137" t="n">
        <v>6698734000</v>
      </c>
      <c r="AA13" s="137" t="n">
        <v>10168219000</v>
      </c>
      <c r="AB13" s="137" t="n">
        <v>11545217000</v>
      </c>
      <c r="AC13" s="137" t="n">
        <v>4594816000</v>
      </c>
      <c r="AD13" s="137" t="n">
        <v>5727799000</v>
      </c>
      <c r="AE13" s="137" t="n">
        <v>7222202000</v>
      </c>
      <c r="AF13" s="137" t="n">
        <v>2103918000</v>
      </c>
      <c r="AG13" s="137" t="n">
        <v>4440420000</v>
      </c>
      <c r="AH13" s="137" t="n">
        <v>4323015000</v>
      </c>
      <c r="AI13" s="137" t="n">
        <v>10295318000</v>
      </c>
      <c r="AJ13" s="137" t="n">
        <v>39343511000</v>
      </c>
      <c r="AK13" s="137" t="n">
        <v>61828620000</v>
      </c>
      <c r="AL13" s="137" t="n">
        <v>324606000</v>
      </c>
      <c r="AM13" s="137" t="n">
        <v>1152234000</v>
      </c>
      <c r="AN13" s="137" t="n">
        <v>2906468000</v>
      </c>
      <c r="AO13" s="137" t="n">
        <v>217534000</v>
      </c>
      <c r="AP13" s="137" t="n">
        <v>829156000</v>
      </c>
      <c r="AQ13" s="137" t="n">
        <v>2078376000</v>
      </c>
      <c r="AR13" s="142" t="n">
        <v>0.03</v>
      </c>
      <c r="AS13" s="142" t="n">
        <v>0.03</v>
      </c>
      <c r="AT13" s="84" t="n">
        <v>0.15</v>
      </c>
      <c r="AU13" s="51" t="inlineStr">
        <is>
          <t>Food and beverage retailer (snack and beverage chain retail under franchise model)</t>
        </is>
      </c>
      <c r="AV13" s="51" t="inlineStr">
        <is>
          <t>Main Board (Chapter 19A PRC issuer)</t>
        </is>
      </c>
      <c r="AW13" s="136" t="n">
        <v>45930</v>
      </c>
      <c r="AX13" s="137" t="n">
        <v>2189464000</v>
      </c>
      <c r="AY13" s="117" t="n">
        <v>3028411000</v>
      </c>
      <c r="AZ13" s="117" t="inlineStr">
        <is>
          <t>NaN</t>
        </is>
      </c>
      <c r="BA13" s="117" t="n">
        <v>0</v>
      </c>
      <c r="BB13" s="138" t="n">
        <v>0.013</v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0</v>
      </c>
      <c r="BI13" s="161" t="n">
        <v>1</v>
      </c>
      <c r="BJ13" s="162" t="inlineStr">
        <is>
          <t>HongShan; Gaocheng Capital; Black Ant Capital</t>
        </is>
      </c>
      <c r="BK13" s="163" t="n">
        <v>0.265</v>
      </c>
      <c r="BL13" s="161" t="n">
        <v>1</v>
      </c>
      <c r="BM13" s="164" t="inlineStr">
        <is>
          <t>Series A</t>
        </is>
      </c>
      <c r="BN13" s="165" t="n">
        <v>4.67</v>
      </c>
      <c r="BO13" s="51" t="inlineStr">
        <is>
          <t>自然人</t>
        </is>
      </c>
      <c r="BP13" s="135" t="n">
        <v>0.5776</v>
      </c>
      <c r="BQ13" s="135" t="n">
        <v>0.5776</v>
      </c>
      <c r="BR13" s="137" t="n">
        <v>306982000</v>
      </c>
      <c r="BS13" s="51" t="inlineStr">
        <is>
          <t>已商业化／规模化经营（原文：established and robustly growing food and beverage retailer）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0</v>
      </c>
      <c r="BZ13" s="78" t="n">
        <v>0</v>
      </c>
      <c r="CA13" s="60" t="inlineStr">
        <is>
          <t>251010</t>
        </is>
      </c>
      <c r="CB13" s="76" t="inlineStr">
        <is>
          <t>HSICS (Hang Seng Industry Classification System) 2026</t>
        </is>
      </c>
      <c r="CC13" s="140" t="n">
        <v>43811</v>
      </c>
      <c r="CD13" s="171" t="n">
        <v>6.13</v>
      </c>
      <c r="CE13" s="76" t="inlineStr">
        <is>
          <t>PRC</t>
        </is>
      </c>
      <c r="CF13" s="89" t="inlineStr">
        <is>
          <t>Changsha, Hunan Province, PRC</t>
        </is>
      </c>
      <c r="CG13" s="91" t="n">
        <v>1000</v>
      </c>
      <c r="CH13" s="60" t="inlineStr">
        <is>
          <t>IFRS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46371465000</v>
      </c>
      <c r="CO13" s="64" t="n">
        <v>2179851000</v>
      </c>
      <c r="CP13" s="64" t="n">
        <v>1558782000</v>
      </c>
      <c r="CQ13" s="141" t="n">
        <v>46042</v>
      </c>
      <c r="CR13" s="141" t="n">
        <v>46045</v>
      </c>
      <c r="CS13" s="63" t="n">
        <v>212180651</v>
      </c>
      <c r="CT13" s="64" t="n">
        <v>4510011000</v>
      </c>
      <c r="CU13" s="64" t="n">
        <v>230130000</v>
      </c>
      <c r="CV13" s="59" t="inlineStr">
        <is>
          <t>Unqualified opinion</t>
        </is>
      </c>
      <c r="CW13" s="64" t="n">
        <v>189400000</v>
      </c>
      <c r="CX13" s="51" t="inlineStr">
        <is>
          <t>Tencent; Temasek; BlackRock; FIL Investment; Bosera International; E Fund; Springs Capital (Hong Kong); Taikang Life</t>
        </is>
      </c>
      <c r="CY13" s="142" t="n">
        <v>0.4141</v>
      </c>
      <c r="CZ13" s="136" t="n">
        <v>46231</v>
      </c>
      <c r="DA13" s="143" t="n">
        <v>1899.49</v>
      </c>
      <c r="DB13" s="63" t="n">
        <v>229245</v>
      </c>
      <c r="DC13" s="63" t="n">
        <v>2678666900</v>
      </c>
      <c r="DD13" s="59" t="inlineStr">
        <is>
          <t>Subscription level 1,899.49 times</t>
        </is>
      </c>
      <c r="DE13" s="141" t="n">
        <v>46048</v>
      </c>
      <c r="DF13" s="141" t="n">
        <v>46049</v>
      </c>
      <c r="DG13" s="63" t="n">
        <v>15511200</v>
      </c>
      <c r="DH13" s="63" t="n">
        <v>1410200</v>
      </c>
      <c r="DI13" s="63" t="n">
        <v>14101000</v>
      </c>
      <c r="DJ13" s="63" t="n">
        <v>2326600</v>
      </c>
      <c r="DK13" s="169" t="n">
        <v>1</v>
      </c>
      <c r="DL13" s="59" t="inlineStr">
        <is>
          <t>Claw-back triggered: No; No. of Offer Shares reallocated from the International Offering: N/A</t>
        </is>
      </c>
      <c r="DM13" s="144" t="n">
        <v>3528000000</v>
      </c>
      <c r="DN13" s="142" t="n">
        <v>0.3395</v>
      </c>
      <c r="DO13" s="51" t="n">
        <v>215511200</v>
      </c>
      <c r="DP13" s="142" t="n">
        <v>0.0422</v>
      </c>
      <c r="DQ13" s="59" t="inlineStr">
        <is>
          <t>Total issued share capital of the Company upon Listing (215,511,200 Shares; taking into account the full exercise of the Offer Size Adjustment Option and before any exercise of the Over-allotment Option); H Shares; the Offer Shares allocated to Cornerstone Investors are subject to a six-month lock-up and do not count towards free float.</t>
        </is>
      </c>
      <c r="DR13" s="63" t="n">
        <v>215511200</v>
      </c>
      <c r="DS13" s="142" t="n">
        <v>0.04299857</v>
      </c>
      <c r="DT13" s="80" t="n">
        <v>51</v>
      </c>
      <c r="DU13" s="142" t="n">
        <v>0.0277673</v>
      </c>
      <c r="DV13" s="144" t="n">
        <v>54049000000</v>
      </c>
      <c r="DW13" s="145" t="n">
        <v>400</v>
      </c>
      <c r="DX13" s="169" t="n">
        <v>0.690617</v>
      </c>
      <c r="DY13" s="172" t="n">
        <v>2534530080</v>
      </c>
      <c r="DZ13" s="146" t="n">
        <v>445</v>
      </c>
      <c r="EA13" s="146" t="n">
        <v>445</v>
      </c>
      <c r="EB13" s="146" t="n">
        <v>399.2</v>
      </c>
      <c r="EC13" s="63" t="n">
        <v>7881401</v>
      </c>
      <c r="ED13" s="169" t="n">
        <v>0.50811</v>
      </c>
      <c r="EE13" s="64" t="n">
        <v>3312071120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湖南鸣鸣很忙商业连锁股份有限公司</t>
        </is>
      </c>
      <c r="EI13" s="174" t="inlineStr">
        <is>
          <t>Active</t>
        </is>
      </c>
      <c r="EJ13" s="175" t="n">
        <v>424.2</v>
      </c>
      <c r="EK13" s="176" t="n">
        <v>0.0605</v>
      </c>
      <c r="EL13" s="176" t="n">
        <v>0.792899</v>
      </c>
      <c r="EM13" s="176" t="n">
        <v>-0.042993</v>
      </c>
      <c r="EN13" s="176" t="n">
        <v>-0.129203</v>
      </c>
      <c r="EO13" s="179" t="n">
        <v>1.1081</v>
      </c>
      <c r="EP13" s="179" t="n">
        <v>1.2179</v>
      </c>
      <c r="EQ13" s="178" t="n">
        <v>337110266</v>
      </c>
      <c r="ER13" s="175" t="n">
        <v>382.4</v>
      </c>
      <c r="ES13" s="176" t="n">
        <v>-0.044</v>
      </c>
      <c r="ET13" s="176" t="n">
        <v>0.6162300000000001</v>
      </c>
      <c r="EU13" s="176" t="n">
        <v>-0.090418</v>
      </c>
      <c r="EV13" s="176" t="n">
        <v>-0.198223</v>
      </c>
      <c r="EW13" s="179" t="n">
        <v>1.051</v>
      </c>
      <c r="EX13" s="179" t="n">
        <v>1.1924</v>
      </c>
      <c r="EY13" s="178" t="n">
        <v>150550206</v>
      </c>
      <c r="EZ13" s="176" t="n">
        <v>0.045455</v>
      </c>
      <c r="FA13" s="176" t="n"/>
      <c r="FB13" s="179" t="n"/>
      <c r="FC13" s="176" t="n"/>
      <c r="FD13" s="179" t="n"/>
      <c r="FE13" s="174" t="inlineStr">
        <is>
          <t>Standard</t>
        </is>
      </c>
      <c r="FF13" s="181" t="inlineStr">
        <is>
          <t>China International Capital Corporation / Sponsor-OC</t>
        </is>
      </c>
      <c r="FG13" s="185" t="inlineStr">
        <is>
          <t>2026-02-27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2026-02-10</t>
        </is>
      </c>
      <c r="FL13" s="178" t="n">
        <v>2326600</v>
      </c>
      <c r="FM13" s="176" t="n">
        <v>1</v>
      </c>
      <c r="FN13" s="176" t="n">
        <v>0.013065</v>
      </c>
      <c r="FO13" s="176" t="n">
        <v>-0.097124</v>
      </c>
      <c r="FP13" s="176" t="n">
        <v>0.202802</v>
      </c>
      <c r="FQ13" s="176" t="n">
        <v>0.019</v>
      </c>
      <c r="FR13" s="179" t="n">
        <v>1.0567</v>
      </c>
      <c r="FS13" s="176" t="n">
        <v>0.0605</v>
      </c>
      <c r="FT13" s="179" t="n">
        <v>1.1081</v>
      </c>
      <c r="FU13" s="176" t="n">
        <v>0.118</v>
      </c>
      <c r="FV13" s="179" t="n">
        <v>1.2012</v>
      </c>
      <c r="FW13" s="179" t="n">
        <v>1.3381</v>
      </c>
      <c r="FX13" s="178" t="n">
        <v>158372530.32</v>
      </c>
      <c r="FY13" s="186" t="n">
        <v>0.0003356984126984127</v>
      </c>
      <c r="FZ13" s="183" t="n">
        <v>0</v>
      </c>
      <c r="GA13" s="176" t="n">
        <v>0.07351013144110742</v>
      </c>
      <c r="GB13" s="176" t="n">
        <v>0.374141</v>
      </c>
      <c r="GC13" s="185" t="inlineStr">
        <is>
          <t>2026-07-28</t>
        </is>
      </c>
      <c r="GD13" s="185" t="inlineStr">
        <is>
          <t>2027-01-28</t>
        </is>
      </c>
      <c r="GE13" s="176" t="n">
        <v>-0.044116</v>
      </c>
      <c r="GF13" s="176" t="n">
        <v>0.213301</v>
      </c>
      <c r="GG13" s="179" t="n">
        <v>1.272</v>
      </c>
      <c r="GH13" s="181" t="inlineStr">
        <is>
          <t>China International Capital Corporation / Sponsor-OC</t>
        </is>
      </c>
      <c r="GI13" s="183" t="n">
        <v>0</v>
      </c>
      <c r="GJ13" s="183" t="n">
        <v>0</v>
      </c>
      <c r="GK13" s="176" t="n">
        <v>0.0003</v>
      </c>
      <c r="GL13" s="176" t="n">
        <v>0.01</v>
      </c>
      <c r="GM13" s="176" t="n">
        <v>0.0103</v>
      </c>
      <c r="GN13" s="183" t="n">
        <v>8</v>
      </c>
      <c r="GO13" s="183" t="n">
        <v>1</v>
      </c>
      <c r="GP13" s="183" t="n">
        <v>0</v>
      </c>
      <c r="GQ13" s="183" t="n">
        <v>3</v>
      </c>
      <c r="GR13" s="183" t="n">
        <v>1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13</v>
      </c>
      <c r="B14" s="47" t="inlineStr">
        <is>
          <t>9980.HK</t>
        </is>
      </c>
      <c r="C14" s="44" t="inlineStr">
        <is>
          <t>Eastroc Beverage (Group) Co., Ltd. - H shares</t>
        </is>
      </c>
      <c r="D14" s="130" t="n">
        <v>46048</v>
      </c>
      <c r="E14" s="48" t="n">
        <v>46056</v>
      </c>
      <c r="F14" s="43" t="inlineStr">
        <is>
          <t>Huatai Financial Holdings (Hong Kong) Limited / Morgan Stanley Asia Limited / UBS Securities Hong Kong Limited</t>
        </is>
      </c>
      <c r="G14" s="43" t="inlineStr">
        <is>
          <t>Deloitte Touche Tohmatsu</t>
        </is>
      </c>
      <c r="H14" s="43" t="inlineStr">
        <is>
          <t>N/A</t>
        </is>
      </c>
      <c r="I14" s="131" t="n">
        <v>1014072000</v>
      </c>
      <c r="J14" s="148" t="n">
        <v>10085341600</v>
      </c>
      <c r="K14" s="133" t="n">
        <v>248</v>
      </c>
      <c r="L14" t="n">
        <v>560902900</v>
      </c>
      <c r="M14" s="67" t="n">
        <v>40889900</v>
      </c>
      <c r="N14" t="n">
        <v>520013000</v>
      </c>
      <c r="O14" t="n">
        <v>520013000</v>
      </c>
      <c r="P14" t="n">
        <v>0</v>
      </c>
      <c r="Q14" t="n">
        <v>40889900</v>
      </c>
      <c r="R14" s="67" t="n">
        <v>36800900</v>
      </c>
      <c r="S14" s="67" t="n">
        <v>4089000</v>
      </c>
      <c r="T14" s="147" t="n">
        <v>248</v>
      </c>
      <c r="U14" s="147" t="inlineStr">
        <is>
          <t>NaN</t>
        </is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14710050000</v>
      </c>
      <c r="AA14" s="137" t="n">
        <v>22676297000</v>
      </c>
      <c r="AB14" s="137" t="n">
        <v>23943346000</v>
      </c>
      <c r="AC14" s="137" t="n">
        <v>6323757000</v>
      </c>
      <c r="AD14" s="137" t="n">
        <v>7691581000</v>
      </c>
      <c r="AE14" s="137" t="n">
        <v>8801215000</v>
      </c>
      <c r="AF14" s="137" t="n">
        <v>8386293000</v>
      </c>
      <c r="AG14" s="137" t="n">
        <v>14984716000</v>
      </c>
      <c r="AH14" s="137" t="n">
        <v>15142131000</v>
      </c>
      <c r="AI14" s="137" t="n">
        <v>11257135000</v>
      </c>
      <c r="AJ14" s="137" t="n">
        <v>15830336000</v>
      </c>
      <c r="AK14" s="137" t="n">
        <v>22450094666.66667</v>
      </c>
      <c r="AL14" s="137" t="n">
        <v>2579270000</v>
      </c>
      <c r="AM14" s="137" t="n">
        <v>4107313000</v>
      </c>
      <c r="AN14" s="137" t="n">
        <v>6370369333.333333</v>
      </c>
      <c r="AO14" s="137" t="n">
        <v>2039772000</v>
      </c>
      <c r="AP14" s="137" t="n">
        <v>3326430000</v>
      </c>
      <c r="AQ14" s="137" t="n">
        <v>5013082666.666667</v>
      </c>
      <c r="AR14" s="142" t="n">
        <v>0.006</v>
      </c>
      <c r="AS14" s="142" t="n">
        <v>0.006</v>
      </c>
      <c r="AT14" s="84" t="n">
        <v>0.15</v>
      </c>
      <c r="AU14" s="51" t="inlineStr">
        <is>
          <t>Largest functional beverage company in China (energy drinks and soft beverages)</t>
        </is>
      </c>
      <c r="AV14" s="51" t="inlineStr">
        <is>
          <t>Main Board (Chapter 19A PRC issuer)</t>
        </is>
      </c>
      <c r="AW14" s="136" t="n">
        <v>45930</v>
      </c>
      <c r="AX14" s="137" t="n">
        <v>3132634000</v>
      </c>
      <c r="AY14" s="117" t="n">
        <v>2212533000</v>
      </c>
      <c r="AZ14" s="117" t="n">
        <v>51705000</v>
      </c>
      <c r="BA14" s="117" t="n">
        <v>0</v>
      </c>
      <c r="BB14" s="138" t="n">
        <v>0.046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NA</t>
        </is>
      </c>
      <c r="BK14" s="163" t="n">
        <v>0</v>
      </c>
      <c r="BL14" s="161" t="n">
        <v>0</v>
      </c>
      <c r="BM14" s="164" t="inlineStr">
        <is>
          <t>None</t>
        </is>
      </c>
      <c r="BN14" s="165" t="n">
        <v>0</v>
      </c>
      <c r="BO14" s="51" t="inlineStr">
        <is>
          <t>自然人（Mr. Lin 林木勤，个人直接及通过受控法团控股）</t>
        </is>
      </c>
      <c r="BP14" s="135" t="n">
        <v>0.465</v>
      </c>
      <c r="BQ14" s="135" t="n">
        <v>0.465</v>
      </c>
      <c r="BR14" s="137" t="n">
        <v>7398504000</v>
      </c>
      <c r="BS14" s="51" t="inlineStr">
        <is>
          <t>已实现规模商业化（产品大规模量产并在中国全国销售）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1</v>
      </c>
      <c r="BX14" s="77" t="n">
        <v>0</v>
      </c>
      <c r="BY14" s="77" t="n">
        <v>0</v>
      </c>
      <c r="BZ14" s="78" t="n">
        <v>0</v>
      </c>
      <c r="CA14" s="60" t="inlineStr">
        <is>
          <t>251030</t>
        </is>
      </c>
      <c r="CB14" s="76" t="inlineStr">
        <is>
          <t>HSICS (Hang Seng Industry Classification System) 2026</t>
        </is>
      </c>
      <c r="CC14" s="140" t="n">
        <v>34515</v>
      </c>
      <c r="CD14" s="171" t="n">
        <v>31.6</v>
      </c>
      <c r="CE14" s="76" t="inlineStr">
        <is>
          <t>PRC</t>
        </is>
      </c>
      <c r="CF14" s="89" t="inlineStr">
        <is>
          <t>Shenzhen, Guangdong Province, PRC（香港主要营业地点：Hong Kong）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16837571000</v>
      </c>
      <c r="CO14" s="64" t="n">
        <v>4777777000</v>
      </c>
      <c r="CP14" s="64" t="n">
        <v>3759812000</v>
      </c>
      <c r="CQ14" s="141" t="n">
        <v>46048</v>
      </c>
      <c r="CR14" s="141" t="n">
        <v>46051</v>
      </c>
      <c r="CS14" s="63" t="n">
        <v>40889900</v>
      </c>
      <c r="CT14" s="64" t="n">
        <v>7477457000</v>
      </c>
      <c r="CU14" s="64" t="n">
        <v>1696293000</v>
      </c>
      <c r="CV14" s="59" t="inlineStr">
        <is>
          <t>无保留意见 Unqualified opinion</t>
        </is>
      </c>
      <c r="CW14" s="64" t="n">
        <v>146400000</v>
      </c>
      <c r="CX14" s="51" t="inlineStr">
        <is>
          <t>Al-Rayyan Holding LLC; Taibai Investments Pte. Ltd.; True Light Investments H Pte. Ltd.; BlackRock Funds; UBS Asset Management (Singapore) Ltd.; Huang River Investment Limited; HSG Growth VII Holdco, Ltd.; JPMorgan Asset Management (Asia Pacific) Limited; Azure Skylines Limited; Taikang Life Insurance Co., Ltd; Pacific Century Pines Investments 1 Limited; FMR Participating Funds; Velmar Company Limited; Pinpoint Asset Management Limited; Amazing Mountain Limited; Great China Motivation Fund Phase II L.P.</t>
        </is>
      </c>
      <c r="CY14" s="142" t="n">
        <v>0.4921</v>
      </c>
      <c r="CZ14" s="136" t="n">
        <v>46237</v>
      </c>
      <c r="DA14" s="143" t="n">
        <v>57.46</v>
      </c>
      <c r="DB14" s="63" t="n">
        <v>66692</v>
      </c>
      <c r="DC14" s="63" t="n">
        <v>234972700</v>
      </c>
      <c r="DD14" s="59" t="inlineStr">
        <is>
          <t>Subscription level 57.46 times</t>
        </is>
      </c>
      <c r="DE14" s="141" t="n">
        <v>46052</v>
      </c>
      <c r="DF14" s="141" t="n">
        <v>46055</v>
      </c>
      <c r="DG14" s="63" t="n">
        <v>40889900</v>
      </c>
      <c r="DH14" s="63" t="n">
        <v>4089000</v>
      </c>
      <c r="DI14" s="63" t="n">
        <v>36800900</v>
      </c>
      <c r="DJ14" s="63" t="n">
        <v>3865800</v>
      </c>
      <c r="DK14" s="169" t="n">
        <v>0.630278</v>
      </c>
      <c r="DL14" s="59" t="inlineStr">
        <is>
          <t>Reallocation: No. No. of Offer Shares reallocated from the International Offering: 0</t>
        </is>
      </c>
      <c r="DM14" s="144" t="n">
        <v>9994300000</v>
      </c>
      <c r="DN14" s="142" t="n">
        <v>0.07290000000000001</v>
      </c>
      <c r="DO14" s="51" t="n">
        <v>560902900</v>
      </c>
      <c r="DP14" s="142" t="n">
        <v>0.037</v>
      </c>
      <c r="DQ14" s="59" t="inlineStr">
        <is>
          <t>Free float denominator = total issued share capital of the Company upon Listing (560,902,900 Shares); H Shares held by the Cornerstone Investors are excluded from free float because they are subject to a six-month lock-up following the Listing Date.</t>
        </is>
      </c>
      <c r="DR14" s="63" t="n">
        <v>560902900</v>
      </c>
      <c r="DS14" s="142" t="n">
        <v>0.03784293</v>
      </c>
      <c r="DT14" s="80" t="n">
        <v>51</v>
      </c>
      <c r="DU14" s="142" t="n">
        <v>0.0279292</v>
      </c>
      <c r="DV14" s="144" t="n">
        <v>53828000000</v>
      </c>
      <c r="DW14" s="145" t="n">
        <v>188.03</v>
      </c>
      <c r="DX14" s="169" t="n">
        <v>-0.241815</v>
      </c>
      <c r="DY14" s="172" t="n">
        <v>-2452167303</v>
      </c>
      <c r="DZ14" s="146" t="n">
        <v>185.107</v>
      </c>
      <c r="EA14" s="146" t="n">
        <v>188.03</v>
      </c>
      <c r="EB14" s="146" t="n">
        <v>183.261</v>
      </c>
      <c r="EC14" s="63" t="n">
        <v>5536841</v>
      </c>
      <c r="ED14" s="169" t="n">
        <v>0.135409</v>
      </c>
      <c r="EE14" s="64" t="n">
        <v>1377054170</v>
      </c>
      <c r="EF14" s="60" t="inlineStr">
        <is>
          <t>Mechanism B</t>
        </is>
      </c>
      <c r="EG14" s="59" t="inlineStr">
        <is>
          <t>FINI (from 22/11/2023); 2025-08-04 pricing reform (Mechanism A/B; six-month cornerstone lock-up retained); this IPO: Mechanism B</t>
        </is>
      </c>
      <c r="EH14" t="inlineStr">
        <is>
          <t>东鹏饮料（集团）股份有限公司</t>
        </is>
      </c>
      <c r="EI14" s="174" t="inlineStr">
        <is>
          <t>Active</t>
        </is>
      </c>
      <c r="EJ14" s="175" t="n">
        <v>166.338</v>
      </c>
      <c r="EK14" s="176" t="n">
        <v>-0.115365</v>
      </c>
      <c r="EL14" s="176" t="n">
        <v>-0.329282</v>
      </c>
      <c r="EM14" s="176" t="n">
        <v>-0.056398</v>
      </c>
      <c r="EN14" s="176" t="n">
        <v>-0.122718</v>
      </c>
      <c r="EO14" s="179" t="n">
        <v>0.9375</v>
      </c>
      <c r="EP14" s="179" t="n">
        <v>1.0084</v>
      </c>
      <c r="EQ14" s="178" t="n">
        <v>240597753</v>
      </c>
      <c r="ER14" s="175" t="n">
        <v>115.833</v>
      </c>
      <c r="ES14" s="176" t="n">
        <v>-0.383965</v>
      </c>
      <c r="ET14" s="176" t="n">
        <v>-0.532931</v>
      </c>
      <c r="EU14" s="176" t="n">
        <v>-0.030757</v>
      </c>
      <c r="EV14" s="176" t="n">
        <v>-0.108217</v>
      </c>
      <c r="EW14" s="179" t="n">
        <v>0.6356000000000001</v>
      </c>
      <c r="EX14" s="179" t="n">
        <v>0.6908</v>
      </c>
      <c r="EY14" s="178" t="n">
        <v>78562245.5</v>
      </c>
      <c r="EZ14" s="176" t="n">
        <v>0.057051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Morgan Stanley Asia Limited</t>
        </is>
      </c>
      <c r="FG14" s="185" t="inlineStr">
        <is>
          <t>2026-02-28</t>
        </is>
      </c>
      <c r="FH14" s="183" t="n">
        <v>1</v>
      </c>
      <c r="FI14" s="178" t="n">
        <v>6133400</v>
      </c>
      <c r="FJ14" s="176" t="n">
        <v>0.15</v>
      </c>
      <c r="FK14" s="185" t="inlineStr">
        <is>
          <t>2026-02-28</t>
        </is>
      </c>
      <c r="FL14" s="178" t="n">
        <v>3865800</v>
      </c>
      <c r="FM14" s="176" t="n">
        <v>0.6303</v>
      </c>
      <c r="FN14" s="176" t="n">
        <v>-0.163802</v>
      </c>
      <c r="FO14" s="176" t="n">
        <v>-0.082137</v>
      </c>
      <c r="FP14" s="176" t="n">
        <v>0.29576</v>
      </c>
      <c r="FQ14" s="176" t="n">
        <v>0.025368</v>
      </c>
      <c r="FR14" s="179" t="n">
        <v>1.0181</v>
      </c>
      <c r="FS14" s="176" t="n">
        <v>-0.115365</v>
      </c>
      <c r="FT14" s="179" t="n">
        <v>0.9375</v>
      </c>
      <c r="FU14" s="176" t="n">
        <v>-0.127623</v>
      </c>
      <c r="FV14" s="179" t="n">
        <v>0.8865</v>
      </c>
      <c r="FW14" s="179" t="n">
        <v>0.9340000000000001</v>
      </c>
      <c r="FX14" s="178" t="n">
        <v>116692261.75</v>
      </c>
      <c r="FY14" s="186" t="n">
        <v>0.0004853015873015873</v>
      </c>
      <c r="FZ14" s="183" t="n">
        <v>0</v>
      </c>
      <c r="GA14" s="176" t="n">
        <v>0.04468863725907167</v>
      </c>
      <c r="GB14" s="176" t="n">
        <v>0.545408</v>
      </c>
      <c r="GC14" s="185" t="inlineStr">
        <is>
          <t>2026-08-03</t>
        </is>
      </c>
      <c r="GD14" s="185" t="inlineStr">
        <is>
          <t>2027-02-03</t>
        </is>
      </c>
      <c r="GE14" s="176" t="n">
        <v>0.114864</v>
      </c>
      <c r="GF14" s="176" t="n">
        <v>-0.08924799999999999</v>
      </c>
      <c r="GG14" s="179" t="n">
        <v>0.9839</v>
      </c>
      <c r="GH14" s="181" t="inlineStr">
        <is>
          <t>Morgan Stanley Asia Limited</t>
        </is>
      </c>
      <c r="GI14" s="183" t="n">
        <v>0</v>
      </c>
      <c r="GJ14" s="183" t="n">
        <v>0</v>
      </c>
      <c r="GK14" s="176" t="n">
        <v>6e-05</v>
      </c>
      <c r="GL14" s="176" t="n">
        <v>0.01</v>
      </c>
      <c r="GM14" s="176" t="n">
        <v>0.01006</v>
      </c>
      <c r="GN14" s="183" t="n">
        <v>18</v>
      </c>
      <c r="GO14" s="183" t="n">
        <v>1</v>
      </c>
      <c r="GP14" s="183" t="n">
        <v>0</v>
      </c>
      <c r="GQ14" s="183" t="n">
        <v>0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14</v>
      </c>
      <c r="B15" s="47" t="inlineStr">
        <is>
          <t>2768.HK</t>
        </is>
      </c>
      <c r="C15" s="44" t="inlineStr">
        <is>
          <t>Qingdao Gon Technology Co., Ltd. - H shares</t>
        </is>
      </c>
      <c r="D15" s="130" t="n">
        <v>46049</v>
      </c>
      <c r="E15" s="48" t="n">
        <v>46057</v>
      </c>
      <c r="F15" s="43" t="inlineStr">
        <is>
          <t>China Merchants Securities (HK) Co., Limited</t>
        </is>
      </c>
      <c r="G15" s="43" t="inlineStr">
        <is>
          <t>SHINEWING (HK) CPA Limited</t>
        </is>
      </c>
      <c r="H15" s="43" t="inlineStr">
        <is>
          <t>N/A</t>
        </is>
      </c>
      <c r="I15" s="131" t="n">
        <v>108000000</v>
      </c>
      <c r="J15" s="148" t="n">
        <v>972000000</v>
      </c>
      <c r="K15" s="133" t="n">
        <v>36</v>
      </c>
      <c r="L15" t="n">
        <v>301250000</v>
      </c>
      <c r="M15" s="67" t="n">
        <v>30000000</v>
      </c>
      <c r="N15" t="n">
        <v>271250000</v>
      </c>
      <c r="O15" t="n">
        <v>271250000</v>
      </c>
      <c r="P15" t="n">
        <v>0</v>
      </c>
      <c r="Q15" t="n">
        <v>30000000</v>
      </c>
      <c r="R15" s="67" t="n">
        <v>27000000</v>
      </c>
      <c r="S15" s="67" t="n">
        <v>3000000</v>
      </c>
      <c r="T15" s="147" t="n">
        <v>42</v>
      </c>
      <c r="U15" s="147" t="n">
        <v>34</v>
      </c>
      <c r="V15" s="169" t="n">
        <v>-0.052632</v>
      </c>
      <c r="W15" s="169" t="n">
        <v>0.210526</v>
      </c>
      <c r="X15" s="170" t="inlineStr">
        <is>
          <t>Within range</t>
        </is>
      </c>
      <c r="Y15" s="26" t="inlineStr">
        <is>
          <t>RMB</t>
        </is>
      </c>
      <c r="Z15" s="137" t="n">
        <v>15053205000</v>
      </c>
      <c r="AA15" s="137" t="n">
        <v>18351448000</v>
      </c>
      <c r="AB15" s="137" t="n">
        <v>19436864000</v>
      </c>
      <c r="AC15" s="137" t="n">
        <v>6379967000</v>
      </c>
      <c r="AD15" s="137" t="n">
        <v>7032329000</v>
      </c>
      <c r="AE15" s="137" t="n">
        <v>7588642000</v>
      </c>
      <c r="AF15" s="137" t="n">
        <v>8673238000</v>
      </c>
      <c r="AG15" s="137" t="n">
        <v>11319119000</v>
      </c>
      <c r="AH15" s="137" t="n">
        <v>11848222000</v>
      </c>
      <c r="AI15" s="137" t="n">
        <v>17438779000</v>
      </c>
      <c r="AJ15" s="137" t="n">
        <v>19187511000</v>
      </c>
      <c r="AK15" s="137" t="n">
        <v>20932638000</v>
      </c>
      <c r="AL15" s="137" t="n">
        <v>577933000</v>
      </c>
      <c r="AM15" s="137" t="n">
        <v>797075000</v>
      </c>
      <c r="AN15" s="137" t="n">
        <v>983862000</v>
      </c>
      <c r="AO15" s="137" t="n">
        <v>539610000</v>
      </c>
      <c r="AP15" s="137" t="n">
        <v>720586000</v>
      </c>
      <c r="AQ15" s="137" t="n">
        <v>865179600</v>
      </c>
      <c r="AR15" s="142" t="n">
        <v>0.035</v>
      </c>
      <c r="AS15" s="142" t="n">
        <v>0.035</v>
      </c>
      <c r="AT15" s="84" t="n">
        <v>0</v>
      </c>
      <c r="AU15" s="51" t="inlineStr">
        <is>
          <t>Supplier of new chemical materials and upstream and downstream products derived from gelatin and collagen</t>
        </is>
      </c>
      <c r="AV15" s="51" t="inlineStr">
        <is>
          <t>Main Board; Chapter 19A PRC issuer with other listed shares (A+H)</t>
        </is>
      </c>
      <c r="AW15" s="136" t="n">
        <v>45961</v>
      </c>
      <c r="AX15" s="137" t="n">
        <v>618394000</v>
      </c>
      <c r="AY15" s="117" t="n">
        <v>2160454000</v>
      </c>
      <c r="AZ15" s="117" t="n">
        <v>548933000</v>
      </c>
      <c r="BA15" s="117" t="n">
        <v>0</v>
      </c>
      <c r="BB15" s="138" t="n">
        <v>0.244</v>
      </c>
      <c r="BC15" s="139" t="n">
        <v>0.8333333333333334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n">
        <v>0</v>
      </c>
      <c r="BL15" s="161" t="n">
        <v>0</v>
      </c>
      <c r="BM15" s="164" t="inlineStr">
        <is>
          <t>None</t>
        </is>
      </c>
      <c r="BN15" s="165" t="n">
        <v>0</v>
      </c>
      <c r="BO15" s="51" t="inlineStr">
        <is>
          <t>自然人（Mr. Wang Aiguo 王愛國 与 Ms. Xu Bo 徐波，夫妻）</t>
        </is>
      </c>
      <c r="BP15" s="135" t="n">
        <v>0.5079</v>
      </c>
      <c r="BQ15" s="135" t="n">
        <v>0.5079</v>
      </c>
      <c r="BR15" s="137" t="n">
        <v>6709152000</v>
      </c>
      <c r="BS15" s="51" t="inlineStr">
        <is>
          <t>已商业化（商业化阶段）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1</v>
      </c>
      <c r="BX15" s="77" t="n">
        <v>0</v>
      </c>
      <c r="BY15" s="77" t="n">
        <v>0</v>
      </c>
      <c r="BZ15" s="78" t="n">
        <v>0</v>
      </c>
      <c r="CA15" s="60" t="inlineStr">
        <is>
          <t>053040</t>
        </is>
      </c>
      <c r="CB15" s="76" t="inlineStr">
        <is>
          <t>HSICS (Hang Seng Industry Classification System) 2026</t>
        </is>
      </c>
      <c r="CC15" s="140" t="n">
        <v>36882</v>
      </c>
      <c r="CD15" s="171" t="n">
        <v>25.12</v>
      </c>
      <c r="CE15" s="76" t="inlineStr">
        <is>
          <t>PRC</t>
        </is>
      </c>
      <c r="CF15" s="89" t="inlineStr">
        <is>
          <t>Qingdao City, Shandong Province, PRC</t>
        </is>
      </c>
      <c r="CG15" s="91" t="n">
        <v>1000</v>
      </c>
      <c r="CH15" s="60" t="inlineStr">
        <is>
          <t>IFRS Accounting Standards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17443865000</v>
      </c>
      <c r="CO15" s="64" t="n">
        <v>819885000</v>
      </c>
      <c r="CP15" s="64" t="n">
        <v>720983000</v>
      </c>
      <c r="CQ15" s="141" t="n">
        <v>46049</v>
      </c>
      <c r="CR15" s="141" t="n">
        <v>46052</v>
      </c>
      <c r="CS15" s="63" t="n">
        <v>30000000</v>
      </c>
      <c r="CT15" s="64" t="n">
        <v>1811021000</v>
      </c>
      <c r="CU15" s="64" t="n">
        <v>608496000</v>
      </c>
      <c r="CV15" s="59" t="inlineStr">
        <is>
          <t>无保留意见 (Unqualified opinion)</t>
        </is>
      </c>
      <c r="CW15" s="64" t="n">
        <v>82300000</v>
      </c>
      <c r="CX15" s="51" t="inlineStr">
        <is>
          <t>Nice First; SLD International; Cheng A International; Shenwan Hongyuan Securities; First Seafront Fund Series SPC; New Harvest; Luminous Horizon; Fullgoal HK</t>
        </is>
      </c>
      <c r="CY15" s="142" t="n">
        <v>0.2956</v>
      </c>
      <c r="CZ15" s="136" t="n">
        <v>46238</v>
      </c>
      <c r="DA15" s="143" t="n">
        <v>2251.85</v>
      </c>
      <c r="DB15" s="63" t="n">
        <v>171047</v>
      </c>
      <c r="DC15" s="63" t="n">
        <v>6755553800</v>
      </c>
      <c r="DD15" s="59" t="inlineStr">
        <is>
          <t>Subscription level 2,251.85 times</t>
        </is>
      </c>
      <c r="DE15" s="141" t="n">
        <v>46055</v>
      </c>
      <c r="DF15" s="141" t="n">
        <v>46056</v>
      </c>
      <c r="DG15" s="63" t="n">
        <v>30000000</v>
      </c>
      <c r="DH15" s="63" t="n">
        <v>3000000</v>
      </c>
      <c r="DI15" s="63" t="n">
        <v>27000000</v>
      </c>
      <c r="DJ15" s="63" t="n">
        <v>0</v>
      </c>
      <c r="DK15" s="169" t="n">
        <v>0</v>
      </c>
      <c r="DL15" s="59" t="inlineStr">
        <is>
          <t>Reallocation: No. No. of Offer Shares reallocated from the International Offering: 0</t>
        </is>
      </c>
      <c r="DM15" s="144" t="n">
        <v>1000400000</v>
      </c>
      <c r="DN15" s="142" t="n">
        <v>0.1017</v>
      </c>
      <c r="DO15" s="51" t="n">
        <v>301250000</v>
      </c>
      <c r="DP15" s="142" t="n">
        <v>0.0701</v>
      </c>
      <c r="DQ15" s="59" t="inlineStr">
        <is>
          <t>Free float denominator = number of issued Shares upon Listing (301,250,000 Shares); H Shares held by the Cornerstone Investors upon Listing (six-month lock-up) are excluded from the free float.</t>
        </is>
      </c>
      <c r="DR15" s="63" t="n">
        <v>301250000</v>
      </c>
      <c r="DS15" s="142" t="n">
        <v>0.03666263</v>
      </c>
      <c r="DT15" s="80" t="n">
        <v>47</v>
      </c>
      <c r="DU15" s="142" t="n">
        <v>0.0278167</v>
      </c>
      <c r="DV15" s="144" t="n">
        <v>53828000000</v>
      </c>
      <c r="DW15" s="145" t="n">
        <v>26.747</v>
      </c>
      <c r="DX15" s="169" t="n">
        <v>-0.257028</v>
      </c>
      <c r="DY15" s="172" t="n">
        <v>-277590000</v>
      </c>
      <c r="DZ15" s="146" t="n">
        <v>30.017</v>
      </c>
      <c r="EA15" s="146" t="n">
        <v>33.936</v>
      </c>
      <c r="EB15" s="146" t="n">
        <v>26.504</v>
      </c>
      <c r="EC15" s="63" t="n">
        <v>25417400</v>
      </c>
      <c r="ED15" s="169" t="n">
        <v>0.847247</v>
      </c>
      <c r="EE15" s="64" t="n">
        <v>1145643930</v>
      </c>
      <c r="EF15" s="60" t="inlineStr">
        <is>
          <t>Mechanism B</t>
        </is>
      </c>
      <c r="EG15" s="59" t="inlineStr">
        <is>
          <t>FINI (from 22/11/2023); 2025-08-04 pricing reform (Mechanism A/B; six-month cornerstone lock-up retained); this IPO: Mechanism B</t>
        </is>
      </c>
      <c r="EH15" t="inlineStr">
        <is>
          <t>青岛国恩科技股份有限公司</t>
        </is>
      </c>
      <c r="EI15" s="174" t="inlineStr">
        <is>
          <t>Active</t>
        </is>
      </c>
      <c r="EJ15" s="175" t="n">
        <v>31.72</v>
      </c>
      <c r="EK15" s="176" t="n">
        <v>0.185927</v>
      </c>
      <c r="EL15" s="176" t="n">
        <v>-0.118889</v>
      </c>
      <c r="EM15" s="176" t="n">
        <v>-0.040601</v>
      </c>
      <c r="EN15" s="176" t="n">
        <v>-0.078067</v>
      </c>
      <c r="EO15" s="179" t="n">
        <v>1.2361</v>
      </c>
      <c r="EP15" s="179" t="n">
        <v>1.2863</v>
      </c>
      <c r="EQ15" s="178" t="n">
        <v>130930319</v>
      </c>
      <c r="ER15" s="175" t="n">
        <v>31.14</v>
      </c>
      <c r="ES15" s="176" t="n">
        <v>0.164243</v>
      </c>
      <c r="ET15" s="176" t="n">
        <v>-0.135</v>
      </c>
      <c r="EU15" s="176" t="n">
        <v>-0.037039</v>
      </c>
      <c r="EV15" s="176" t="n">
        <v>-0.089599</v>
      </c>
      <c r="EW15" s="179" t="n">
        <v>1.209</v>
      </c>
      <c r="EX15" s="179" t="n">
        <v>1.2788</v>
      </c>
      <c r="EY15" s="178" t="n">
        <v>60583491.5</v>
      </c>
      <c r="EZ15" s="176" t="n">
        <v>0.052882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2026-03-06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2026-03-06</t>
        </is>
      </c>
      <c r="FL15" s="178" t="n">
        <v>0</v>
      </c>
      <c r="FM15" s="176" t="n">
        <v>0</v>
      </c>
      <c r="FN15" s="176" t="n">
        <v>-0.08735999999999999</v>
      </c>
      <c r="FO15" s="176" t="n">
        <v>0.040038</v>
      </c>
      <c r="FP15" s="176" t="n">
        <v>0.303403</v>
      </c>
      <c r="FQ15" s="176" t="n">
        <v>0.108124</v>
      </c>
      <c r="FR15" s="179" t="n">
        <v>1.0944</v>
      </c>
      <c r="FS15" s="176" t="n">
        <v>0.185927</v>
      </c>
      <c r="FT15" s="179" t="n">
        <v>1.2361</v>
      </c>
      <c r="FU15" s="176" t="n">
        <v>0.311736</v>
      </c>
      <c r="FV15" s="179" t="n">
        <v>1.3366</v>
      </c>
      <c r="FW15" s="179" t="n">
        <v>1.3883</v>
      </c>
      <c r="FX15" s="178" t="n">
        <v>66984136.03</v>
      </c>
      <c r="FY15" s="186" t="n">
        <v>0.0009622222222222223</v>
      </c>
      <c r="FZ15" s="183" t="n">
        <v>0</v>
      </c>
      <c r="GA15" s="176" t="n">
        <v>0.06165457633864375</v>
      </c>
      <c r="GB15" s="176" t="n">
        <v>0.53828</v>
      </c>
      <c r="GC15" s="185" t="inlineStr">
        <is>
          <t>2026-08-04</t>
        </is>
      </c>
      <c r="GD15" s="185" t="inlineStr">
        <is>
          <t>2027-02-04</t>
        </is>
      </c>
      <c r="GE15" s="176" t="n">
        <v>0.183643</v>
      </c>
      <c r="GF15" s="176" t="n">
        <v>-0.343306</v>
      </c>
      <c r="GG15" s="179" t="n">
        <v>0.8186</v>
      </c>
      <c r="GH15" s="181" t="inlineStr">
        <is>
          <t>China International Capital Corporation / Sponsor-OC</t>
        </is>
      </c>
      <c r="GI15" s="183" t="n">
        <v>0</v>
      </c>
      <c r="GJ15" s="183" t="n">
        <v>0</v>
      </c>
      <c r="GK15" s="176" t="n">
        <v>0.0003500000000000001</v>
      </c>
      <c r="GL15" s="176" t="n">
        <v>0.01</v>
      </c>
      <c r="GM15" s="176" t="n">
        <v>0.01035</v>
      </c>
      <c r="GN15" s="183" t="n">
        <v>8</v>
      </c>
      <c r="GO15" s="183" t="n">
        <v>1</v>
      </c>
      <c r="GP15" s="183" t="n">
        <v>0</v>
      </c>
      <c r="GQ15" s="183" t="n">
        <v>0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15</v>
      </c>
      <c r="B16" s="47" t="inlineStr">
        <is>
          <t>2677.HK</t>
        </is>
      </c>
      <c r="C16" s="44" t="inlineStr">
        <is>
          <t>Distinct Healthcare Holdings Limited</t>
        </is>
      </c>
      <c r="D16" s="130" t="n">
        <v>46051</v>
      </c>
      <c r="E16" s="48" t="n">
        <v>46059</v>
      </c>
      <c r="F16" s="43" t="inlineStr">
        <is>
          <t>Haitong International Capital Limited / SPDB International Capital Limited</t>
        </is>
      </c>
      <c r="G16" s="43" t="inlineStr">
        <is>
          <t>PricewaterhouseCoopers</t>
        </is>
      </c>
      <c r="H16" s="43" t="inlineStr">
        <is>
          <t>N/A</t>
        </is>
      </c>
      <c r="I16" s="131" t="n">
        <v>28452500</v>
      </c>
      <c r="J16" s="148" t="n">
        <v>267818890</v>
      </c>
      <c r="K16" s="133" t="n">
        <v>59.9</v>
      </c>
      <c r="L16" t="n">
        <v>64384350</v>
      </c>
      <c r="M16" s="67" t="n">
        <v>4750000</v>
      </c>
      <c r="N16" t="n">
        <v>59634350</v>
      </c>
      <c r="O16" t="n">
        <v>59634350</v>
      </c>
      <c r="P16" t="n">
        <v>0</v>
      </c>
      <c r="Q16" t="n">
        <v>4750000</v>
      </c>
      <c r="R16" s="67" t="n">
        <v>4275000</v>
      </c>
      <c r="S16" s="67" t="n">
        <v>475000</v>
      </c>
      <c r="T16" s="147" t="n">
        <v>66.59999999999999</v>
      </c>
      <c r="U16" s="147" t="n">
        <v>57.7</v>
      </c>
      <c r="V16" s="169" t="n">
        <v>-0.036203</v>
      </c>
      <c r="W16" s="169" t="n">
        <v>0.143202</v>
      </c>
      <c r="X16" s="170" t="inlineStr">
        <is>
          <t>Within range</t>
        </is>
      </c>
      <c r="Y16" s="26" t="inlineStr">
        <is>
          <t>RMB</t>
        </is>
      </c>
      <c r="Z16" s="137" t="n">
        <v>1118675000</v>
      </c>
      <c r="AA16" s="137" t="n">
        <v>1325323000</v>
      </c>
      <c r="AB16" s="137" t="n">
        <v>1315282000</v>
      </c>
      <c r="AC16" s="137" t="n">
        <v>-1761329000</v>
      </c>
      <c r="AD16" s="137" t="n">
        <v>-1759425000</v>
      </c>
      <c r="AE16" s="137" t="n">
        <v>-1670610000</v>
      </c>
      <c r="AF16" s="137" t="n">
        <v>2880004000</v>
      </c>
      <c r="AG16" s="137" t="n">
        <v>3084748000</v>
      </c>
      <c r="AH16" s="137" t="n">
        <v>2985892000</v>
      </c>
      <c r="AI16" s="137" t="n">
        <v>690435000</v>
      </c>
      <c r="AJ16" s="137" t="n">
        <v>958578000</v>
      </c>
      <c r="AK16" s="137" t="n">
        <v>1043500500</v>
      </c>
      <c r="AL16" s="137" t="n">
        <v>-362194000</v>
      </c>
      <c r="AM16" s="137" t="n">
        <v>79744000</v>
      </c>
      <c r="AN16" s="137" t="n">
        <v>124543500</v>
      </c>
      <c r="AO16" s="137" t="n">
        <v>-353245000</v>
      </c>
      <c r="AP16" s="137" t="n">
        <v>80227000</v>
      </c>
      <c r="AQ16" s="137" t="n">
        <v>124816500</v>
      </c>
      <c r="AR16" s="142" t="n">
        <v>0.03</v>
      </c>
      <c r="AS16" s="142" t="n">
        <v>0.03</v>
      </c>
      <c r="AT16" s="84" t="n">
        <v>0.15</v>
      </c>
      <c r="AU16" s="51" t="inlineStr">
        <is>
          <t>Private healthcare services</t>
        </is>
      </c>
      <c r="AV16" s="51" t="inlineStr">
        <is>
          <t>Main Board Rule 8.05(2) market capitalization/revenue/cash flow test</t>
        </is>
      </c>
      <c r="AW16" s="136" t="n">
        <v>45900</v>
      </c>
      <c r="AX16" s="137" t="n">
        <v>112449000</v>
      </c>
      <c r="AY16" s="117" t="n">
        <v>158498000</v>
      </c>
      <c r="AZ16" s="117" t="inlineStr">
        <is>
          <t>NaN</t>
        </is>
      </c>
      <c r="BA16" s="117" t="n">
        <v>0</v>
      </c>
      <c r="BB16" s="138" t="n">
        <v>0.015</v>
      </c>
      <c r="BC16" s="139" t="n">
        <v>0.6666666666666666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0</v>
      </c>
      <c r="BI16" s="161" t="n">
        <v>1</v>
      </c>
      <c r="BJ16" s="162" t="inlineStr">
        <is>
          <t>Matrix Partners; Waterwood DHC; Tiantu Capital; Tencent</t>
        </is>
      </c>
      <c r="BK16" s="163" t="n">
        <v>0.521</v>
      </c>
      <c r="BL16" s="161" t="n">
        <v>1</v>
      </c>
      <c r="BM16" s="164" t="inlineStr">
        <is>
          <t>Series A</t>
        </is>
      </c>
      <c r="BN16" s="165" t="n">
        <v>11.75</v>
      </c>
      <c r="BO16" s="51" t="inlineStr">
        <is>
          <t>自然人</t>
        </is>
      </c>
      <c r="BP16" s="135" t="n">
        <v>0.2669</v>
      </c>
      <c r="BQ16" s="135" t="n">
        <v>0.3079</v>
      </c>
      <c r="BR16" s="137" t="n">
        <v>330068000</v>
      </c>
      <c r="BS16" s="51" t="inlineStr">
        <is>
          <t>已商业化运营（拥有并运营19家医疗服务机构，含17家诊所及2家医院）</t>
        </is>
      </c>
      <c r="BT16" s="142" t="n">
        <v>0</v>
      </c>
      <c r="BU16" s="60" t="inlineStr">
        <is>
          <t>Main Board</t>
        </is>
      </c>
      <c r="BV16" s="89" t="inlineStr">
        <is>
          <t>Ordinary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282020</t>
        </is>
      </c>
      <c r="CB16" s="76" t="inlineStr">
        <is>
          <t>HSICS (Hang Seng Industry Classification System) 2026</t>
        </is>
      </c>
      <c r="CC16" s="140" t="n">
        <v>41683</v>
      </c>
      <c r="CD16" s="171" t="n">
        <v>11.98</v>
      </c>
      <c r="CE16" s="76" t="inlineStr">
        <is>
          <t>Cayman Islands</t>
        </is>
      </c>
      <c r="CF16" s="89" t="inlineStr">
        <is>
          <t>Shenzhen, PRC</t>
        </is>
      </c>
      <c r="CG16" s="91" t="n">
        <v>1000</v>
      </c>
      <c r="CH16" s="60" t="inlineStr">
        <is>
          <t>IFRS Accounting Standards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695667000</v>
      </c>
      <c r="CO16" s="64" t="n">
        <v>83029000</v>
      </c>
      <c r="CP16" s="64" t="n">
        <v>83211000</v>
      </c>
      <c r="CQ16" s="141" t="n">
        <v>46051</v>
      </c>
      <c r="CR16" s="141" t="n">
        <v>46056</v>
      </c>
      <c r="CS16" s="63" t="n">
        <v>64384350</v>
      </c>
      <c r="CT16" s="64" t="n">
        <v>167271000</v>
      </c>
      <c r="CU16" s="64" t="n">
        <v>61100000</v>
      </c>
      <c r="CV16" s="59" t="inlineStr">
        <is>
          <t>无保留意见</t>
        </is>
      </c>
      <c r="CW16" s="64" t="n">
        <v>70500000</v>
      </c>
      <c r="CX16" s="51" t="inlineStr">
        <is>
          <t>Health Vision; Kingmed Diagnostics; Mininglamp Technology; Galaxy Dynasty</t>
        </is>
      </c>
      <c r="CY16" s="142" t="n">
        <v>0.3159</v>
      </c>
      <c r="CZ16" s="136" t="n">
        <v>46240</v>
      </c>
      <c r="DA16" s="143" t="n">
        <v>2730.73</v>
      </c>
      <c r="DB16" s="63" t="n">
        <v>147844</v>
      </c>
      <c r="DC16" s="63" t="n">
        <v>1297094450</v>
      </c>
      <c r="DD16" s="59" t="inlineStr">
        <is>
          <t>Subscription level 2,730.73 times</t>
        </is>
      </c>
      <c r="DE16" s="141" t="n">
        <v>46057</v>
      </c>
      <c r="DF16" s="141" t="n">
        <v>46058</v>
      </c>
      <c r="DG16" s="63" t="n">
        <v>4750000</v>
      </c>
      <c r="DH16" s="63" t="n">
        <v>475000</v>
      </c>
      <c r="DI16" s="63" t="n">
        <v>4275000</v>
      </c>
      <c r="DJ16" s="63" t="n">
        <v>196100</v>
      </c>
      <c r="DK16" s="169" t="n">
        <v>0.275228</v>
      </c>
      <c r="DL16" s="59" t="inlineStr">
        <is>
          <t>Reallocation: No</t>
        </is>
      </c>
      <c r="DM16" s="144" t="n">
        <v>208860000</v>
      </c>
      <c r="DN16" s="142" t="n">
        <v>0.2998</v>
      </c>
      <c r="DO16" s="51" t="n">
        <v>64384350</v>
      </c>
      <c r="DP16" s="142" t="n">
        <v>0.0505</v>
      </c>
      <c r="DQ16" s="59" t="inlineStr">
        <is>
          <t>As such, Shares held by them upon the Listing shall not be 
counted towards the free float of the Shares of the Company at the time of Listing.</t>
        </is>
      </c>
      <c r="DR16" s="63" t="n">
        <v>64384350</v>
      </c>
      <c r="DS16" s="142" t="n">
        <v>0.07628467999999999</v>
      </c>
      <c r="DT16" s="80" t="n">
        <v>48</v>
      </c>
      <c r="DU16" s="142" t="n">
        <v>0.0266321</v>
      </c>
      <c r="DV16" s="144" t="n">
        <v>53835000000</v>
      </c>
      <c r="DW16" s="145" t="n">
        <v>67.90000000000001</v>
      </c>
      <c r="DX16" s="169" t="n">
        <v>0.133556</v>
      </c>
      <c r="DY16" s="172" t="n">
        <v>38000000</v>
      </c>
      <c r="DZ16" s="146" t="n">
        <v>81</v>
      </c>
      <c r="EA16" s="146" t="n">
        <v>90.84999999999999</v>
      </c>
      <c r="EB16" s="146" t="n">
        <v>65.15000000000001</v>
      </c>
      <c r="EC16" s="63" t="n">
        <v>2417400</v>
      </c>
      <c r="ED16" s="169" t="n">
        <v>0.508926</v>
      </c>
      <c r="EE16" s="64" t="n">
        <v>202700400</v>
      </c>
      <c r="EF16" s="60" t="inlineStr">
        <is>
          <t>Mechanism B</t>
        </is>
      </c>
      <c r="EG16" s="59" t="inlineStr">
        <is>
          <t>FINI (from 22/11/2023); 2025-08-04 pricing reform (Mechanism A/B; six-month cornerstone lock-up retained); this IPO: Mechanism B</t>
        </is>
      </c>
      <c r="EH16" t="inlineStr">
        <is>
          <t>卓正医疗控股有限公司</t>
        </is>
      </c>
      <c r="EI16" s="174" t="inlineStr">
        <is>
          <t>Active</t>
        </is>
      </c>
      <c r="EJ16" s="175" t="n">
        <v>64.65000000000001</v>
      </c>
      <c r="EK16" s="176" t="n">
        <v>-0.047865</v>
      </c>
      <c r="EL16" s="176" t="n">
        <v>0.07929899999999999</v>
      </c>
      <c r="EM16" s="176" t="n">
        <v>-0.022592</v>
      </c>
      <c r="EN16" s="176" t="n">
        <v>-0.053434</v>
      </c>
      <c r="EO16" s="179" t="n">
        <v>0.9741</v>
      </c>
      <c r="EP16" s="179" t="n">
        <v>1.0059</v>
      </c>
      <c r="EQ16" s="178" t="n">
        <v>16980955</v>
      </c>
      <c r="ER16" s="175" t="n">
        <v>21.6</v>
      </c>
      <c r="ES16" s="176" t="n">
        <v>-0.681885</v>
      </c>
      <c r="ET16" s="176" t="n">
        <v>-0.6393990000000001</v>
      </c>
      <c r="EU16" s="176" t="n">
        <v>-0.038768</v>
      </c>
      <c r="EV16" s="176" t="n">
        <v>-0.09827900000000001</v>
      </c>
      <c r="EW16" s="179" t="n">
        <v>0.3309</v>
      </c>
      <c r="EX16" s="179" t="n">
        <v>0.3528</v>
      </c>
      <c r="EY16" s="178" t="n">
        <v>108175</v>
      </c>
      <c r="EZ16" s="176" t="n">
        <v>0.000534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2026-03-05</t>
        </is>
      </c>
      <c r="FH16" s="183" t="n">
        <v>1</v>
      </c>
      <c r="FI16" s="178" t="n">
        <v>712500</v>
      </c>
      <c r="FJ16" s="176" t="n">
        <v>0.15</v>
      </c>
      <c r="FK16" s="185" t="inlineStr">
        <is>
          <t>2026-03-05</t>
        </is>
      </c>
      <c r="FL16" s="178" t="n">
        <v>196100</v>
      </c>
      <c r="FM16" s="176" t="n">
        <v>0.2752</v>
      </c>
      <c r="FN16" s="176" t="n">
        <v>0.115188</v>
      </c>
      <c r="FO16" s="176" t="n">
        <v>-0.418</v>
      </c>
      <c r="FP16" s="176" t="n">
        <v>0.109096</v>
      </c>
      <c r="FQ16" s="176" t="n">
        <v>-0.138439</v>
      </c>
      <c r="FR16" s="179" t="n">
        <v>0.8465</v>
      </c>
      <c r="FS16" s="176" t="n">
        <v>-0.047865</v>
      </c>
      <c r="FT16" s="179" t="n">
        <v>0.9741</v>
      </c>
      <c r="FU16" s="176" t="n">
        <v>-0.583211</v>
      </c>
      <c r="FV16" s="179" t="n">
        <v>0.4195</v>
      </c>
      <c r="FW16" s="179" t="n">
        <v>0.439</v>
      </c>
      <c r="FX16" s="178" t="n">
        <v>6106484.13</v>
      </c>
      <c r="FY16" s="186" t="n">
        <v>0.4430466746031746</v>
      </c>
      <c r="FZ16" s="183" t="n">
        <v>0</v>
      </c>
      <c r="GA16" s="176" t="n">
        <v>0.04851172664599766</v>
      </c>
      <c r="GB16" s="176" t="n">
        <v>0.768409</v>
      </c>
      <c r="GC16" s="185" t="inlineStr">
        <is>
          <t>2026-08-06</t>
        </is>
      </c>
      <c r="GD16" s="185" t="inlineStr">
        <is>
          <t>2027-02-06</t>
        </is>
      </c>
      <c r="GE16" s="176" t="n">
        <v>0.008682</v>
      </c>
      <c r="GF16" s="176" t="n">
        <v>-0.186194</v>
      </c>
      <c r="GG16" s="179" t="n">
        <v>1.1609</v>
      </c>
      <c r="GH16" s="181" t="inlineStr">
        <is>
          <t>China International Capital Corporation / Sponsor-OC</t>
        </is>
      </c>
      <c r="GI16" s="183" t="n">
        <v>0</v>
      </c>
      <c r="GJ16" s="183" t="n">
        <v>0</v>
      </c>
      <c r="GK16" s="176" t="n">
        <v>0.0003</v>
      </c>
      <c r="GL16" s="176" t="n">
        <v>0.01</v>
      </c>
      <c r="GM16" s="176" t="n">
        <v>0.0103</v>
      </c>
      <c r="GN16" s="183" t="n">
        <v>4</v>
      </c>
      <c r="GO16" s="183" t="n">
        <v>0</v>
      </c>
      <c r="GP16" s="183" t="n">
        <v>0</v>
      </c>
      <c r="GQ16" s="183" t="n">
        <v>4</v>
      </c>
      <c r="GR16" s="183" t="n">
        <v>1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16</v>
      </c>
      <c r="B17" s="47" t="inlineStr">
        <is>
          <t>2714.HK</t>
        </is>
      </c>
      <c r="C17" s="44" t="inlineStr">
        <is>
          <t>Muyuan Foods Co., Ltd. - H shares</t>
        </is>
      </c>
      <c r="D17" s="130" t="n">
        <v>46051</v>
      </c>
      <c r="E17" s="48" t="n">
        <v>46059</v>
      </c>
      <c r="F17" s="43" t="inlineStr">
        <is>
          <t>Morgan Stanley Asia Limited / CITIC Securities (Hong Kong) Limited / Goldman Sachs (Asia) L.L.C.</t>
        </is>
      </c>
      <c r="G17" s="43" t="inlineStr">
        <is>
          <t>KPMG Huazhen LLP</t>
        </is>
      </c>
      <c r="H17" s="43" t="inlineStr">
        <is>
          <t>Jones Lang LaSalle Corporate Appraisal and Advisory Limited</t>
        </is>
      </c>
      <c r="I17" s="131" t="n">
        <v>1068412800</v>
      </c>
      <c r="J17" s="148" t="n">
        <v>11030288100</v>
      </c>
      <c r="K17" s="133" t="n">
        <v>39</v>
      </c>
      <c r="L17" t="n">
        <v>5736722666</v>
      </c>
      <c r="M17" s="67" t="n">
        <v>273951400</v>
      </c>
      <c r="N17" t="n">
        <v>5462771266</v>
      </c>
      <c r="O17" t="n">
        <v>5462771266</v>
      </c>
      <c r="P17" t="n">
        <v>0</v>
      </c>
      <c r="Q17" t="n">
        <v>273951400</v>
      </c>
      <c r="R17" s="67" t="n">
        <v>246556200</v>
      </c>
      <c r="S17" s="67" t="n">
        <v>27395200</v>
      </c>
      <c r="T17" s="147" t="n">
        <v>39</v>
      </c>
      <c r="U17" s="147" t="inlineStr">
        <is>
          <t>NaN</t>
        </is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195404600000</v>
      </c>
      <c r="AA17" s="137" t="n">
        <v>187648700000</v>
      </c>
      <c r="AB17" s="137" t="n">
        <v>180755900000</v>
      </c>
      <c r="AC17" s="137" t="n">
        <v>74036700000</v>
      </c>
      <c r="AD17" s="137" t="n">
        <v>77536200000</v>
      </c>
      <c r="AE17" s="137" t="n">
        <v>80439800000</v>
      </c>
      <c r="AF17" s="137" t="n">
        <v>121367900000</v>
      </c>
      <c r="AG17" s="137" t="n">
        <v>110112500000</v>
      </c>
      <c r="AH17" s="137" t="n">
        <v>100316100000</v>
      </c>
      <c r="AI17" s="137" t="n">
        <v>110860700000</v>
      </c>
      <c r="AJ17" s="137" t="n">
        <v>137946900000</v>
      </c>
      <c r="AK17" s="137" t="n">
        <v>149053333333.3333</v>
      </c>
      <c r="AL17" s="137" t="n">
        <v>-4170100000</v>
      </c>
      <c r="AM17" s="137" t="n">
        <v>18896400000</v>
      </c>
      <c r="AN17" s="137" t="n">
        <v>20128533333.33333</v>
      </c>
      <c r="AO17" s="137" t="n">
        <v>-4167900000</v>
      </c>
      <c r="AP17" s="137" t="n">
        <v>18925000000</v>
      </c>
      <c r="AQ17" s="137" t="n">
        <v>20149466666.66667</v>
      </c>
      <c r="AR17" s="142" t="n">
        <v>0.008</v>
      </c>
      <c r="AS17" s="142" t="n">
        <v>0.008</v>
      </c>
      <c r="AT17" s="84" t="n">
        <v>0.15</v>
      </c>
      <c r="AU17" s="51" t="inlineStr">
        <is>
          <t>Technology-driven leading pork company, pioneering smart hog farming; vertically-integrated business model spanning hog breeding, hog farming, feed production, slaughtering and meat production</t>
        </is>
      </c>
      <c r="AV17" s="51" t="inlineStr">
        <is>
          <t>Main Board; Chapter 19A PRC issuer with other listed shares (A+H)</t>
        </is>
      </c>
      <c r="AW17" s="136" t="n">
        <v>45930</v>
      </c>
      <c r="AX17" s="137" t="n">
        <v>28579500000</v>
      </c>
      <c r="AY17" s="117" t="n">
        <v>17268700000</v>
      </c>
      <c r="AZ17" s="117" t="n">
        <v>1263300000</v>
      </c>
      <c r="BA17" s="117" t="n">
        <v>0</v>
      </c>
      <c r="BB17" s="138" t="n">
        <v>0.083</v>
      </c>
      <c r="BC17" s="139" t="n">
        <v>0.75</v>
      </c>
      <c r="BD17" s="80" t="n">
        <v>1</v>
      </c>
      <c r="BE17" s="161" t="n">
        <v>0</v>
      </c>
      <c r="BF17" s="161" t="n">
        <v>1</v>
      </c>
      <c r="BG17" s="161" t="n">
        <v>0</v>
      </c>
      <c r="BH17" s="161" t="n">
        <v>0</v>
      </c>
      <c r="BI17" s="161" t="n">
        <v>0</v>
      </c>
      <c r="BJ17" s="162" t="inlineStr">
        <is>
          <t>Henan Hongbao Group; Beixin Ruifeng Fund</t>
        </is>
      </c>
      <c r="BK17" s="163" t="n">
        <v>0.035</v>
      </c>
      <c r="BL17" s="161" t="n">
        <v>0</v>
      </c>
      <c r="BM17" s="164" t="inlineStr">
        <is>
          <t>Pre-IPO</t>
        </is>
      </c>
      <c r="BN17" s="165" t="n">
        <v>6.42</v>
      </c>
      <c r="BO17" s="51" t="inlineStr">
        <is>
          <t>自然人/家族</t>
        </is>
      </c>
      <c r="BP17" s="135" t="n">
        <v>0.5229</v>
      </c>
      <c r="BQ17" s="135" t="n">
        <v>0.5293</v>
      </c>
      <c r="BR17" s="137" t="n">
        <v>71212600000</v>
      </c>
      <c r="BS17" s="51" t="inlineStr">
        <is>
          <t>规模商业化（已大规模产业化、智能化量产）</t>
        </is>
      </c>
      <c r="BT17" s="142" t="n">
        <v>0</v>
      </c>
      <c r="BU17" s="60" t="inlineStr">
        <is>
          <t>Main Board</t>
        </is>
      </c>
      <c r="BV17" s="89" t="inlineStr">
        <is>
          <t>H Shares</t>
        </is>
      </c>
      <c r="BW17" s="61" t="n">
        <v>1</v>
      </c>
      <c r="BX17" s="77" t="n">
        <v>0</v>
      </c>
      <c r="BY17" s="77" t="n">
        <v>0</v>
      </c>
      <c r="BZ17" s="78" t="n">
        <v>0</v>
      </c>
      <c r="CA17" s="60" t="inlineStr">
        <is>
          <t>252010</t>
        </is>
      </c>
      <c r="CB17" s="76" t="inlineStr">
        <is>
          <t>HSICS (Hang Seng Industry Classification System) 2026</t>
        </is>
      </c>
      <c r="CC17" s="140" t="n">
        <v>36720</v>
      </c>
      <c r="CD17" s="171" t="n">
        <v>25.57</v>
      </c>
      <c r="CE17" s="76" t="inlineStr">
        <is>
          <t>PRC</t>
        </is>
      </c>
      <c r="CF17" s="89" t="inlineStr">
        <is>
          <t>Nanyang, Henan Province, PRC</t>
        </is>
      </c>
      <c r="CG17" s="91" t="n">
        <v>1000000</v>
      </c>
      <c r="CH17" s="60" t="inlineStr">
        <is>
          <t>China Accounting Standards for Business Enterprises (CASBE)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111790000000</v>
      </c>
      <c r="CO17" s="64" t="n">
        <v>15096400000</v>
      </c>
      <c r="CP17" s="64" t="n">
        <v>15112100000</v>
      </c>
      <c r="CQ17" s="141" t="n">
        <v>46051</v>
      </c>
      <c r="CR17" s="141" t="n">
        <v>46056</v>
      </c>
      <c r="CS17" s="63" t="n">
        <v>273951400</v>
      </c>
      <c r="CT17" s="64" t="n">
        <v>20934500000</v>
      </c>
      <c r="CU17" s="64" t="n">
        <v>7286600000</v>
      </c>
      <c r="CV17" s="59" t="inlineStr">
        <is>
          <t>Unqualified opinion</t>
        </is>
      </c>
      <c r="CW17" s="64" t="n">
        <v>224400000</v>
      </c>
      <c r="CX17" s="51" t="inlineStr">
        <is>
          <t>Charoen Pokphand Foods; Wilmar; Sinochem HK; Hong Kong Henan Agri International; FIL Investment; RBC GAM; Perseverance Asset Management; Shanghai Gaoyi and HTCI (in connection with Gaoyi OTC Swaps); Ping An Life Insurance; Dajia Life; UBS AM Singapore; Midea Development Holding BVI; Millennium; Jane Street</t>
        </is>
      </c>
      <c r="CY17" s="142" t="n">
        <v>0.5</v>
      </c>
      <c r="CZ17" s="136" t="n">
        <v>46240</v>
      </c>
      <c r="DA17" s="143" t="n">
        <v>5.88</v>
      </c>
      <c r="DB17" s="63" t="n">
        <v>21268</v>
      </c>
      <c r="DC17" s="63" t="n">
        <v>161061400</v>
      </c>
      <c r="DD17" s="59" t="inlineStr">
        <is>
          <t>Subscription level 5.88 times</t>
        </is>
      </c>
      <c r="DE17" s="141" t="n">
        <v>46057</v>
      </c>
      <c r="DF17" s="141" t="n">
        <v>46058</v>
      </c>
      <c r="DG17" s="63" t="n">
        <v>273951400</v>
      </c>
      <c r="DH17" s="63" t="n">
        <v>27395200</v>
      </c>
      <c r="DI17" s="63" t="n">
        <v>246556200</v>
      </c>
      <c r="DJ17" s="63" t="n">
        <v>36271700</v>
      </c>
      <c r="DK17" s="169" t="n">
        <v>0.88268</v>
      </c>
      <c r="DL17" s="59" t="inlineStr">
        <is>
          <t>Claw-back triggered: N/A; 0 Offer Shares reallocated from the International Offering; final number of Offer Shares under the Hong Kong Public Offering remains 27,395,200.</t>
        </is>
      </c>
      <c r="DM17" s="144" t="n">
        <v>10470400000</v>
      </c>
      <c r="DN17" s="142" t="n">
        <v>0.0478</v>
      </c>
      <c r="DO17" s="51" t="n">
        <v>5736722666</v>
      </c>
      <c r="DP17" s="142" t="n">
        <v>0.0239</v>
      </c>
      <c r="DQ17" s="59" t="inlineStr">
        <is>
          <t>Free float denominator = number of issued Shares upon Listing (before exercise of the Over-allotment Option) = 5,736,722,666 Shares (including 69,586,523 treasury A Shares; excluding A Shares issuable on conversion of the outstanding Convertible Bonds); H Shares held by the Cornerstone Investors (six-month lock-up) are excluded from free float.</t>
        </is>
      </c>
      <c r="DR17" s="63" t="n">
        <v>5736722666</v>
      </c>
      <c r="DS17" s="142" t="n">
        <v>0.07628467999999999</v>
      </c>
      <c r="DT17" s="80" t="n">
        <v>48</v>
      </c>
      <c r="DU17" s="142" t="n">
        <v>0.0266321</v>
      </c>
      <c r="DV17" s="144" t="n">
        <v>53835000000</v>
      </c>
      <c r="DW17" s="145" t="n">
        <v>40.032</v>
      </c>
      <c r="DX17" s="169" t="n">
        <v>0.026462</v>
      </c>
      <c r="DY17" s="172" t="n">
        <v>282717844.8</v>
      </c>
      <c r="DZ17" s="146" t="n">
        <v>38.512</v>
      </c>
      <c r="EA17" s="146" t="n">
        <v>41.232</v>
      </c>
      <c r="EB17" s="146" t="n">
        <v>38.492</v>
      </c>
      <c r="EC17" s="63" t="n">
        <v>40589241</v>
      </c>
      <c r="ED17" s="169" t="n">
        <v>0.148162</v>
      </c>
      <c r="EE17" s="64" t="n">
        <v>1630588940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牧原食品股份有限公司</t>
        </is>
      </c>
      <c r="EI17" s="174" t="inlineStr">
        <is>
          <t>Active</t>
        </is>
      </c>
      <c r="EJ17" s="175" t="n">
        <v>44.532</v>
      </c>
      <c r="EK17" s="176" t="n">
        <v>0.11241</v>
      </c>
      <c r="EL17" s="176" t="n">
        <v>0.141846</v>
      </c>
      <c r="EM17" s="176" t="n">
        <v>-0.022592</v>
      </c>
      <c r="EN17" s="176" t="n">
        <v>-0.053434</v>
      </c>
      <c r="EO17" s="179" t="n">
        <v>1.1381</v>
      </c>
      <c r="EP17" s="179" t="n">
        <v>1.1752</v>
      </c>
      <c r="EQ17" s="178" t="n">
        <v>237130173</v>
      </c>
      <c r="ER17" s="175" t="n">
        <v>31.52</v>
      </c>
      <c r="ES17" s="176" t="n">
        <v>-0.21263</v>
      </c>
      <c r="ET17" s="176" t="n">
        <v>-0.191795</v>
      </c>
      <c r="EU17" s="176" t="n">
        <v>-0.038768</v>
      </c>
      <c r="EV17" s="176" t="n">
        <v>-0.09827900000000001</v>
      </c>
      <c r="EW17" s="179" t="n">
        <v>0.8191000000000001</v>
      </c>
      <c r="EX17" s="179" t="n">
        <v>0.8732</v>
      </c>
      <c r="EY17" s="178" t="n">
        <v>100268731.5</v>
      </c>
      <c r="EZ17" s="176" t="n">
        <v>0.061492</v>
      </c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Morgan Stanley Asia Limited</t>
        </is>
      </c>
      <c r="FG17" s="185" t="inlineStr">
        <is>
          <t>2026-03-05</t>
        </is>
      </c>
      <c r="FH17" s="183" t="n">
        <v>1</v>
      </c>
      <c r="FI17" s="178" t="n">
        <v>41092700</v>
      </c>
      <c r="FJ17" s="176" t="n">
        <v>0.15</v>
      </c>
      <c r="FK17" s="185" t="inlineStr">
        <is>
          <t>2026-03-05</t>
        </is>
      </c>
      <c r="FL17" s="178" t="n">
        <v>36271700</v>
      </c>
      <c r="FM17" s="176" t="n">
        <v>0.8826999999999999</v>
      </c>
      <c r="FN17" s="176" t="n">
        <v>0.172624</v>
      </c>
      <c r="FO17" s="176" t="n">
        <v>-0.051586</v>
      </c>
      <c r="FP17" s="176" t="n">
        <v>0.850252</v>
      </c>
      <c r="FQ17" s="176" t="n">
        <v>-0.032974</v>
      </c>
      <c r="FR17" s="179" t="n">
        <v>0.9500999999999999</v>
      </c>
      <c r="FS17" s="176" t="n">
        <v>0.11241</v>
      </c>
      <c r="FT17" s="179" t="n">
        <v>1.1381</v>
      </c>
      <c r="FU17" s="176" t="n">
        <v>-0.032974</v>
      </c>
      <c r="FV17" s="179" t="n">
        <v>0.9733000000000001</v>
      </c>
      <c r="FW17" s="179" t="n">
        <v>1.0185</v>
      </c>
      <c r="FX17" s="178" t="n">
        <v>166698631.9</v>
      </c>
      <c r="FY17" s="186" t="n">
        <v>0.0001863888888888889</v>
      </c>
      <c r="FZ17" s="183" t="n">
        <v>0</v>
      </c>
      <c r="GA17" s="176" t="n">
        <v>0.02814092131984513</v>
      </c>
      <c r="GB17" s="176" t="n">
        <v>0.443161</v>
      </c>
      <c r="GC17" s="185" t="inlineStr">
        <is>
          <t>2026-08-06</t>
        </is>
      </c>
      <c r="GD17" s="185" t="inlineStr">
        <is>
          <t>2027-02-06</t>
        </is>
      </c>
      <c r="GE17" s="176" t="n">
        <v>0.051904</v>
      </c>
      <c r="GF17" s="176" t="n">
        <v>0.09658899999999999</v>
      </c>
      <c r="GG17" s="179" t="n">
        <v>1.3222</v>
      </c>
      <c r="GH17" s="181" t="inlineStr">
        <is>
          <t>Morgan Stanley Asia Limited</t>
        </is>
      </c>
      <c r="GI17" s="183" t="n">
        <v>0</v>
      </c>
      <c r="GJ17" s="183" t="n">
        <v>0</v>
      </c>
      <c r="GK17" s="176" t="n">
        <v>8.000000000000001e-05</v>
      </c>
      <c r="GL17" s="176" t="n">
        <v>0.01</v>
      </c>
      <c r="GM17" s="176" t="n">
        <v>0.01008</v>
      </c>
      <c r="GN17" s="183" t="n">
        <v>14</v>
      </c>
      <c r="GO17" s="183" t="n">
        <v>1</v>
      </c>
      <c r="GP17" s="183" t="n">
        <v>0</v>
      </c>
      <c r="GQ17" s="183" t="n">
        <v>2</v>
      </c>
      <c r="GR17" s="183" t="n">
        <v>1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17</v>
      </c>
      <c r="B18" s="47" t="inlineStr">
        <is>
          <t>3200.HK</t>
        </is>
      </c>
      <c r="C18" s="44" t="inlineStr">
        <is>
          <t>Shenzhen Han's CNC Technology Co., Ltd. - H shares</t>
        </is>
      </c>
      <c r="D18" s="130" t="n">
        <v>46051</v>
      </c>
      <c r="E18" s="48" t="n">
        <v>46059</v>
      </c>
      <c r="F18" s="43" t="inlineStr">
        <is>
          <t>China International Capital Corporation Hong Kong Securities Limited</t>
        </is>
      </c>
      <c r="G18" s="43" t="inlineStr">
        <is>
          <t>Ernst &amp; Young</t>
        </is>
      </c>
      <c r="H18" s="43" t="inlineStr">
        <is>
          <t>N/A</t>
        </is>
      </c>
      <c r="I18" s="131" t="n">
        <v>483330160</v>
      </c>
      <c r="J18" s="148" t="n">
        <v>5074937940</v>
      </c>
      <c r="K18" s="133" t="n">
        <v>95.8</v>
      </c>
      <c r="L18" t="n">
        <v>475960952</v>
      </c>
      <c r="M18" s="67" t="n">
        <v>50451800</v>
      </c>
      <c r="N18" t="n">
        <v>425509152</v>
      </c>
      <c r="O18" t="n">
        <v>425509152</v>
      </c>
      <c r="P18" t="n">
        <v>0</v>
      </c>
      <c r="Q18" t="n">
        <v>50451800</v>
      </c>
      <c r="R18" s="67" t="n">
        <v>45406600</v>
      </c>
      <c r="S18" s="67" t="n">
        <v>5045200</v>
      </c>
      <c r="T18" s="147" t="n">
        <v>95.8</v>
      </c>
      <c r="U18" s="147" t="inlineStr">
        <is>
          <t>NaN</t>
        </is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5979127000</v>
      </c>
      <c r="AA18" s="137" t="n">
        <v>7186497000</v>
      </c>
      <c r="AB18" s="137" t="n">
        <v>9568686000</v>
      </c>
      <c r="AC18" s="137" t="n">
        <v>4688545000</v>
      </c>
      <c r="AD18" s="137" t="n">
        <v>5136377000</v>
      </c>
      <c r="AE18" s="137" t="n">
        <v>5684292000</v>
      </c>
      <c r="AF18" s="137" t="n">
        <v>1290582000</v>
      </c>
      <c r="AG18" s="137" t="n">
        <v>2050120000</v>
      </c>
      <c r="AH18" s="137" t="n">
        <v>3884394000</v>
      </c>
      <c r="AI18" s="137" t="n">
        <v>1634311000</v>
      </c>
      <c r="AJ18" s="137" t="n">
        <v>3343091000</v>
      </c>
      <c r="AK18" s="137" t="n">
        <v>5176975200</v>
      </c>
      <c r="AL18" s="137" t="n">
        <v>137426000</v>
      </c>
      <c r="AM18" s="137" t="n">
        <v>329583000</v>
      </c>
      <c r="AN18" s="137" t="n">
        <v>707899200</v>
      </c>
      <c r="AO18" s="137" t="n">
        <v>135668000</v>
      </c>
      <c r="AP18" s="137" t="n">
        <v>299582000</v>
      </c>
      <c r="AQ18" s="137" t="n">
        <v>622702800</v>
      </c>
      <c r="AR18" s="142" t="n">
        <v>0.025</v>
      </c>
      <c r="AS18" s="142" t="n">
        <v>0.025</v>
      </c>
      <c r="AT18" s="84" t="n">
        <v>0.15</v>
      </c>
      <c r="AU18" s="51" t="inlineStr">
        <is>
          <t>Specialized PCB production equipment (R&amp;D, production and sales)</t>
        </is>
      </c>
      <c r="AV18" s="51" t="inlineStr">
        <is>
          <t>Main Board; Chapter 19A PRC issuer with other listed shares (A+H)</t>
        </is>
      </c>
      <c r="AW18" s="136" t="n">
        <v>45961</v>
      </c>
      <c r="AX18" s="137" t="n">
        <v>-754356000</v>
      </c>
      <c r="AY18" s="117" t="n">
        <v>1146344000</v>
      </c>
      <c r="AZ18" s="117" t="n">
        <v>299957000</v>
      </c>
      <c r="BA18" s="117" t="n">
        <v>0</v>
      </c>
      <c r="BB18" s="138" t="n">
        <v>0.325</v>
      </c>
      <c r="BC18" s="139" t="n">
        <v>0.8333333333333334</v>
      </c>
      <c r="BD18" s="80" t="n">
        <v>0</v>
      </c>
      <c r="BE18" s="161" t="n">
        <v>0</v>
      </c>
      <c r="BF18" s="161" t="n">
        <v>0</v>
      </c>
      <c r="BG18" s="161" t="n">
        <v>0</v>
      </c>
      <c r="BH18" s="161" t="n">
        <v>0</v>
      </c>
      <c r="BI18" s="161" t="n">
        <v>0</v>
      </c>
      <c r="BJ18" s="162" t="inlineStr">
        <is>
          <t>NA</t>
        </is>
      </c>
      <c r="BK18" s="163" t="n">
        <v>0</v>
      </c>
      <c r="BL18" s="161" t="n">
        <v>0</v>
      </c>
      <c r="BM18" s="164" t="inlineStr">
        <is>
          <t>None</t>
        </is>
      </c>
      <c r="BN18" s="165" t="n">
        <v>0</v>
      </c>
      <c r="BO18" s="51" t="inlineStr">
        <is>
          <t>自然人（Mr. Gao Yunfeng 高雲峰，ultimate beneficial owner of Dazu Holdings）</t>
        </is>
      </c>
      <c r="BP18" s="135" t="n">
        <v>0.7544999999999999</v>
      </c>
      <c r="BQ18" s="135" t="n">
        <v>0.7145</v>
      </c>
      <c r="BR18" s="137" t="n">
        <v>860116000</v>
      </c>
      <c r="BS18" s="51" t="inlineStr">
        <is>
          <t>规模商业化/已量产（中国最大专用PCB生产设备制造商，2024年市场份额10.1%，钻孔设备市场份额超过30%；部分新代钻孔设备仍处于early stage of commercialization）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1</v>
      </c>
      <c r="BX18" s="77" t="n">
        <v>0</v>
      </c>
      <c r="BY18" s="77" t="n">
        <v>0</v>
      </c>
      <c r="BZ18" s="78" t="n">
        <v>0</v>
      </c>
      <c r="CA18" s="60" t="inlineStr">
        <is>
          <t>101020</t>
        </is>
      </c>
      <c r="CB18" s="76" t="inlineStr">
        <is>
          <t>HSICS (Hang Seng Industry Classification System) 2026</t>
        </is>
      </c>
      <c r="CC18" s="140" t="n">
        <v>37368</v>
      </c>
      <c r="CD18" s="171" t="n">
        <v>23.79</v>
      </c>
      <c r="CE18" s="76" t="inlineStr">
        <is>
          <t>PRC</t>
        </is>
      </c>
      <c r="CF18" s="89" t="inlineStr">
        <is>
          <t>Shenzhen, Guangdong Province, PRC</t>
        </is>
      </c>
      <c r="CG18" s="91" t="n">
        <v>1000</v>
      </c>
      <c r="CH18" s="60" t="inlineStr">
        <is>
          <t>IFRS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4314146000</v>
      </c>
      <c r="CO18" s="64" t="n">
        <v>589916000</v>
      </c>
      <c r="CP18" s="64" t="n">
        <v>518919000</v>
      </c>
      <c r="CQ18" s="141" t="n">
        <v>46051</v>
      </c>
      <c r="CR18" s="141" t="n">
        <v>46056</v>
      </c>
      <c r="CS18" s="63" t="n">
        <v>50451800</v>
      </c>
      <c r="CT18" s="64" t="n">
        <v>1342856000</v>
      </c>
      <c r="CU18" s="64" t="n">
        <v>114200000</v>
      </c>
      <c r="CV18" s="59" t="inlineStr">
        <is>
          <t>无保留意见（Unqualified/true and fair view）</t>
        </is>
      </c>
      <c r="CW18" s="64" t="n">
        <v>202600000</v>
      </c>
      <c r="CX18" s="51" t="inlineStr">
        <is>
          <t>Hongxing International; GIC Private Limited; Schroders; HHLRA; MSIP; Fullgoal (Fullgoal HK, Fullgoal Fund); Tibet Longrising and CICC Financial Trading Limited (in connection with Tibet Longrising OTC Swaps); ICBC Wealth; Wind Sabre; OmniVision HK</t>
        </is>
      </c>
      <c r="CY18" s="142" t="n">
        <v>0.4999</v>
      </c>
      <c r="CZ18" s="136" t="n">
        <v>46240</v>
      </c>
      <c r="DA18" s="143" t="n">
        <v>446.39</v>
      </c>
      <c r="DB18" s="63" t="n">
        <v>159985</v>
      </c>
      <c r="DC18" s="63" t="n">
        <v>2252124400</v>
      </c>
      <c r="DD18" s="59" t="inlineStr">
        <is>
          <t>Subscription level 446.39 times</t>
        </is>
      </c>
      <c r="DE18" s="141" t="n">
        <v>46057</v>
      </c>
      <c r="DF18" s="141" t="n">
        <v>46058</v>
      </c>
      <c r="DG18" s="63" t="n">
        <v>50451800</v>
      </c>
      <c r="DH18" s="63" t="n">
        <v>5045200</v>
      </c>
      <c r="DI18" s="63" t="n">
        <v>45406600</v>
      </c>
      <c r="DJ18" s="63" t="n">
        <v>7567700</v>
      </c>
      <c r="DK18" s="169" t="n">
        <v>1</v>
      </c>
      <c r="DL18" s="59" t="inlineStr">
        <is>
          <t>Claw-back triggered: N/A. Final no. of Offer Shares under the Hong Kong Public Offering (5,045,200) equals the initial number; no Offer Shares reallocated from the International Offering.</t>
        </is>
      </c>
      <c r="DM18" s="144" t="n">
        <v>4630700000</v>
      </c>
      <c r="DN18" s="142" t="n">
        <v>0.106</v>
      </c>
      <c r="DO18" s="51" t="n">
        <v>475960952</v>
      </c>
      <c r="DP18" s="142" t="n">
        <v>0.053</v>
      </c>
      <c r="DQ18" s="59" t="inlineStr">
        <is>
          <t>Free float upon Listing = H Shares held by the public other than the H Shares held by the Cornerstone Investors (six-month lock-up, excluded from free float); denominator = total issued share capital of the Company upon Listing, being 475,960,952 Shares (before exercise of the Over-allotment Option).</t>
        </is>
      </c>
      <c r="DR18" s="63" t="n">
        <v>475960952</v>
      </c>
      <c r="DS18" s="142" t="n">
        <v>0.07628467999999999</v>
      </c>
      <c r="DT18" s="80" t="n">
        <v>48</v>
      </c>
      <c r="DU18" s="142" t="n">
        <v>0.0266321</v>
      </c>
      <c r="DV18" s="144" t="n">
        <v>53835000000</v>
      </c>
      <c r="DW18" s="145" t="n">
        <v>109.314</v>
      </c>
      <c r="DX18" s="169" t="n">
        <v>0.141065</v>
      </c>
      <c r="DY18" s="172" t="n">
        <v>681805625.2</v>
      </c>
      <c r="DZ18" s="146" t="n">
        <v>105.314</v>
      </c>
      <c r="EA18" s="146" t="n">
        <v>115.314</v>
      </c>
      <c r="EB18" s="146" t="n">
        <v>104.414</v>
      </c>
      <c r="EC18" s="63" t="n">
        <v>13100659</v>
      </c>
      <c r="ED18" s="169" t="n">
        <v>0.259667</v>
      </c>
      <c r="EE18" s="64" t="n">
        <v>1458683390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深圳市大族数控科技股份有限公司</t>
        </is>
      </c>
      <c r="EI18" s="174" t="inlineStr">
        <is>
          <t>Active</t>
        </is>
      </c>
      <c r="EJ18" s="175" t="n">
        <v>117.914</v>
      </c>
      <c r="EK18" s="176" t="n">
        <v>0.07867200000000001</v>
      </c>
      <c r="EL18" s="176" t="n">
        <v>0.230835</v>
      </c>
      <c r="EM18" s="176" t="n">
        <v>-0.022592</v>
      </c>
      <c r="EN18" s="176" t="n">
        <v>-0.053434</v>
      </c>
      <c r="EO18" s="179" t="n">
        <v>1.1036</v>
      </c>
      <c r="EP18" s="179" t="n">
        <v>1.1396</v>
      </c>
      <c r="EQ18" s="178" t="n">
        <v>220520431.5</v>
      </c>
      <c r="ER18" s="175" t="n">
        <v>102.5</v>
      </c>
      <c r="ES18" s="176" t="n">
        <v>-0.062334</v>
      </c>
      <c r="ET18" s="176" t="n">
        <v>0.069937</v>
      </c>
      <c r="EU18" s="176" t="n">
        <v>-0.038768</v>
      </c>
      <c r="EV18" s="176" t="n">
        <v>-0.09827900000000001</v>
      </c>
      <c r="EW18" s="179" t="n">
        <v>0.9755</v>
      </c>
      <c r="EX18" s="179" t="n">
        <v>1.0399</v>
      </c>
      <c r="EY18" s="178" t="n">
        <v>227422247</v>
      </c>
      <c r="EZ18" s="176" t="n">
        <v>0.155909</v>
      </c>
      <c r="FA18" s="176" t="n"/>
      <c r="FB18" s="179" t="n"/>
      <c r="FC18" s="176" t="n"/>
      <c r="FD18" s="179" t="n"/>
      <c r="FE18" s="174" t="inlineStr">
        <is>
          <t>Standard</t>
        </is>
      </c>
      <c r="FF18" s="181" t="inlineStr">
        <is>
          <t>China International Capital Corporation Hong Kong 
Securities Limited</t>
        </is>
      </c>
      <c r="FG18" s="185" t="inlineStr">
        <is>
          <t>2026-03-05</t>
        </is>
      </c>
      <c r="FH18" s="183" t="n">
        <v>0</v>
      </c>
      <c r="FI18" s="178" t="n">
        <v>7567700</v>
      </c>
      <c r="FJ18" s="176" t="n">
        <v>0.15</v>
      </c>
      <c r="FK18" s="185" t="inlineStr">
        <is>
          <t>2026-03-05</t>
        </is>
      </c>
      <c r="FL18" s="178" t="n">
        <v>7567700</v>
      </c>
      <c r="FM18" s="176" t="n">
        <v>1</v>
      </c>
      <c r="FN18" s="176" t="n">
        <v>-0.092249</v>
      </c>
      <c r="FO18" s="176" t="n">
        <v>-0.09990300000000001</v>
      </c>
      <c r="FP18" s="176" t="n">
        <v>0.354753</v>
      </c>
      <c r="FQ18" s="176" t="n">
        <v>0.080502</v>
      </c>
      <c r="FR18" s="179" t="n">
        <v>1.0616</v>
      </c>
      <c r="FS18" s="176" t="n">
        <v>0.07867200000000001</v>
      </c>
      <c r="FT18" s="179" t="n">
        <v>1.1036</v>
      </c>
      <c r="FU18" s="176" t="n">
        <v>0.484714</v>
      </c>
      <c r="FV18" s="179" t="n">
        <v>1.4943</v>
      </c>
      <c r="FW18" s="179" t="n">
        <v>1.5637</v>
      </c>
      <c r="FX18" s="178" t="n">
        <v>193103834.44</v>
      </c>
      <c r="FY18" s="186" t="n">
        <v>0.0002621904761904762</v>
      </c>
      <c r="FZ18" s="183" t="n">
        <v>0</v>
      </c>
      <c r="GA18" s="176" t="n">
        <v>0.06186714525890623</v>
      </c>
      <c r="GB18" s="176" t="n">
        <v>0.590622</v>
      </c>
      <c r="GC18" s="185" t="inlineStr">
        <is>
          <t>2026-08-06</t>
        </is>
      </c>
      <c r="GD18" s="185" t="inlineStr">
        <is>
          <t>2027-02-06</t>
        </is>
      </c>
      <c r="GE18" s="176" t="n">
        <v>0.321498</v>
      </c>
      <c r="GF18" s="176" t="n">
        <v>-0.283636</v>
      </c>
      <c r="GG18" s="179" t="n">
        <v>0.9802999999999999</v>
      </c>
      <c r="GH18" s="181" t="inlineStr">
        <is>
          <t>China International Capital Corporation Hong Kong 
Securities Limited</t>
        </is>
      </c>
      <c r="GI18" s="183" t="n">
        <v>0</v>
      </c>
      <c r="GJ18" s="183" t="n">
        <v>0</v>
      </c>
      <c r="GK18" s="176" t="n">
        <v>0.00025</v>
      </c>
      <c r="GL18" s="176" t="n">
        <v>0.01</v>
      </c>
      <c r="GM18" s="176" t="n">
        <v>0.01025</v>
      </c>
      <c r="GN18" s="183" t="n">
        <v>11</v>
      </c>
      <c r="GO18" s="183" t="n">
        <v>1</v>
      </c>
      <c r="GP18" s="183" t="n">
        <v>0</v>
      </c>
      <c r="GQ18" s="183" t="n">
        <v>0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18</v>
      </c>
      <c r="B19" s="47" t="inlineStr">
        <is>
          <t>6809.HK</t>
        </is>
      </c>
      <c r="C19" s="44" t="inlineStr">
        <is>
          <t>Montage Technology Co., Ltd. - H shares</t>
        </is>
      </c>
      <c r="D19" s="130" t="n">
        <v>46052</v>
      </c>
      <c r="E19" s="48" t="n">
        <v>46062</v>
      </c>
      <c r="F19" s="43" t="inlineStr">
        <is>
          <t>China International Capital Corporation Hong Kong Securities Limited / Morgan Stanley Asia Limited / UBS Securities Hong Kong Limited</t>
        </is>
      </c>
      <c r="G19" s="43" t="inlineStr">
        <is>
          <t>Ernst &amp; Young</t>
        </is>
      </c>
      <c r="H19" s="43" t="inlineStr">
        <is>
          <t>Savills Valuation and Professional Services (China) Limited</t>
        </is>
      </c>
      <c r="I19" s="131" t="n">
        <v>704298210</v>
      </c>
      <c r="J19" s="148" t="n">
        <v>7395131205</v>
      </c>
      <c r="K19" s="133" t="n">
        <v>106.89</v>
      </c>
      <c r="L19" t="n">
        <v>1212316521</v>
      </c>
      <c r="M19" s="67" t="n">
        <v>65890000</v>
      </c>
      <c r="N19" t="n">
        <v>1146426521</v>
      </c>
      <c r="O19" t="n">
        <v>1146426521</v>
      </c>
      <c r="P19" t="n">
        <v>0</v>
      </c>
      <c r="Q19" t="n">
        <v>65890000</v>
      </c>
      <c r="R19" s="67" t="n">
        <v>59301000</v>
      </c>
      <c r="S19" s="67" t="n">
        <v>6589000</v>
      </c>
      <c r="T19" s="147" t="n">
        <v>106.89</v>
      </c>
      <c r="U19" s="147" t="inlineStr">
        <is>
          <t>NaN</t>
        </is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10697540000</v>
      </c>
      <c r="AA19" s="137" t="n">
        <v>12218910000</v>
      </c>
      <c r="AB19" s="137" t="n">
        <v>13751629000</v>
      </c>
      <c r="AC19" s="137" t="n">
        <v>10206620000</v>
      </c>
      <c r="AD19" s="137" t="n">
        <v>11396504000</v>
      </c>
      <c r="AE19" s="137" t="n">
        <v>12257090000</v>
      </c>
      <c r="AF19" s="137" t="n">
        <v>490920000</v>
      </c>
      <c r="AG19" s="137" t="n">
        <v>822406000</v>
      </c>
      <c r="AH19" s="137" t="n">
        <v>1494539000</v>
      </c>
      <c r="AI19" s="137" t="n">
        <v>2285738000</v>
      </c>
      <c r="AJ19" s="137" t="n">
        <v>3638911000</v>
      </c>
      <c r="AK19" s="137" t="n">
        <v>5410250666.666667</v>
      </c>
      <c r="AL19" s="137" t="n">
        <v>472219000</v>
      </c>
      <c r="AM19" s="137" t="n">
        <v>1412617000</v>
      </c>
      <c r="AN19" s="137" t="n">
        <v>2257313333.333333</v>
      </c>
      <c r="AO19" s="137" t="n">
        <v>451148000</v>
      </c>
      <c r="AP19" s="137" t="n">
        <v>1340735000</v>
      </c>
      <c r="AQ19" s="137" t="n">
        <v>2101820000</v>
      </c>
      <c r="AR19" s="142" t="n">
        <v>0.0065</v>
      </c>
      <c r="AS19" s="142" t="n">
        <v>0.0065</v>
      </c>
      <c r="AT19" s="84" t="n">
        <v>0.15</v>
      </c>
      <c r="AU19" s="51" t="inlineStr">
        <is>
          <t>Leading global fabless IC design company dedicated to providing innovative, reliable and power-efficient interconnect solutions for cloud computing and AI infrastructure</t>
        </is>
      </c>
      <c r="AV19" s="51" t="inlineStr">
        <is>
          <t>Main Board; Chapter 19A PRC issuer with other listed shares (A+H)</t>
        </is>
      </c>
      <c r="AW19" s="136" t="n">
        <v>45930</v>
      </c>
      <c r="AX19" s="137" t="n">
        <v>1600671000</v>
      </c>
      <c r="AY19" s="117" t="n">
        <v>8771934000</v>
      </c>
      <c r="AZ19" s="117" t="n">
        <v>533161000</v>
      </c>
      <c r="BA19" s="117" t="n">
        <v>0</v>
      </c>
      <c r="BB19" s="138" t="n">
        <v>0.768</v>
      </c>
      <c r="BC19" s="139" t="n">
        <v>0.75</v>
      </c>
      <c r="BD19" s="80" t="n">
        <v>1</v>
      </c>
      <c r="BE19" s="161" t="n">
        <v>0</v>
      </c>
      <c r="BF19" s="161" t="n">
        <v>0</v>
      </c>
      <c r="BG19" s="161" t="n">
        <v>1</v>
      </c>
      <c r="BH19" s="161" t="n">
        <v>0</v>
      </c>
      <c r="BI19" s="161" t="n">
        <v>1</v>
      </c>
      <c r="BJ19" s="162" t="inlineStr">
        <is>
          <t>Intel Capital</t>
        </is>
      </c>
      <c r="BK19" s="163" t="n">
        <v>0.1</v>
      </c>
      <c r="BL19" s="161" t="n">
        <v>0</v>
      </c>
      <c r="BM19" s="164" t="inlineStr">
        <is>
          <t>Strategic Round</t>
        </is>
      </c>
      <c r="BN19" s="165" t="n">
        <v>9.5</v>
      </c>
      <c r="BO19" s="51" t="inlineStr">
        <is>
          <t>无实际控制人</t>
        </is>
      </c>
      <c r="BP19" s="135" t="n">
        <v>0.0684</v>
      </c>
      <c r="BQ19" s="135" t="n">
        <v>0.0684</v>
      </c>
      <c r="BR19" s="137" t="n">
        <v>38202000</v>
      </c>
      <c r="BS19" s="51" t="inlineStr">
        <is>
          <t>已量产（Mass production）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1</v>
      </c>
      <c r="BX19" s="77" t="n">
        <v>0</v>
      </c>
      <c r="BY19" s="77" t="n">
        <v>0</v>
      </c>
      <c r="BZ19" s="78" t="n">
        <v>0</v>
      </c>
      <c r="CA19" s="60" t="inlineStr">
        <is>
          <t>703010</t>
        </is>
      </c>
      <c r="CB19" s="76" t="inlineStr">
        <is>
          <t>HSICS (Hang Seng Industry Classification System) 2026</t>
        </is>
      </c>
      <c r="CC19" s="140" t="n">
        <v>38134</v>
      </c>
      <c r="CD19" s="171" t="n">
        <v>21.71</v>
      </c>
      <c r="CE19" s="76" t="inlineStr">
        <is>
          <t>PRC</t>
        </is>
      </c>
      <c r="CF19" s="89" t="inlineStr">
        <is>
          <t>Shanghai, PRC</t>
        </is>
      </c>
      <c r="CG19" s="91" t="n">
        <v>1000</v>
      </c>
      <c r="CH19" s="60" t="inlineStr">
        <is>
          <t>IFRS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4057688000</v>
      </c>
      <c r="CO19" s="64" t="n">
        <v>1692985000</v>
      </c>
      <c r="CP19" s="64" t="n">
        <v>1576365000</v>
      </c>
      <c r="CQ19" s="141" t="n">
        <v>46052</v>
      </c>
      <c r="CR19" s="141" t="n">
        <v>46057</v>
      </c>
      <c r="CS19" s="63" t="n">
        <v>65890000</v>
      </c>
      <c r="CT19" s="64" t="n">
        <v>2493802000</v>
      </c>
      <c r="CU19" s="64" t="n">
        <v>227860000</v>
      </c>
      <c r="CV19" s="59" t="inlineStr">
        <is>
          <t>无保留意见</t>
        </is>
      </c>
      <c r="CW19" s="64" t="n">
        <v>138400000</v>
      </c>
      <c r="CX19" s="51" t="inlineStr">
        <is>
          <t>JPMIMI; UBS AM; New Alternative; New Golden Future; Alisoft China; Aspex; Janchor Fund; abrdn Asia; Barings; Mirae Asset; AGIC; Hel Ved; Huaqin Telecom; Huadeng Technology; PSBC Wealth; Taikang Life; MY Asian; Qube</t>
        </is>
      </c>
      <c r="CY19" s="142" t="n">
        <v>0.4982</v>
      </c>
      <c r="CZ19" s="136" t="n">
        <v>46243</v>
      </c>
      <c r="DA19" s="143" t="n">
        <v>707.3</v>
      </c>
      <c r="DB19" s="63" t="n">
        <v>260646</v>
      </c>
      <c r="DC19" s="63" t="n">
        <v>4660409500</v>
      </c>
      <c r="DD19" s="59" t="inlineStr">
        <is>
          <t>Subscription level 707.3 times</t>
        </is>
      </c>
      <c r="DE19" s="141" t="n">
        <v>46058</v>
      </c>
      <c r="DF19" s="141" t="n">
        <v>46059</v>
      </c>
      <c r="DG19" s="63" t="n">
        <v>65890000</v>
      </c>
      <c r="DH19" s="63" t="n">
        <v>6589000</v>
      </c>
      <c r="DI19" s="63" t="n">
        <v>59301000</v>
      </c>
      <c r="DJ19" s="63" t="n">
        <v>9883500</v>
      </c>
      <c r="DK19" s="169" t="n">
        <v>1</v>
      </c>
      <c r="DL19" s="59" t="inlineStr">
        <is>
          <t>Claw-back triggered: N/A (no reallocation). No. of Offer Shares reallocated from the International Offering: none; final number of Offer Shares under the Hong Kong Public Offering 6,589,000, unchanged from the 6,589,000 initially available.</t>
        </is>
      </c>
      <c r="DM19" s="144" t="n">
        <v>6904600000</v>
      </c>
      <c r="DN19" s="142" t="n">
        <v>0.0544</v>
      </c>
      <c r="DO19" s="51" t="n">
        <v>1212316521</v>
      </c>
      <c r="DP19" s="142" t="n">
        <v>0.0273</v>
      </c>
      <c r="DQ19" s="59" t="inlineStr">
        <is>
          <t>Free float denominator = total issued Shares upon Listing before exercise of the Over-allotment Option (1,212,316,521 Shares). Free float = the 65,890,000 H Shares under the Global Offering less the 32,828,000 H Shares allocated to the Cornerstone Investors, which are subject to a six-month lock-up ending August 8, 2026 and are therefore excluded.</t>
        </is>
      </c>
      <c r="DR19" s="63" t="n">
        <v>1212316521</v>
      </c>
      <c r="DS19" s="142" t="n">
        <v>0.09120179</v>
      </c>
      <c r="DT19" s="80" t="n">
        <v>48</v>
      </c>
      <c r="DU19" s="142" t="n">
        <v>0.0265</v>
      </c>
      <c r="DV19" s="144" t="n">
        <v>53835000000</v>
      </c>
      <c r="DW19" s="145" t="n">
        <v>174.559</v>
      </c>
      <c r="DX19" s="169" t="n">
        <v>0.6330710000000001</v>
      </c>
      <c r="DY19" s="172" t="n">
        <v>4458710410</v>
      </c>
      <c r="DZ19" s="146" t="n">
        <v>167.559</v>
      </c>
      <c r="EA19" s="146" t="n">
        <v>175.559</v>
      </c>
      <c r="EB19" s="146" t="n">
        <v>155.559</v>
      </c>
      <c r="EC19" s="63" t="n">
        <v>21167253</v>
      </c>
      <c r="ED19" s="169" t="n">
        <v>0.321251</v>
      </c>
      <c r="EE19" s="64" t="n">
        <v>3396100770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澜起科技股份有限公司</t>
        </is>
      </c>
      <c r="EI19" s="174" t="inlineStr">
        <is>
          <t>Active</t>
        </is>
      </c>
      <c r="EJ19" s="175" t="n">
        <v>178.228</v>
      </c>
      <c r="EK19" s="176" t="n">
        <v>0.021019</v>
      </c>
      <c r="EL19" s="176" t="n">
        <v>0.667396</v>
      </c>
      <c r="EM19" s="176" t="n">
        <v>-0.041751</v>
      </c>
      <c r="EN19" s="176" t="n">
        <v>-0.066958</v>
      </c>
      <c r="EO19" s="179" t="n">
        <v>1.0655</v>
      </c>
      <c r="EP19" s="179" t="n">
        <v>1.0943</v>
      </c>
      <c r="EQ19" s="178" t="n">
        <v>597330722.5</v>
      </c>
      <c r="ER19" s="175" t="n">
        <v>257.369</v>
      </c>
      <c r="ES19" s="176" t="n">
        <v>0.474395</v>
      </c>
      <c r="ET19" s="176" t="n">
        <v>1.407793</v>
      </c>
      <c r="EU19" s="176" t="n">
        <v>-0.040318</v>
      </c>
      <c r="EV19" s="176" t="n">
        <v>-0.091948</v>
      </c>
      <c r="EW19" s="179" t="n">
        <v>1.5363</v>
      </c>
      <c r="EX19" s="179" t="n">
        <v>1.6237</v>
      </c>
      <c r="EY19" s="178" t="n">
        <v>1724044708</v>
      </c>
      <c r="EZ19" s="176" t="n">
        <v>0.507654</v>
      </c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2026-03-11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2026-03-11</t>
        </is>
      </c>
      <c r="FL19" s="178" t="n">
        <v>9883500</v>
      </c>
      <c r="FM19" s="176" t="n">
        <v>1</v>
      </c>
      <c r="FN19" s="176" t="n">
        <v>0.164909</v>
      </c>
      <c r="FO19" s="176" t="n">
        <v>0.19108</v>
      </c>
      <c r="FP19" s="176" t="n">
        <v>0.565255</v>
      </c>
      <c r="FQ19" s="176" t="n">
        <v>0.057287</v>
      </c>
      <c r="FR19" s="179" t="n">
        <v>1.0756</v>
      </c>
      <c r="FS19" s="176" t="n">
        <v>0.022342</v>
      </c>
      <c r="FT19" s="179" t="n">
        <v>1.0669</v>
      </c>
      <c r="FU19" s="176" t="n">
        <v>1.567378</v>
      </c>
      <c r="FV19" s="179" t="n">
        <v>2.6726</v>
      </c>
      <c r="FW19" s="179" t="n">
        <v>2.8149</v>
      </c>
      <c r="FX19" s="178" t="n">
        <v>739632078.25</v>
      </c>
      <c r="FY19" s="186" t="n">
        <v>7.450793650793652e-05</v>
      </c>
      <c r="FZ19" s="183" t="n">
        <v>0</v>
      </c>
      <c r="GA19" s="176" t="n">
        <v>0.09103865243409492</v>
      </c>
      <c r="GB19" s="176" t="n">
        <v>0.541432</v>
      </c>
      <c r="GC19" s="185" t="inlineStr">
        <is>
          <t>2026-08-09</t>
        </is>
      </c>
      <c r="GD19" s="185" t="inlineStr">
        <is>
          <t>2027-02-09</t>
        </is>
      </c>
      <c r="GE19" s="176" t="n">
        <v>0.255719</v>
      </c>
      <c r="GF19" s="176" t="n">
        <v>-0.117234</v>
      </c>
      <c r="GG19" s="179" t="n">
        <v>0.6206</v>
      </c>
      <c r="GH19" s="181" t="inlineStr">
        <is>
          <t>China International Capital Corporation / Sponsor-OC</t>
        </is>
      </c>
      <c r="GI19" s="183" t="n">
        <v>0</v>
      </c>
      <c r="GJ19" s="183" t="n">
        <v>0</v>
      </c>
      <c r="GK19" s="176" t="n">
        <v>6.499999999999999e-05</v>
      </c>
      <c r="GL19" s="176" t="n">
        <v>0.01</v>
      </c>
      <c r="GM19" s="176" t="n">
        <v>0.010065</v>
      </c>
      <c r="GN19" s="183" t="n">
        <v>18</v>
      </c>
      <c r="GO19" s="183" t="n">
        <v>1</v>
      </c>
      <c r="GP19" s="183" t="n">
        <v>0</v>
      </c>
      <c r="GQ19" s="183" t="n">
        <v>1</v>
      </c>
      <c r="GR19" s="183" t="n">
        <v>1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19</v>
      </c>
      <c r="B20" s="47" t="inlineStr">
        <is>
          <t>0600.HK</t>
        </is>
      </c>
      <c r="C20" s="44" t="inlineStr">
        <is>
          <t>Axera Semiconductor Co., Ltd. - H shares</t>
        </is>
      </c>
      <c r="D20" s="130" t="n">
        <v>46052</v>
      </c>
      <c r="E20" s="48" t="n">
        <v>46063</v>
      </c>
      <c r="F20" s="43" t="inlineStr">
        <is>
          <t>China International Capital Corporation Hong Kong Securities Limited / Guotai Junan Capital Limited / BOCOM International (Asia) Limited</t>
        </is>
      </c>
      <c r="G20" s="43" t="inlineStr">
        <is>
          <t>KPMG</t>
        </is>
      </c>
      <c r="H20" s="43" t="inlineStr">
        <is>
          <t>N/A</t>
        </is>
      </c>
      <c r="I20" s="131" t="n">
        <v>295863120</v>
      </c>
      <c r="J20" s="148" t="n">
        <v>2695911540</v>
      </c>
      <c r="K20" s="133" t="n">
        <v>28.2</v>
      </c>
      <c r="L20" t="n">
        <v>587760481</v>
      </c>
      <c r="M20" s="67" t="n">
        <v>104915200</v>
      </c>
      <c r="N20" t="n">
        <v>482845281</v>
      </c>
      <c r="O20" t="n">
        <v>482845281</v>
      </c>
      <c r="P20" t="n">
        <v>0</v>
      </c>
      <c r="Q20" t="n">
        <v>104915200</v>
      </c>
      <c r="R20" s="67" t="n">
        <v>94423600</v>
      </c>
      <c r="S20" s="67" t="n">
        <v>10491600</v>
      </c>
      <c r="T20" s="147" t="n">
        <v>28.2</v>
      </c>
      <c r="U20" s="147" t="n">
        <v>28.2</v>
      </c>
      <c r="V20" s="169" t="n">
        <v>0</v>
      </c>
      <c r="W20" s="169" t="n">
        <v>0</v>
      </c>
      <c r="X20" s="170" t="inlineStr">
        <is>
          <t>Fixed price</t>
        </is>
      </c>
      <c r="Y20" s="26" t="inlineStr">
        <is>
          <t>RMB</t>
        </is>
      </c>
      <c r="Z20" s="137" t="n">
        <v>2533166000</v>
      </c>
      <c r="AA20" s="137" t="n">
        <v>3007959000</v>
      </c>
      <c r="AB20" s="137" t="n">
        <v>3028879000</v>
      </c>
      <c r="AC20" s="137" t="n">
        <v>-1531058000</v>
      </c>
      <c r="AD20" s="137" t="n">
        <v>-2375894000</v>
      </c>
      <c r="AE20" s="137" t="n">
        <v>-4517599000</v>
      </c>
      <c r="AF20" s="137" t="n">
        <v>4064224000</v>
      </c>
      <c r="AG20" s="137" t="n">
        <v>5383853000</v>
      </c>
      <c r="AH20" s="137" t="n">
        <v>7546478000</v>
      </c>
      <c r="AI20" s="137" t="n">
        <v>230127000</v>
      </c>
      <c r="AJ20" s="137" t="n">
        <v>472892000</v>
      </c>
      <c r="AK20" s="137" t="n">
        <v>358712000</v>
      </c>
      <c r="AL20" s="137" t="n">
        <v>-743071000</v>
      </c>
      <c r="AM20" s="137" t="n">
        <v>-904197000</v>
      </c>
      <c r="AN20" s="137" t="n">
        <v>-1140933333.333333</v>
      </c>
      <c r="AO20" s="137" t="n">
        <v>-743071000</v>
      </c>
      <c r="AP20" s="137" t="n">
        <v>-904197000</v>
      </c>
      <c r="AQ20" s="137" t="n">
        <v>-1140933333.333333</v>
      </c>
      <c r="AR20" s="142" t="n">
        <v>0.02</v>
      </c>
      <c r="AS20" s="142" t="n">
        <v>0.02</v>
      </c>
      <c r="AT20" s="84" t="n">
        <v>0.15</v>
      </c>
      <c r="AU20" s="51" t="inlineStr">
        <is>
          <t>Provider of artificial intelligence (“AI”) inference systems-on-a-chip (“SoCs”)</t>
        </is>
      </c>
      <c r="AV20" s="51" t="inlineStr">
        <is>
          <t>Main Board under Rule 8.05(3) of the Listing Rules (market capitalization/revenue test)</t>
        </is>
      </c>
      <c r="AW20" s="136" t="n">
        <v>45930</v>
      </c>
      <c r="AX20" s="137" t="n">
        <v>-548875000</v>
      </c>
      <c r="AY20" s="117" t="n">
        <v>340433000</v>
      </c>
      <c r="AZ20" s="117" t="n">
        <v>413854000</v>
      </c>
      <c r="BA20" s="117" t="n">
        <v>0</v>
      </c>
      <c r="BB20" s="138" t="n">
        <v>0.75</v>
      </c>
      <c r="BC20" s="139" t="n">
        <v>0.75</v>
      </c>
      <c r="BD20" s="80" t="n">
        <v>1</v>
      </c>
      <c r="BE20" s="161" t="n">
        <v>1</v>
      </c>
      <c r="BF20" s="161" t="n">
        <v>0</v>
      </c>
      <c r="BG20" s="161" t="n">
        <v>1</v>
      </c>
      <c r="BH20" s="161" t="n">
        <v>0</v>
      </c>
      <c r="BI20" s="161" t="n">
        <v>1</v>
      </c>
      <c r="BJ20" s="162" t="inlineStr">
        <is>
          <t>Qiming Venture Partners; Meituan; Tencent; GGV Capital; Walden International; Boyuan Capital</t>
        </is>
      </c>
      <c r="BK20" s="163" t="n">
        <v>0.5669999999999999</v>
      </c>
      <c r="BL20" s="161" t="n">
        <v>1</v>
      </c>
      <c r="BM20" s="164" t="inlineStr">
        <is>
          <t>Series Angel</t>
        </is>
      </c>
      <c r="BN20" s="165" t="n">
        <v>6.25</v>
      </c>
      <c r="BO20" s="51" t="inlineStr">
        <is>
          <t>自然人</t>
        </is>
      </c>
      <c r="BP20" s="135" t="n">
        <v>0.187</v>
      </c>
      <c r="BQ20" s="135" t="n">
        <v>0.187</v>
      </c>
      <c r="BR20" s="137" t="n">
        <v>704075000</v>
      </c>
      <c r="BS20" s="51" t="inlineStr">
        <is>
          <t>已实现大规模量产（商业化）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703010</t>
        </is>
      </c>
      <c r="CB20" s="76" t="inlineStr">
        <is>
          <t>HSICS (Hang Seng Industry Classification System) 2026</t>
        </is>
      </c>
      <c r="CC20" s="140" t="n">
        <v>43941</v>
      </c>
      <c r="CD20" s="171" t="n">
        <v>5.81</v>
      </c>
      <c r="CE20" s="76" t="inlineStr">
        <is>
          <t>PRC</t>
        </is>
      </c>
      <c r="CF20" s="89" t="inlineStr">
        <is>
          <t>Ningbo, Zhejiang, PRC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269034000</v>
      </c>
      <c r="CO20" s="64" t="n">
        <v>-855700000</v>
      </c>
      <c r="CP20" s="64" t="n">
        <v>-855700000</v>
      </c>
      <c r="CQ20" s="141" t="n">
        <v>46052</v>
      </c>
      <c r="CR20" s="141" t="n">
        <v>46058</v>
      </c>
      <c r="CS20" s="63" t="n">
        <v>587760481</v>
      </c>
      <c r="CT20" s="64" t="n">
        <v>56964000</v>
      </c>
      <c r="CU20" s="64" t="n">
        <v>143700000</v>
      </c>
      <c r="CV20" s="59" t="inlineStr">
        <is>
          <t>无保留意见（Unqualified opinion）</t>
        </is>
      </c>
      <c r="CW20" s="64" t="n">
        <v>168500000</v>
      </c>
      <c r="CX20" s="51" t="inlineStr">
        <is>
          <t>WILL semiconductor Limited; Xin Ma Apparel International Limited; JSC International Investment Fund SPC; NGS Super Pty Limited; Desay SV Automotive Singapore Pte. Ltd.; Factorial Master Fund; Hel Ved Master Fund; Valliance Asset Management Limited; Alphahill Capital Limited; Joyson Electronics Holdings Hong Kong Limited; Jupiter Global Master Fund Ltd.; GRANITE ASIA IX VCC; Longhorn and CICC Financial Trading Limited; NonaVerse (Hong Kong) Limited; Qingdao Guanlan and Guotai Junan Investments (Hong Kong) Limited; Jinyi Capital Multi-Strategy Fund SPC Ltd.</t>
        </is>
      </c>
      <c r="CY20" s="142" t="n">
        <v>0.4876</v>
      </c>
      <c r="CZ20" s="136" t="n">
        <v>46244</v>
      </c>
      <c r="DA20" s="143" t="n">
        <v>104.82</v>
      </c>
      <c r="DB20" s="63" t="n">
        <v>85091</v>
      </c>
      <c r="DC20" s="63" t="n">
        <v>1099698000</v>
      </c>
      <c r="DD20" s="59" t="inlineStr">
        <is>
          <t>Subscription level 104.82 times</t>
        </is>
      </c>
      <c r="DE20" s="141" t="inlineStr">
        <is>
          <t>NA</t>
        </is>
      </c>
      <c r="DF20" s="141" t="n">
        <v>46062</v>
      </c>
      <c r="DG20" s="63" t="n">
        <v>104915200</v>
      </c>
      <c r="DH20" s="63" t="n">
        <v>10491600</v>
      </c>
      <c r="DI20" s="63" t="n">
        <v>94423600</v>
      </c>
      <c r="DJ20" s="63" t="n">
        <v>1176100</v>
      </c>
      <c r="DK20" s="169" t="n">
        <v>0.07473299999999999</v>
      </c>
      <c r="DL20" s="59" t="inlineStr">
        <is>
          <t>No claw-back was triggered and no Offer Shares were reallocated from the International Offering; the final number of Offer Shares under the Hong Kong Public Offering (10,491,600) equals the number initially available.</t>
        </is>
      </c>
      <c r="DM20" s="144" t="n">
        <v>2799000000</v>
      </c>
      <c r="DN20" s="142" t="n">
        <v>0.6032999999999999</v>
      </c>
      <c r="DO20" s="51" t="n">
        <v>587760481</v>
      </c>
      <c r="DP20" s="142" t="n">
        <v>0.0915</v>
      </c>
      <c r="DQ20" s="59" t="inlineStr">
        <is>
          <t>Free float denominator = number of issued Shares upon Listing (before exercise of the Over-allotment Option) = 587,760,481 Shares; the 51,156,300 Offer Shares allocated to Cornerstone Investors (six-month lock-up) are excluded from the free float.</t>
        </is>
      </c>
      <c r="DR20" s="63" t="n">
        <v>587760481</v>
      </c>
      <c r="DS20" s="142" t="n">
        <v>0.09120179</v>
      </c>
      <c r="DT20" s="80" t="n">
        <v>48</v>
      </c>
      <c r="DU20" s="142" t="n">
        <v>0.0265</v>
      </c>
      <c r="DV20" s="144" t="n">
        <v>53835000000</v>
      </c>
      <c r="DW20" s="145" t="n">
        <v>28.2</v>
      </c>
      <c r="DX20" s="169" t="n">
        <v>0</v>
      </c>
      <c r="DY20" s="172" t="n">
        <v>0</v>
      </c>
      <c r="DZ20" s="146" t="n">
        <v>28.2</v>
      </c>
      <c r="EA20" s="146" t="n">
        <v>29.18</v>
      </c>
      <c r="EB20" s="146" t="n">
        <v>28.2</v>
      </c>
      <c r="EC20" s="63" t="n">
        <v>22587400</v>
      </c>
      <c r="ED20" s="169" t="n">
        <v>0.215292</v>
      </c>
      <c r="EE20" s="64" t="n">
        <v>635409810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爱芯元智半导体股份有限公司</t>
        </is>
      </c>
      <c r="EI20" s="174" t="inlineStr">
        <is>
          <t>Active</t>
        </is>
      </c>
      <c r="EJ20" s="175" t="n">
        <v>26</v>
      </c>
      <c r="EK20" s="176" t="n">
        <v>-0.078014</v>
      </c>
      <c r="EL20" s="176" t="n">
        <v>-0.078014</v>
      </c>
      <c r="EM20" s="176" t="n">
        <v>-0.053945</v>
      </c>
      <c r="EN20" s="176" t="n">
        <v>-0.077672</v>
      </c>
      <c r="EO20" s="179" t="n">
        <v>0.9746</v>
      </c>
      <c r="EP20" s="179" t="n">
        <v>0.9996</v>
      </c>
      <c r="EQ20" s="178" t="n">
        <v>135534053</v>
      </c>
      <c r="ER20" s="175" t="n">
        <v>13.65</v>
      </c>
      <c r="ES20" s="176" t="n">
        <v>-0.515957</v>
      </c>
      <c r="ET20" s="176" t="n">
        <v>-0.515957</v>
      </c>
      <c r="EU20" s="176" t="n">
        <v>-0.045825</v>
      </c>
      <c r="EV20" s="176" t="n">
        <v>-0.09751700000000001</v>
      </c>
      <c r="EW20" s="179" t="n">
        <v>0.5073</v>
      </c>
      <c r="EX20" s="179" t="n">
        <v>0.5363</v>
      </c>
      <c r="EY20" s="178" t="n">
        <v>21083958.5</v>
      </c>
      <c r="EZ20" s="176" t="n">
        <v>0.033182</v>
      </c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Hong Kong Securities Limited</t>
        </is>
      </c>
      <c r="FG20" s="185" t="inlineStr">
        <is>
          <t>2026-03-07</t>
        </is>
      </c>
      <c r="FH20" s="183" t="n">
        <v>1</v>
      </c>
      <c r="FI20" s="178" t="n">
        <v>15737200</v>
      </c>
      <c r="FJ20" s="176" t="n">
        <v>0.15</v>
      </c>
      <c r="FK20" s="185" t="inlineStr">
        <is>
          <t>2026-03-07</t>
        </is>
      </c>
      <c r="FL20" s="178" t="n">
        <v>1176100</v>
      </c>
      <c r="FM20" s="176" t="n">
        <v>0.0747</v>
      </c>
      <c r="FN20" s="176" t="n">
        <v>-0.111427</v>
      </c>
      <c r="FO20" s="176" t="n">
        <v>-0.189516</v>
      </c>
      <c r="FP20" s="176" t="n">
        <v>0.104925</v>
      </c>
      <c r="FQ20" s="176" t="n">
        <v>0.002128</v>
      </c>
      <c r="FR20" s="179" t="n">
        <v>1.02</v>
      </c>
      <c r="FS20" s="176" t="n">
        <v>-0.078014</v>
      </c>
      <c r="FT20" s="179" t="n">
        <v>0.9746</v>
      </c>
      <c r="FU20" s="176" t="n">
        <v>-0.251773</v>
      </c>
      <c r="FV20" s="179" t="n">
        <v>0.7922</v>
      </c>
      <c r="FW20" s="179" t="n">
        <v>0.8418</v>
      </c>
      <c r="FX20" s="178" t="n">
        <v>59678276.03</v>
      </c>
      <c r="FY20" s="186" t="n">
        <v>0.002548904761904762</v>
      </c>
      <c r="FZ20" s="183" t="n">
        <v>0</v>
      </c>
      <c r="GA20" s="176" t="n">
        <v>0.06056872373784795</v>
      </c>
      <c r="GB20" s="176" t="n">
        <v>0.733062</v>
      </c>
      <c r="GC20" s="185" t="inlineStr">
        <is>
          <t>2026-08-10</t>
        </is>
      </c>
      <c r="GD20" s="185" t="inlineStr">
        <is>
          <t>2027-02-10</t>
        </is>
      </c>
      <c r="GE20" s="176" t="n">
        <v>0.228263</v>
      </c>
      <c r="GF20" s="176" t="n">
        <v>0.280606</v>
      </c>
      <c r="GG20" s="179" t="n">
        <v>0.8115</v>
      </c>
      <c r="GH20" s="181" t="inlineStr">
        <is>
          <t>China International Capital Corporation Hong Kong Securities Limited</t>
        </is>
      </c>
      <c r="GI20" s="183" t="n">
        <v>0</v>
      </c>
      <c r="GJ20" s="183" t="n">
        <v>0</v>
      </c>
      <c r="GK20" s="176" t="n">
        <v>0.0002</v>
      </c>
      <c r="GL20" s="176" t="n">
        <v>0.01</v>
      </c>
      <c r="GM20" s="176" t="n">
        <v>0.0102</v>
      </c>
      <c r="GN20" s="183" t="n">
        <v>16</v>
      </c>
      <c r="GO20" s="183" t="n">
        <v>1</v>
      </c>
      <c r="GP20" s="183" t="n">
        <v>0</v>
      </c>
      <c r="GQ20" s="183" t="n">
        <v>6</v>
      </c>
      <c r="GR20" s="183" t="n">
        <v>1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20</v>
      </c>
      <c r="B21" s="47" t="inlineStr">
        <is>
          <t>2720.HK</t>
        </is>
      </c>
      <c r="C21" s="44" t="inlineStr">
        <is>
          <t>Ridge Outdoor International Limited</t>
        </is>
      </c>
      <c r="D21" s="130" t="n">
        <v>46052</v>
      </c>
      <c r="E21" s="48" t="n">
        <v>46063</v>
      </c>
      <c r="F21" s="43" t="inlineStr">
        <is>
          <t>China International Capital Corporation Hong Kong Securities Limited</t>
        </is>
      </c>
      <c r="G21" s="43" t="inlineStr">
        <is>
          <t>KPMG</t>
        </is>
      </c>
      <c r="H21" s="43" t="inlineStr">
        <is>
          <t>N/A</t>
        </is>
      </c>
      <c r="I21" s="131" t="n">
        <v>34551125</v>
      </c>
      <c r="J21" s="148" t="n">
        <v>310960125</v>
      </c>
      <c r="K21" s="133" t="n">
        <v>12.25</v>
      </c>
      <c r="L21" t="n">
        <v>128205000</v>
      </c>
      <c r="M21" s="67" t="n">
        <v>28205000</v>
      </c>
      <c r="N21" t="n">
        <v>100000000</v>
      </c>
      <c r="O21" t="n">
        <v>100000000</v>
      </c>
      <c r="P21" t="n">
        <v>0</v>
      </c>
      <c r="Q21" t="n">
        <v>28205000</v>
      </c>
      <c r="R21" s="67" t="n">
        <v>25384500</v>
      </c>
      <c r="S21" s="67" t="n">
        <v>2820500</v>
      </c>
      <c r="T21" s="147" t="n">
        <v>12.25</v>
      </c>
      <c r="U21" s="147" t="n">
        <v>11.25</v>
      </c>
      <c r="V21" s="169" t="n">
        <v>0.042553</v>
      </c>
      <c r="W21" s="169" t="n">
        <v>0.085106</v>
      </c>
      <c r="X21" s="170" t="inlineStr">
        <is>
          <t>At high</t>
        </is>
      </c>
      <c r="Y21" s="26" t="inlineStr">
        <is>
          <t>RMB</t>
        </is>
      </c>
      <c r="Z21" s="137" t="n">
        <v>241657000</v>
      </c>
      <c r="AA21" s="137" t="n">
        <v>340334000</v>
      </c>
      <c r="AB21" s="137" t="n">
        <v>378887000</v>
      </c>
      <c r="AC21" s="137" t="n">
        <v>136986000</v>
      </c>
      <c r="AD21" s="137" t="n">
        <v>-45305000</v>
      </c>
      <c r="AE21" s="137" t="n">
        <v>10650000</v>
      </c>
      <c r="AF21" s="137" t="n">
        <v>104671000</v>
      </c>
      <c r="AG21" s="137" t="n">
        <v>385639000</v>
      </c>
      <c r="AH21" s="137" t="n">
        <v>368237000</v>
      </c>
      <c r="AI21" s="137" t="n">
        <v>463251000</v>
      </c>
      <c r="AJ21" s="137" t="n">
        <v>573463000</v>
      </c>
      <c r="AK21" s="137" t="n">
        <v>690403500</v>
      </c>
      <c r="AL21" s="137" t="n">
        <v>64678000</v>
      </c>
      <c r="AM21" s="137" t="n">
        <v>79005000</v>
      </c>
      <c r="AN21" s="137" t="n">
        <v>111928500</v>
      </c>
      <c r="AO21" s="137" t="n">
        <v>49001000</v>
      </c>
      <c r="AP21" s="137" t="n">
        <v>59405000</v>
      </c>
      <c r="AQ21" s="137" t="n">
        <v>84361500</v>
      </c>
      <c r="AR21" s="142" t="n">
        <v>0.04</v>
      </c>
      <c r="AS21" s="142" t="n">
        <v>0.04</v>
      </c>
      <c r="AT21" s="84" t="n">
        <v>0</v>
      </c>
      <c r="AU21" s="51" t="inlineStr">
        <is>
          <t>Fishing-related equipment OEM/ODM manufacturing</t>
        </is>
      </c>
      <c r="AV21" s="51" t="inlineStr">
        <is>
          <t>Main Board</t>
        </is>
      </c>
      <c r="AW21" s="136" t="n">
        <v>45900</v>
      </c>
      <c r="AX21" s="137" t="n">
        <v>68939000</v>
      </c>
      <c r="AY21" s="117" t="n">
        <v>106353000</v>
      </c>
      <c r="AZ21" s="117" t="n">
        <v>3821000</v>
      </c>
      <c r="BA21" s="117" t="n">
        <v>0</v>
      </c>
      <c r="BB21" s="138" t="n">
        <v>0.549</v>
      </c>
      <c r="BC21" s="139" t="n">
        <v>0.6666666666666666</v>
      </c>
      <c r="BD21" s="80" t="n">
        <v>0</v>
      </c>
      <c r="BE21" s="161" t="n">
        <v>0</v>
      </c>
      <c r="BF21" s="161" t="n">
        <v>0</v>
      </c>
      <c r="BG21" s="161" t="n">
        <v>0</v>
      </c>
      <c r="BH21" s="161" t="n">
        <v>0</v>
      </c>
      <c r="BI21" s="161" t="n">
        <v>0</v>
      </c>
      <c r="BJ21" s="162" t="inlineStr">
        <is>
          <t>NA</t>
        </is>
      </c>
      <c r="BK21" s="163" t="n">
        <v>0</v>
      </c>
      <c r="BL21" s="161" t="n">
        <v>0</v>
      </c>
      <c r="BM21" s="164" t="inlineStr">
        <is>
          <t>None</t>
        </is>
      </c>
      <c r="BN21" s="165" t="n">
        <v>0</v>
      </c>
      <c r="BO21" s="51" t="inlineStr">
        <is>
          <t>自然人</t>
        </is>
      </c>
      <c r="BP21" s="135" t="n">
        <v>0.7392</v>
      </c>
      <c r="BQ21" s="135" t="n">
        <v>0.7392</v>
      </c>
      <c r="BR21" s="137" t="n">
        <v>231662000</v>
      </c>
      <c r="BS21" s="51" t="inlineStr">
        <is>
          <t>规模商业化（已量产）</t>
        </is>
      </c>
      <c r="BT21" s="142" t="n">
        <v>0</v>
      </c>
      <c r="BU21" s="60" t="inlineStr">
        <is>
          <t>Main Board</t>
        </is>
      </c>
      <c r="BV21" s="89" t="inlineStr">
        <is>
          <t>Ordinary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232030</t>
        </is>
      </c>
      <c r="CB21" s="76" t="inlineStr">
        <is>
          <t>HSICS (Hang Seng Industry Classification System) 2026</t>
        </is>
      </c>
      <c r="CC21" s="140" t="n">
        <v>45490</v>
      </c>
      <c r="CD21" s="171" t="n">
        <v>1.57</v>
      </c>
      <c r="CE21" s="76" t="inlineStr">
        <is>
          <t>Cayman Islands</t>
        </is>
      </c>
      <c r="CF21" s="89" t="inlineStr">
        <is>
          <t>Hangzhou, Zhejiang Province, PRC</t>
        </is>
      </c>
      <c r="CG21" s="91" t="n">
        <v>1000</v>
      </c>
      <c r="CH21" s="60" t="inlineStr">
        <is>
          <t>IFRS Accounting Standards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460269000</v>
      </c>
      <c r="CO21" s="64" t="n">
        <v>74619000</v>
      </c>
      <c r="CP21" s="64" t="n">
        <v>56241000</v>
      </c>
      <c r="CQ21" s="141" t="n">
        <v>46053</v>
      </c>
      <c r="CR21" s="141" t="n">
        <v>46058</v>
      </c>
      <c r="CS21" s="63" t="n">
        <v>128205000</v>
      </c>
      <c r="CT21" s="64" t="n">
        <v>127515000</v>
      </c>
      <c r="CU21" s="64" t="n">
        <v>2900000</v>
      </c>
      <c r="CV21" s="59" t="inlineStr">
        <is>
          <t>无保留意见（Unqualified opinion）</t>
        </is>
      </c>
      <c r="CW21" s="64" t="n">
        <v>59600000</v>
      </c>
      <c r="CX21" s="51" t="inlineStr">
        <is>
          <t>Orbit Venture Capital Management Co., Limited; Huangshan Dejun Enterprise Management Co., Ltd.</t>
        </is>
      </c>
      <c r="CY21" s="142" t="n">
        <v>0.3762</v>
      </c>
      <c r="CZ21" s="136" t="n">
        <v>46244</v>
      </c>
      <c r="DA21" s="143" t="n">
        <v>3654.23</v>
      </c>
      <c r="DB21" s="63" t="n">
        <v>111036</v>
      </c>
      <c r="DC21" s="63" t="n">
        <v>10306751000</v>
      </c>
      <c r="DD21" s="59" t="inlineStr">
        <is>
          <t>Subscription level 3,654.23 times</t>
        </is>
      </c>
      <c r="DE21" s="141" t="n">
        <v>46059</v>
      </c>
      <c r="DF21" s="141" t="n">
        <v>46062</v>
      </c>
      <c r="DG21" s="63" t="n">
        <v>28205000</v>
      </c>
      <c r="DH21" s="63" t="n">
        <v>2820500</v>
      </c>
      <c r="DI21" s="63" t="n">
        <v>25384500</v>
      </c>
      <c r="DJ21" s="63" t="n">
        <v>0</v>
      </c>
      <c r="DK21" s="169" t="n">
        <v>0</v>
      </c>
      <c r="DL21" s="59" t="inlineStr">
        <is>
          <t>Reallocation: N/A; no Offer Shares reallocated from the International Offering; final number of Offer Shares under the Hong Kong Public Offering remains 2,820,500 Shares (10% of the Global Offering).</t>
        </is>
      </c>
      <c r="DM21" s="144" t="n">
        <v>285200000</v>
      </c>
      <c r="DN21" s="142" t="n">
        <v>0.2608</v>
      </c>
      <c r="DO21" s="51" t="n">
        <v>128205000</v>
      </c>
      <c r="DP21" s="142" t="n">
        <v>0.1372</v>
      </c>
      <c r="DQ21" s="59" t="inlineStr">
        <is>
          <t>Free float denominator = total issued Shares of the Company upon Listing (128,205,000 Shares, same as col_CZ); Shares held by the Cornerstone Investors upon Listing are excluded from free float.</t>
        </is>
      </c>
      <c r="DR21" s="63" t="n">
        <v>128205000</v>
      </c>
      <c r="DS21" s="142" t="n">
        <v>0.09120179</v>
      </c>
      <c r="DT21" s="80" t="n">
        <v>48</v>
      </c>
      <c r="DU21" s="142" t="n">
        <v>0.0265</v>
      </c>
      <c r="DV21" s="144" t="n">
        <v>53835000000</v>
      </c>
      <c r="DW21" s="145" t="n">
        <v>24.78</v>
      </c>
      <c r="DX21" s="169" t="n">
        <v>1.022857</v>
      </c>
      <c r="DY21" s="172" t="n">
        <v>353408650</v>
      </c>
      <c r="DZ21" s="146" t="n">
        <v>24.02</v>
      </c>
      <c r="EA21" s="146" t="n">
        <v>29.4</v>
      </c>
      <c r="EB21" s="146" t="n">
        <v>21.5</v>
      </c>
      <c r="EC21" s="63" t="n">
        <v>6228020</v>
      </c>
      <c r="ED21" s="169" t="n">
        <v>0.220813</v>
      </c>
      <c r="EE21" s="64" t="n">
        <v>147957400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乐欣户外国际有限公司</t>
        </is>
      </c>
      <c r="EI21" s="174" t="inlineStr">
        <is>
          <t>Active</t>
        </is>
      </c>
      <c r="EJ21" s="175" t="n">
        <v>26.9</v>
      </c>
      <c r="EK21" s="176" t="n">
        <v>0.085553</v>
      </c>
      <c r="EL21" s="176" t="n">
        <v>1.195918</v>
      </c>
      <c r="EM21" s="176" t="n">
        <v>-0.053945</v>
      </c>
      <c r="EN21" s="176" t="n">
        <v>-0.077672</v>
      </c>
      <c r="EO21" s="179" t="n">
        <v>1.1475</v>
      </c>
      <c r="EP21" s="179" t="n">
        <v>1.177</v>
      </c>
      <c r="EQ21" s="178" t="n">
        <v>16447160</v>
      </c>
      <c r="ER21" s="175" t="n">
        <v>24.14</v>
      </c>
      <c r="ES21" s="176" t="n">
        <v>-0.025827</v>
      </c>
      <c r="ET21" s="176" t="n">
        <v>0.970612</v>
      </c>
      <c r="EU21" s="176" t="n">
        <v>-0.045825</v>
      </c>
      <c r="EV21" s="176" t="n">
        <v>-0.09751700000000001</v>
      </c>
      <c r="EW21" s="179" t="n">
        <v>1.021</v>
      </c>
      <c r="EX21" s="179" t="n">
        <v>1.0794</v>
      </c>
      <c r="EY21" s="178" t="n">
        <v>964780</v>
      </c>
      <c r="EZ21" s="176" t="n">
        <v>0.006521</v>
      </c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2026-03-12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2026-02-10</t>
        </is>
      </c>
      <c r="FL21" s="178" t="n">
        <v>0</v>
      </c>
      <c r="FM21" s="176" t="n">
        <v>0</v>
      </c>
      <c r="FN21" s="176" t="n">
        <v>0.132906</v>
      </c>
      <c r="FO21" s="176" t="n">
        <v>-0.022305</v>
      </c>
      <c r="FP21" s="176" t="n">
        <v>0.11067</v>
      </c>
      <c r="FQ21" s="176" t="n">
        <v>0.212268</v>
      </c>
      <c r="FR21" s="179" t="n">
        <v>1.2339</v>
      </c>
      <c r="FS21" s="176" t="n">
        <v>0.085553</v>
      </c>
      <c r="FT21" s="179" t="n">
        <v>1.1475</v>
      </c>
      <c r="FU21" s="176" t="n">
        <v>-0.016949</v>
      </c>
      <c r="FV21" s="179" t="n">
        <v>1.0408</v>
      </c>
      <c r="FW21" s="179" t="n">
        <v>1.106</v>
      </c>
      <c r="FX21" s="178" t="n">
        <v>6210592.06</v>
      </c>
      <c r="FY21" s="186" t="n">
        <v>0.03203722222222222</v>
      </c>
      <c r="FZ21" s="183" t="n">
        <v>0</v>
      </c>
      <c r="GA21" s="176" t="n">
        <v>0.1102164831905049</v>
      </c>
      <c r="GB21" s="176" t="n">
        <v>0.523544</v>
      </c>
      <c r="GC21" s="185" t="inlineStr">
        <is>
          <t>2026-08-10</t>
        </is>
      </c>
      <c r="GD21" s="185" t="inlineStr">
        <is>
          <t>2027-02-10</t>
        </is>
      </c>
      <c r="GE21" s="176" t="n">
        <v>-0.022642</v>
      </c>
      <c r="GF21" s="176" t="n">
        <v>0.291961</v>
      </c>
      <c r="GG21" s="179" t="n">
        <v>1.0536</v>
      </c>
      <c r="GH21" s="181" t="inlineStr">
        <is>
          <t>China International Capital Corporation / Sponsor-OC</t>
        </is>
      </c>
      <c r="GI21" s="183" t="n">
        <v>0</v>
      </c>
      <c r="GJ21" s="183" t="n">
        <v>0</v>
      </c>
      <c r="GK21" s="176" t="n">
        <v>0.0004</v>
      </c>
      <c r="GL21" s="176" t="n">
        <v>0.01</v>
      </c>
      <c r="GM21" s="176" t="n">
        <v>0.0104</v>
      </c>
      <c r="GN21" s="183" t="n">
        <v>4</v>
      </c>
      <c r="GO21" s="183" t="n">
        <v>1</v>
      </c>
      <c r="GP21" s="183" t="n">
        <v>0</v>
      </c>
      <c r="GQ21" s="183" t="n">
        <v>0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21</v>
      </c>
      <c r="B22" s="47" t="inlineStr">
        <is>
          <t>0470.HK</t>
        </is>
      </c>
      <c r="C22" s="44" t="inlineStr">
        <is>
          <t>WUXI LEAD INTELLIGENT EQUIPMENT CO., LTD. - H shares</t>
        </is>
      </c>
      <c r="D22" s="130" t="n">
        <v>46056</v>
      </c>
      <c r="E22" s="48" t="n">
        <v>46064</v>
      </c>
      <c r="F22" s="43" t="inlineStr">
        <is>
          <t>CITIC Securities (Hong Kong) Limited / J.P. Morgan Securities (Far East) Limited</t>
        </is>
      </c>
      <c r="G22" s="43" t="inlineStr">
        <is>
          <t>Deloitte Touche Tohmatsu</t>
        </is>
      </c>
      <c r="H22" s="43" t="inlineStr">
        <is>
          <t>N/A</t>
        </is>
      </c>
      <c r="I22" s="131" t="n">
        <v>428761280</v>
      </c>
      <c r="J22" s="148" t="n">
        <v>4520313440</v>
      </c>
      <c r="K22" s="133" t="n">
        <v>45.8</v>
      </c>
      <c r="L22" t="n">
        <v>1659779034</v>
      </c>
      <c r="M22" s="67" t="n">
        <v>93616000</v>
      </c>
      <c r="N22" t="n">
        <v>1566163034</v>
      </c>
      <c r="O22" t="n">
        <v>1566163034</v>
      </c>
      <c r="P22" t="n">
        <v>0</v>
      </c>
      <c r="Q22" t="n">
        <v>93616000</v>
      </c>
      <c r="R22" s="67" t="n">
        <v>84254400</v>
      </c>
      <c r="S22" s="67" t="n">
        <v>9361600</v>
      </c>
      <c r="T22" s="147" t="n">
        <v>45.8</v>
      </c>
      <c r="U22" s="147" t="inlineStr">
        <is>
          <t>NaN</t>
        </is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35222000000</v>
      </c>
      <c r="AA22" s="137" t="n">
        <v>36094000000</v>
      </c>
      <c r="AB22" s="137" t="n">
        <v>38923000000</v>
      </c>
      <c r="AC22" s="137" t="n">
        <v>11847000000</v>
      </c>
      <c r="AD22" s="137" t="n">
        <v>11579000000</v>
      </c>
      <c r="AE22" s="137" t="n">
        <v>12702000000</v>
      </c>
      <c r="AF22" s="137" t="n">
        <v>23374000000</v>
      </c>
      <c r="AG22" s="137" t="n">
        <v>24515000000</v>
      </c>
      <c r="AH22" s="137" t="n">
        <v>26221000000</v>
      </c>
      <c r="AI22" s="137" t="n">
        <v>16483341000</v>
      </c>
      <c r="AJ22" s="137" t="n">
        <v>11773350000</v>
      </c>
      <c r="AK22" s="137" t="n">
        <v>13850053333.33333</v>
      </c>
      <c r="AL22" s="137" t="n">
        <v>1910699000</v>
      </c>
      <c r="AM22" s="137" t="n">
        <v>112255000</v>
      </c>
      <c r="AN22" s="137" t="n">
        <v>1710404000</v>
      </c>
      <c r="AO22" s="137" t="n">
        <v>1770777000</v>
      </c>
      <c r="AP22" s="137" t="n">
        <v>268031000</v>
      </c>
      <c r="AQ22" s="137" t="n">
        <v>1548393333.333333</v>
      </c>
      <c r="AR22" s="142" t="n">
        <v>0.01</v>
      </c>
      <c r="AS22" s="142" t="n">
        <v>0.01</v>
      </c>
      <c r="AT22" s="84" t="n">
        <v>0.15</v>
      </c>
      <c r="AU22" s="51" t="inlineStr">
        <is>
          <t>New energy intelligent equipment and intelligent manufacturing solutions (lithium-ion battery, PV, 3C, intelligent logistics, hydrogen energy)</t>
        </is>
      </c>
      <c r="AV22" s="51" t="inlineStr">
        <is>
          <t>Main Board; Chapter 19A PRC issuer with other listed shares (A+H)</t>
        </is>
      </c>
      <c r="AW22" s="136" t="n">
        <v>45930</v>
      </c>
      <c r="AX22" s="137" t="n">
        <v>3835248000</v>
      </c>
      <c r="AY22" s="117" t="n">
        <v>4785399000</v>
      </c>
      <c r="AZ22" s="117" t="n">
        <v>1231206000</v>
      </c>
      <c r="BA22" s="117" t="n">
        <v>0</v>
      </c>
      <c r="BB22" s="138" t="n">
        <v>0.524</v>
      </c>
      <c r="BC22" s="139" t="n">
        <v>0.75</v>
      </c>
      <c r="BD22" s="80" t="n">
        <v>0</v>
      </c>
      <c r="BE22" s="161" t="n">
        <v>0</v>
      </c>
      <c r="BF22" s="161" t="n">
        <v>0</v>
      </c>
      <c r="BG22" s="161" t="n">
        <v>0</v>
      </c>
      <c r="BH22" s="161" t="n">
        <v>0</v>
      </c>
      <c r="BI22" s="161" t="n">
        <v>0</v>
      </c>
      <c r="BJ22" s="162" t="inlineStr">
        <is>
          <t>NA</t>
        </is>
      </c>
      <c r="BK22" s="163" t="n">
        <v>0</v>
      </c>
      <c r="BL22" s="161" t="n">
        <v>0</v>
      </c>
      <c r="BM22" s="164" t="inlineStr">
        <is>
          <t>None</t>
        </is>
      </c>
      <c r="BN22" s="165" t="n">
        <v>0</v>
      </c>
      <c r="BO22" s="51" t="inlineStr">
        <is>
          <t>自然人</t>
        </is>
      </c>
      <c r="BP22" s="135" t="n">
        <v>0.3051</v>
      </c>
      <c r="BQ22" s="135" t="n">
        <v>0.3051</v>
      </c>
      <c r="BR22" s="137" t="n">
        <v>3754111000</v>
      </c>
      <c r="BS22" s="51" t="inlineStr">
        <is>
          <t>已量产（规模商业化，mass production）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1</v>
      </c>
      <c r="BX22" s="77" t="n">
        <v>0</v>
      </c>
      <c r="BY22" s="77" t="n">
        <v>0</v>
      </c>
      <c r="BZ22" s="78" t="n">
        <v>0</v>
      </c>
      <c r="CA22" s="60" t="inlineStr">
        <is>
          <t>101020</t>
        </is>
      </c>
      <c r="CB22" s="76" t="inlineStr">
        <is>
          <t>HSICS (Hang Seng Industry Classification System) 2026</t>
        </is>
      </c>
      <c r="CC22" s="140" t="n">
        <v>37376</v>
      </c>
      <c r="CD22" s="171" t="n">
        <v>23.79</v>
      </c>
      <c r="CE22" s="76" t="inlineStr">
        <is>
          <t>PRC</t>
        </is>
      </c>
      <c r="CF22" s="89" t="inlineStr">
        <is>
          <t>Wuxi City, Jiangsu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10387540000</v>
      </c>
      <c r="CO22" s="64" t="n">
        <v>1282803000</v>
      </c>
      <c r="CP22" s="64" t="n">
        <v>1161295000</v>
      </c>
      <c r="CQ22" s="141" t="n">
        <v>46056</v>
      </c>
      <c r="CR22" s="141" t="n">
        <v>46059</v>
      </c>
      <c r="CS22" s="63" t="n">
        <v>93616000</v>
      </c>
      <c r="CT22" s="64" t="n">
        <v>3204568000</v>
      </c>
      <c r="CU22" s="64" t="n">
        <v>374777000</v>
      </c>
      <c r="CV22" s="59" t="inlineStr">
        <is>
          <t>无保留意见（Unqualified opinion）</t>
        </is>
      </c>
      <c r="CW22" s="64" t="n">
        <v>121500000</v>
      </c>
      <c r="CX22" s="51" t="inlineStr">
        <is>
          <t>Oaktree; Pinpoint; AMF; MY Asian; MSIP; Ovata Capital; QRT; Wuxi Jinchou and GTHT (in connection with the Wuxi Jinchou OTC Swaps); Millennium; Rome Garden</t>
        </is>
      </c>
      <c r="CY22" s="142" t="n">
        <v>0.4348</v>
      </c>
      <c r="CZ22" s="136" t="n">
        <v>46245</v>
      </c>
      <c r="DA22" s="143" t="n">
        <v>79.54000000000001</v>
      </c>
      <c r="DB22" s="63" t="n">
        <v>57322</v>
      </c>
      <c r="DC22" s="63" t="n">
        <v>744604700</v>
      </c>
      <c r="DD22" s="59" t="inlineStr">
        <is>
          <t>Subscription level 79.54 times</t>
        </is>
      </c>
      <c r="DE22" s="141" t="n">
        <v>46062</v>
      </c>
      <c r="DF22" s="141" t="n">
        <v>46063</v>
      </c>
      <c r="DG22" s="63" t="n">
        <v>107658400</v>
      </c>
      <c r="DH22" s="63" t="n">
        <v>9361600</v>
      </c>
      <c r="DI22" s="63" t="n">
        <v>98296800</v>
      </c>
      <c r="DJ22" s="63" t="n">
        <v>400000</v>
      </c>
      <c r="DK22" s="169" t="n">
        <v>0.02477</v>
      </c>
      <c r="DL22" s="59" t="inlineStr">
        <is>
          <t>Claw-back triggered: N/A; no Offer Shares reallocated from the International Offering to the Hong Kong Public Offering; the 14,042,400 additional Offer Shares from the full exercise of the Offer Size Adjustment Option were allocated in full to the International Offering</t>
        </is>
      </c>
      <c r="DM22" s="144" t="n">
        <v>4796400000</v>
      </c>
      <c r="DN22" s="142" t="n">
        <v>0.06432</v>
      </c>
      <c r="DO22" s="51" t="n">
        <v>1673821434</v>
      </c>
      <c r="DP22" s="142" t="n">
        <v>0.03636</v>
      </c>
      <c r="DQ22" s="59" t="inlineStr">
        <is>
          <t>Free float denominator = number of issued Shares upon Listing (before exercise of the Over-allotment Option) = 1,673,821,434 Shares; H Shares held by the Cornerstone Investors upon Listing (subject to a six-month lock-up) are not counted towards the free float of the H Shares</t>
        </is>
      </c>
      <c r="DR22" s="63" t="n">
        <v>1673821434</v>
      </c>
      <c r="DS22" s="142" t="n">
        <v>0.01625711</v>
      </c>
      <c r="DT22" s="80" t="n">
        <v>47</v>
      </c>
      <c r="DU22" s="142" t="n">
        <v>0.0253363</v>
      </c>
      <c r="DV22" s="144" t="n">
        <v>53835000000</v>
      </c>
      <c r="DW22" s="145" t="n">
        <v>45.471</v>
      </c>
      <c r="DX22" s="169" t="n">
        <v>-0.007183</v>
      </c>
      <c r="DY22" s="172" t="n">
        <v>-35419613.6</v>
      </c>
      <c r="DZ22" s="146" t="n">
        <v>45.931</v>
      </c>
      <c r="EA22" s="146" t="n">
        <v>46.211</v>
      </c>
      <c r="EB22" s="146" t="n">
        <v>44.711</v>
      </c>
      <c r="EC22" s="63" t="n">
        <v>26371151</v>
      </c>
      <c r="ED22" s="169" t="n">
        <v>0.244952</v>
      </c>
      <c r="EE22" s="64" t="n">
        <v>1215061730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无锡先导智能装备股份有限公司</t>
        </is>
      </c>
      <c r="EI22" s="174" t="inlineStr">
        <is>
          <t>Active</t>
        </is>
      </c>
      <c r="EJ22" s="175" t="n">
        <v>45.391</v>
      </c>
      <c r="EK22" s="176" t="n">
        <v>-0.001759</v>
      </c>
      <c r="EL22" s="176" t="n">
        <v>-0.00893</v>
      </c>
      <c r="EM22" s="176" t="n">
        <v>-0.06604400000000001</v>
      </c>
      <c r="EN22" s="176" t="n">
        <v>-0.09489300000000001</v>
      </c>
      <c r="EO22" s="179" t="n">
        <v>1.0688</v>
      </c>
      <c r="EP22" s="179" t="n">
        <v>1.1029</v>
      </c>
      <c r="EQ22" s="178" t="n">
        <v>151648851.5</v>
      </c>
      <c r="ER22" s="175" t="n">
        <v>31.38</v>
      </c>
      <c r="ES22" s="176" t="n">
        <v>-0.30989</v>
      </c>
      <c r="ET22" s="176" t="n">
        <v>-0.314847</v>
      </c>
      <c r="EU22" s="176" t="n">
        <v>-0.059178</v>
      </c>
      <c r="EV22" s="176" t="n">
        <v>-0.122831</v>
      </c>
      <c r="EW22" s="179" t="n">
        <v>0.7335</v>
      </c>
      <c r="EX22" s="179" t="n">
        <v>0.7867</v>
      </c>
      <c r="EY22" s="178" t="n">
        <v>38865295</v>
      </c>
      <c r="EZ22" s="176" t="n">
        <v>0.031986</v>
      </c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J.P. Morgan Securities (Asia Pacific) Limited</t>
        </is>
      </c>
      <c r="FG22" s="185" t="inlineStr">
        <is>
          <t>2026-03-08</t>
        </is>
      </c>
      <c r="FH22" s="183" t="n">
        <v>1</v>
      </c>
      <c r="FI22" s="178" t="n">
        <v>16148700</v>
      </c>
      <c r="FJ22" s="176" t="n">
        <v>0.15</v>
      </c>
      <c r="FK22" s="185" t="inlineStr">
        <is>
          <t>2026-03-08</t>
        </is>
      </c>
      <c r="FL22" s="178" t="n">
        <v>16148700</v>
      </c>
      <c r="FM22" s="176" t="n">
        <v>1</v>
      </c>
      <c r="FN22" s="176" t="n">
        <v>-0.02079</v>
      </c>
      <c r="FO22" s="176" t="n">
        <v>0.185728</v>
      </c>
      <c r="FP22" s="176" t="n">
        <v>0.428625</v>
      </c>
      <c r="FQ22" s="176" t="n">
        <v>-0.006158</v>
      </c>
      <c r="FR22" s="179" t="n">
        <v>1.0259</v>
      </c>
      <c r="FS22" s="176" t="n">
        <v>-0.001759</v>
      </c>
      <c r="FT22" s="179" t="n">
        <v>1.0688</v>
      </c>
      <c r="FU22" s="176" t="n">
        <v>0.108861</v>
      </c>
      <c r="FV22" s="179" t="n">
        <v>1.172</v>
      </c>
      <c r="FW22" s="179" t="n">
        <v>1.2555</v>
      </c>
      <c r="FX22" s="178" t="n">
        <v>116777874.92</v>
      </c>
      <c r="FY22" s="186" t="n">
        <v>0.0004648492063492063</v>
      </c>
      <c r="FZ22" s="183" t="n">
        <v>0</v>
      </c>
      <c r="GA22" s="176" t="n">
        <v>0.04171384714028405</v>
      </c>
      <c r="GB22" s="176" t="n">
        <v>0.570228</v>
      </c>
      <c r="GC22" s="185" t="inlineStr">
        <is>
          <t>2026-08-11</t>
        </is>
      </c>
      <c r="GD22" s="185" t="inlineStr">
        <is>
          <t>2027-02-11</t>
        </is>
      </c>
      <c r="GE22" s="176" t="n">
        <v>0.068229</v>
      </c>
      <c r="GF22" s="176" t="n">
        <v>-0.06847499999999999</v>
      </c>
      <c r="GG22" s="179" t="n">
        <v>1.2079</v>
      </c>
      <c r="GH22" s="181" t="inlineStr">
        <is>
          <t>J.P. Morgan Securities (Asia Pacific) Limited</t>
        </is>
      </c>
      <c r="GI22" s="183" t="n">
        <v>0</v>
      </c>
      <c r="GJ22" s="183" t="n">
        <v>0</v>
      </c>
      <c r="GK22" s="176" t="n">
        <v>0.0001</v>
      </c>
      <c r="GL22" s="176" t="n">
        <v>0.01</v>
      </c>
      <c r="GM22" s="176" t="n">
        <v>0.0101</v>
      </c>
      <c r="GN22" s="183" t="n">
        <v>10</v>
      </c>
      <c r="GO22" s="183" t="n">
        <v>1</v>
      </c>
      <c r="GP22" s="183" t="n">
        <v>0</v>
      </c>
      <c r="GQ22" s="183" t="n">
        <v>0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22</v>
      </c>
      <c r="B23" s="47" t="inlineStr">
        <is>
          <t>2706.HK</t>
        </is>
      </c>
      <c r="C23" s="44" t="inlineStr">
        <is>
          <t>Beijing Haizhi Technology Group Co., Ltd. - H Shares</t>
        </is>
      </c>
      <c r="D23" s="130" t="n">
        <v>46058</v>
      </c>
      <c r="E23" s="48" t="n">
        <v>46066</v>
      </c>
      <c r="F23" s="43" t="inlineStr">
        <is>
          <t>CMB International Capital Limited / BOCI Asia Limited / Shenwan Hongyuan Capital (H.K.) Limited</t>
        </is>
      </c>
      <c r="G23" s="43" t="inlineStr">
        <is>
          <t>KPMG</t>
        </is>
      </c>
      <c r="H23" s="43" t="inlineStr">
        <is>
          <t>N/A</t>
        </is>
      </c>
      <c r="I23" s="131" t="n">
        <v>75854592</v>
      </c>
      <c r="J23" s="148" t="n">
        <v>682642620</v>
      </c>
      <c r="K23" s="133" t="n">
        <v>27.06</v>
      </c>
      <c r="L23" t="n">
        <v>400430680</v>
      </c>
      <c r="M23" s="67" t="n">
        <v>28030200</v>
      </c>
      <c r="N23" t="n">
        <v>372400480</v>
      </c>
      <c r="O23" t="n">
        <v>372400480</v>
      </c>
      <c r="P23" t="n">
        <v>0</v>
      </c>
      <c r="Q23" t="n">
        <v>28030200</v>
      </c>
      <c r="R23" s="67" t="n">
        <v>25227000</v>
      </c>
      <c r="S23" s="67" t="n">
        <v>2803200</v>
      </c>
      <c r="T23" s="147" t="n">
        <v>28</v>
      </c>
      <c r="U23" s="147" t="n">
        <v>25.6</v>
      </c>
      <c r="V23" s="169" t="n">
        <v>0.009701</v>
      </c>
      <c r="W23" s="169" t="n">
        <v>0.08955200000000001</v>
      </c>
      <c r="X23" s="170" t="inlineStr">
        <is>
          <t>Within range</t>
        </is>
      </c>
      <c r="Y23" s="26" t="inlineStr">
        <is>
          <t>RMB</t>
        </is>
      </c>
      <c r="Z23" s="137" t="n">
        <v>1062551000</v>
      </c>
      <c r="AA23" s="137" t="n">
        <v>633505000</v>
      </c>
      <c r="AB23" s="137" t="n">
        <v>830705000</v>
      </c>
      <c r="AC23" s="137" t="n">
        <v>-1233571000</v>
      </c>
      <c r="AD23" s="137" t="n">
        <v>-1350745000</v>
      </c>
      <c r="AE23" s="137" t="n">
        <v>-1476077000</v>
      </c>
      <c r="AF23" s="137" t="n">
        <v>2296122000</v>
      </c>
      <c r="AG23" s="137" t="n">
        <v>1984250000</v>
      </c>
      <c r="AH23" s="137" t="n">
        <v>2306782000</v>
      </c>
      <c r="AI23" s="137" t="n">
        <v>375573000</v>
      </c>
      <c r="AJ23" s="137" t="n">
        <v>503129000</v>
      </c>
      <c r="AK23" s="137" t="n">
        <v>332098666.6666667</v>
      </c>
      <c r="AL23" s="137" t="n">
        <v>-271721000</v>
      </c>
      <c r="AM23" s="137" t="n">
        <v>-94594000</v>
      </c>
      <c r="AN23" s="137" t="n">
        <v>-286430666.6666667</v>
      </c>
      <c r="AO23" s="137" t="n">
        <v>-265650000</v>
      </c>
      <c r="AP23" s="137" t="n">
        <v>-93733000</v>
      </c>
      <c r="AQ23" s="137" t="n">
        <v>-281092000</v>
      </c>
      <c r="AR23" s="142" t="n">
        <v>0.03</v>
      </c>
      <c r="AS23" s="142" t="n">
        <v>0.03</v>
      </c>
      <c r="AT23" s="84" t="n">
        <v>0</v>
      </c>
      <c r="AU23" s="51" t="inlineStr">
        <is>
          <t>Leading company in China that develops Atlas graph solutions and industry-level intelligent agents by integrating knowledge graphs and LLMs and offers industry-level AI solutions</t>
        </is>
      </c>
      <c r="AV23" s="51" t="inlineStr">
        <is>
          <t>Main Board Rule 8.05(3) capitalization/revenue test</t>
        </is>
      </c>
      <c r="AW23" s="136" t="n">
        <v>45930</v>
      </c>
      <c r="AX23" s="137" t="n">
        <v>-144409000</v>
      </c>
      <c r="AY23" s="117" t="n">
        <v>42494000</v>
      </c>
      <c r="AZ23" s="117" t="n">
        <v>56760000</v>
      </c>
      <c r="BA23" s="117" t="n">
        <v>0</v>
      </c>
      <c r="BB23" s="138" t="n">
        <v>0.321</v>
      </c>
      <c r="BC23" s="139" t="n">
        <v>0.75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0</v>
      </c>
      <c r="BI23" s="161" t="n">
        <v>1</v>
      </c>
      <c r="BJ23" s="162" t="inlineStr">
        <is>
          <t>Legend Capital; IDG Capital; Baidu; CICC Alpha</t>
        </is>
      </c>
      <c r="BK23" s="163" t="n">
        <v>0.423</v>
      </c>
      <c r="BL23" s="161" t="n">
        <v>1</v>
      </c>
      <c r="BM23" s="164" t="inlineStr">
        <is>
          <t>Series A-1</t>
        </is>
      </c>
      <c r="BN23" s="165" t="n">
        <v>11.42</v>
      </c>
      <c r="BO23" s="51" t="inlineStr">
        <is>
          <t>自然人</t>
        </is>
      </c>
      <c r="BP23" s="135" t="n">
        <v>0.2739</v>
      </c>
      <c r="BQ23" s="135" t="n">
        <v>0.2739</v>
      </c>
      <c r="BR23" s="137" t="n">
        <v>12473000</v>
      </c>
      <c r="BS23" s="51" t="inlineStr">
        <is>
          <t>已商业化（Atlas graph solutions 已广泛采用并贡献主要收入，Atlas AI agent 加速商业化中）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702015</t>
        </is>
      </c>
      <c r="CB23" s="76" t="inlineStr">
        <is>
          <t>HSICS (Hang Seng Industry Classification System) 2026</t>
        </is>
      </c>
      <c r="CC23" s="140" t="n">
        <v>41509</v>
      </c>
      <c r="CD23" s="171" t="n">
        <v>12.48</v>
      </c>
      <c r="CE23" s="76" t="inlineStr">
        <is>
          <t>PRC</t>
        </is>
      </c>
      <c r="CF23" s="89" t="inlineStr">
        <is>
          <t>Beijing, PRC</t>
        </is>
      </c>
      <c r="CG23" s="91" t="n">
        <v>1000</v>
      </c>
      <c r="CH23" s="60" t="inlineStr">
        <is>
          <t>IFRS Accounting Standards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249074000</v>
      </c>
      <c r="CO23" s="64" t="n">
        <v>-214823000</v>
      </c>
      <c r="CP23" s="64" t="n">
        <v>-210819000</v>
      </c>
      <c r="CQ23" s="141" t="n">
        <v>46058</v>
      </c>
      <c r="CR23" s="141" t="n">
        <v>46063</v>
      </c>
      <c r="CS23" s="63" t="n">
        <v>400430680</v>
      </c>
      <c r="CT23" s="64" t="n">
        <v>98895000</v>
      </c>
      <c r="CU23" s="64" t="n">
        <v>4600000</v>
      </c>
      <c r="CV23" s="59" t="inlineStr">
        <is>
          <t>Unqualified opinion (无保留意见)</t>
        </is>
      </c>
      <c r="CW23" s="64" t="n">
        <v>102800000</v>
      </c>
      <c r="CX23" s="51" t="inlineStr">
        <is>
          <t>JSC International Investment Fund SPC (acting for and on behalf of Etown SP); JINGSHENG HENGXING; Infini; Mega Prime</t>
        </is>
      </c>
      <c r="CY23" s="142" t="n">
        <v>0.1537</v>
      </c>
      <c r="CZ23" s="136" t="n">
        <v>46247</v>
      </c>
      <c r="DA23" s="143" t="n">
        <v>5065.06</v>
      </c>
      <c r="DB23" s="63" t="n">
        <v>232258</v>
      </c>
      <c r="DC23" s="63" t="n">
        <v>14198363600</v>
      </c>
      <c r="DD23" s="59" t="inlineStr">
        <is>
          <t>Subscription level 5,065.06 times</t>
        </is>
      </c>
      <c r="DE23" s="141" t="n">
        <v>46064</v>
      </c>
      <c r="DF23" s="141" t="n">
        <v>46065</v>
      </c>
      <c r="DG23" s="63" t="n">
        <v>28030200</v>
      </c>
      <c r="DH23" s="63" t="n">
        <v>2803200</v>
      </c>
      <c r="DI23" s="63" t="n">
        <v>25227000</v>
      </c>
      <c r="DJ23" s="63" t="n">
        <v>0</v>
      </c>
      <c r="DK23" s="169" t="n">
        <v>0</v>
      </c>
      <c r="DL23" s="59" t="inlineStr">
        <is>
          <t>Claw-back triggered: N/A. Final no. of Offer Shares under the Hong Kong Public Offering 2,803,200, same as the number initially available (10% of the Global Offering); no Offer Shares were reallocated from the International Offering.</t>
        </is>
      </c>
      <c r="DM23" s="144" t="n">
        <v>655400000</v>
      </c>
      <c r="DN23" s="142" t="n">
        <v>0.5753</v>
      </c>
      <c r="DO23" s="51" t="n">
        <v>400430680</v>
      </c>
      <c r="DP23" s="142" t="n">
        <v>0.0592</v>
      </c>
      <c r="DQ23" s="59" t="inlineStr">
        <is>
          <t>Denominator = total number of issued Shares upon Listing (400,430,680 Shares); H Shares held by the Cornerstone Investors upon Listing (six-month lock-up) are not counted towards the free float of the H Shares of the Company.</t>
        </is>
      </c>
      <c r="DR23" s="63" t="n">
        <v>400430680</v>
      </c>
      <c r="DS23" s="142" t="n">
        <v>0.01467825</v>
      </c>
      <c r="DT23" s="80" t="n">
        <v>44</v>
      </c>
      <c r="DU23" s="142" t="n">
        <v>0.0249435</v>
      </c>
      <c r="DV23" s="144" t="n">
        <v>53812000000</v>
      </c>
      <c r="DW23" s="145" t="n">
        <v>92.59999999999999</v>
      </c>
      <c r="DX23" s="169" t="n">
        <v>2.422025</v>
      </c>
      <c r="DY23" s="172" t="n">
        <v>1837099308</v>
      </c>
      <c r="DZ23" s="146" t="n">
        <v>82.3</v>
      </c>
      <c r="EA23" s="146" t="n">
        <v>99.59999999999999</v>
      </c>
      <c r="EB23" s="146" t="n">
        <v>82.3</v>
      </c>
      <c r="EC23" s="63" t="n">
        <v>9807072</v>
      </c>
      <c r="ED23" s="169" t="n">
        <v>0.349875</v>
      </c>
      <c r="EE23" s="64" t="n">
        <v>863448700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北京海致科技集团股份有限公司</t>
        </is>
      </c>
      <c r="EI23" s="174" t="inlineStr">
        <is>
          <t>Active</t>
        </is>
      </c>
      <c r="EJ23" s="175" t="n">
        <v>83.05</v>
      </c>
      <c r="EK23" s="176" t="n">
        <v>-0.103132</v>
      </c>
      <c r="EL23" s="176" t="n">
        <v>2.069106</v>
      </c>
      <c r="EM23" s="176" t="n">
        <v>-0.026295</v>
      </c>
      <c r="EN23" s="176" t="n">
        <v>-0.047157</v>
      </c>
      <c r="EO23" s="179" t="n">
        <v>0.9211</v>
      </c>
      <c r="EP23" s="179" t="n">
        <v>0.9413</v>
      </c>
      <c r="EQ23" s="178" t="n">
        <v>392113740</v>
      </c>
      <c r="ER23" s="175" t="n">
        <v>43.72</v>
      </c>
      <c r="ES23" s="176" t="n">
        <v>-0.5278620000000001</v>
      </c>
      <c r="ET23" s="176" t="n">
        <v>0.615669</v>
      </c>
      <c r="EU23" s="176" t="n">
        <v>-0.044062</v>
      </c>
      <c r="EV23" s="176" t="n">
        <v>-0.105967</v>
      </c>
      <c r="EW23" s="179" t="n">
        <v>0.4939</v>
      </c>
      <c r="EX23" s="179" t="n">
        <v>0.5281</v>
      </c>
      <c r="EY23" s="178" t="n">
        <v>237463300</v>
      </c>
      <c r="EZ23" s="176" t="n">
        <v>0.275017</v>
      </c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2026-03-15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2026-02-13</t>
        </is>
      </c>
      <c r="FL23" s="178" t="n">
        <v>0</v>
      </c>
      <c r="FM23" s="176" t="n">
        <v>0</v>
      </c>
      <c r="FN23" s="176" t="n">
        <v>-0.103165</v>
      </c>
      <c r="FO23" s="176" t="n">
        <v>-0.210332</v>
      </c>
      <c r="FP23" s="176" t="n">
        <v>0.246296</v>
      </c>
      <c r="FQ23" s="176" t="n">
        <v>0.318575</v>
      </c>
      <c r="FR23" s="179" t="n">
        <v>1.3174</v>
      </c>
      <c r="FS23" s="176" t="n">
        <v>-0.103132</v>
      </c>
      <c r="FT23" s="179" t="n">
        <v>0.9211</v>
      </c>
      <c r="FU23" s="176" t="n">
        <v>-0.403348</v>
      </c>
      <c r="FV23" s="179" t="n">
        <v>0.6244</v>
      </c>
      <c r="FW23" s="179" t="n">
        <v>0.6707</v>
      </c>
      <c r="FX23" s="178" t="n">
        <v>188924034.92</v>
      </c>
      <c r="FY23" s="186" t="n">
        <v>0.0006468650793650793</v>
      </c>
      <c r="FZ23" s="183" t="n">
        <v>0</v>
      </c>
      <c r="GA23" s="176" t="n">
        <v>0.2452489841955169</v>
      </c>
      <c r="GB23" s="176" t="n">
        <v>0.867327</v>
      </c>
      <c r="GC23" s="185" t="inlineStr">
        <is>
          <t>2026-08-13</t>
        </is>
      </c>
      <c r="GD23" s="185" t="inlineStr">
        <is>
          <t>2027-02-13</t>
        </is>
      </c>
      <c r="GE23" s="176" t="n">
        <v>-0.120604</v>
      </c>
      <c r="GF23" s="176" t="n">
        <v>0.522519</v>
      </c>
      <c r="GG23" s="179" t="n">
        <v>0.7385</v>
      </c>
      <c r="GH23" s="181" t="inlineStr">
        <is>
          <t>China International Capital Corporation / Sponsor-OC</t>
        </is>
      </c>
      <c r="GI23" s="183" t="n">
        <v>0</v>
      </c>
      <c r="GJ23" s="183" t="n">
        <v>0</v>
      </c>
      <c r="GK23" s="176" t="n">
        <v>0.0003</v>
      </c>
      <c r="GL23" s="176" t="n">
        <v>0.01</v>
      </c>
      <c r="GM23" s="176" t="n">
        <v>0.0103</v>
      </c>
      <c r="GN23" s="183" t="n">
        <v>4</v>
      </c>
      <c r="GO23" s="183" t="n">
        <v>1</v>
      </c>
      <c r="GP23" s="183" t="n">
        <v>0</v>
      </c>
      <c r="GQ23" s="183" t="n">
        <v>4</v>
      </c>
      <c r="GR23" s="183" t="n">
        <v>1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23</v>
      </c>
      <c r="B24" s="47" t="inlineStr">
        <is>
          <t>9981.HK</t>
        </is>
      </c>
      <c r="C24" s="44" t="inlineStr">
        <is>
          <t>Shenzhen Woer Heat-Shrinkable Material Co., Ltd. - H Shares</t>
        </is>
      </c>
      <c r="D24" s="130" t="n">
        <v>46058</v>
      </c>
      <c r="E24" s="48" t="n">
        <v>46066</v>
      </c>
      <c r="F24" s="43" t="inlineStr">
        <is>
          <t>China Securities (International) Corporate Finance Company Limited / China Merchants Securities (HK) Co., Limited</t>
        </is>
      </c>
      <c r="G24" s="43" t="inlineStr">
        <is>
          <t>Moore CPA Limited</t>
        </is>
      </c>
      <c r="H24" s="43" t="inlineStr">
        <is>
          <t>N/A</t>
        </is>
      </c>
      <c r="I24" s="131" t="n">
        <v>281239910</v>
      </c>
      <c r="J24" s="148" t="n">
        <v>2531135082</v>
      </c>
      <c r="K24" s="133" t="n">
        <v>20.09</v>
      </c>
      <c r="L24" t="n">
        <v>1399887362</v>
      </c>
      <c r="M24" s="67" t="n">
        <v>139988800</v>
      </c>
      <c r="N24" t="n">
        <v>1259898562</v>
      </c>
      <c r="O24" t="n">
        <v>1259898562</v>
      </c>
      <c r="P24" t="n">
        <v>0</v>
      </c>
      <c r="Q24" t="n">
        <v>139988800</v>
      </c>
      <c r="R24" s="67" t="n">
        <v>125989800</v>
      </c>
      <c r="S24" s="67" t="n">
        <v>13999000</v>
      </c>
      <c r="T24" s="147" t="n">
        <v>20.09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8980436000</v>
      </c>
      <c r="AA24" s="137" t="n">
        <v>10230326000</v>
      </c>
      <c r="AB24" s="137" t="n">
        <v>11636384000</v>
      </c>
      <c r="AC24" s="137" t="n">
        <v>5462504000</v>
      </c>
      <c r="AD24" s="137" t="n">
        <v>6128329000</v>
      </c>
      <c r="AE24" s="137" t="n">
        <v>6465696000</v>
      </c>
      <c r="AF24" s="137" t="n">
        <v>3517932000</v>
      </c>
      <c r="AG24" s="137" t="n">
        <v>4101997000</v>
      </c>
      <c r="AH24" s="137" t="n">
        <v>5170688000</v>
      </c>
      <c r="AI24" s="137" t="n">
        <v>5718841000</v>
      </c>
      <c r="AJ24" s="137" t="n">
        <v>6920102000</v>
      </c>
      <c r="AK24" s="137" t="n">
        <v>8102237333.333333</v>
      </c>
      <c r="AL24" s="137" t="n">
        <v>872877000</v>
      </c>
      <c r="AM24" s="137" t="n">
        <v>1073863000</v>
      </c>
      <c r="AN24" s="137" t="n">
        <v>1381448000</v>
      </c>
      <c r="AO24" s="137" t="n">
        <v>757727000</v>
      </c>
      <c r="AP24" s="137" t="n">
        <v>920503000</v>
      </c>
      <c r="AQ24" s="137" t="n">
        <v>1177737333.333333</v>
      </c>
      <c r="AR24" s="142" t="n">
        <v>0.012</v>
      </c>
      <c r="AS24" s="142" t="n">
        <v>0.012</v>
      </c>
      <c r="AT24" s="84" t="n">
        <v>0</v>
      </c>
      <c r="AU24" s="51" t="inlineStr">
        <is>
          <t>Electronic communications business, electrical power transmission business, and wind power operations</t>
        </is>
      </c>
      <c r="AV24" s="51" t="inlineStr">
        <is>
          <t>Main Board; Chapter 19A PRC issuer with other listed shares (A+H)</t>
        </is>
      </c>
      <c r="AW24" s="136" t="n">
        <v>45930</v>
      </c>
      <c r="AX24" s="137" t="n">
        <v>886257000</v>
      </c>
      <c r="AY24" s="117" t="n">
        <v>931647000</v>
      </c>
      <c r="AZ24" s="117" t="n">
        <v>325688000</v>
      </c>
      <c r="BA24" s="117" t="n">
        <v>0</v>
      </c>
      <c r="BB24" s="138" t="n">
        <v>0.193</v>
      </c>
      <c r="BC24" s="139" t="n">
        <v>0.75</v>
      </c>
      <c r="BD24" s="80" t="n">
        <v>1</v>
      </c>
      <c r="BE24" s="161" t="n">
        <v>0</v>
      </c>
      <c r="BF24" s="161" t="n">
        <v>1</v>
      </c>
      <c r="BG24" s="161" t="n">
        <v>0</v>
      </c>
      <c r="BH24" s="161" t="n">
        <v>0</v>
      </c>
      <c r="BI24" s="161" t="n">
        <v>0</v>
      </c>
      <c r="BJ24" s="162" t="inlineStr">
        <is>
          <t>Xuanyuan Private Fund</t>
        </is>
      </c>
      <c r="BK24" s="163" t="n">
        <v>0.024</v>
      </c>
      <c r="BL24" s="161" t="n">
        <v>0</v>
      </c>
      <c r="BM24" s="164" t="inlineStr">
        <is>
          <t>Pre-IPO</t>
        </is>
      </c>
      <c r="BN24" s="165" t="n">
        <v>3.25</v>
      </c>
      <c r="BO24" s="51" t="inlineStr">
        <is>
          <t>自然人（周和平先生与易华蓉女士为单一最大股东，无控股股东）</t>
        </is>
      </c>
      <c r="BP24" s="135" t="n">
        <v>0.1354</v>
      </c>
      <c r="BQ24" s="135" t="n">
        <v>0.1364</v>
      </c>
      <c r="BR24" s="137" t="n">
        <v>2530497000</v>
      </c>
      <c r="BS24" s="51" t="inlineStr">
        <is>
          <t>规模商业化（已量产）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101020</t>
        </is>
      </c>
      <c r="CB24" s="76" t="inlineStr">
        <is>
          <t>HSICS (Hang Seng Industry Classification System) 2026</t>
        </is>
      </c>
      <c r="CC24" s="140" t="n">
        <v>35965</v>
      </c>
      <c r="CD24" s="171" t="n">
        <v>27.66</v>
      </c>
      <c r="CE24" s="76" t="inlineStr">
        <is>
          <t>PRC</t>
        </is>
      </c>
      <c r="CF24" s="89" t="inlineStr">
        <is>
          <t>Shenzhen,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6076678000</v>
      </c>
      <c r="CO24" s="64" t="n">
        <v>1036086000</v>
      </c>
      <c r="CP24" s="64" t="n">
        <v>883303000</v>
      </c>
      <c r="CQ24" s="141" t="n">
        <v>46058</v>
      </c>
      <c r="CR24" s="141" t="n">
        <v>46063</v>
      </c>
      <c r="CS24" s="63" t="n">
        <v>139988800</v>
      </c>
      <c r="CT24" s="64" t="n">
        <v>1877737000</v>
      </c>
      <c r="CU24" s="64" t="n">
        <v>776065000</v>
      </c>
      <c r="CV24" s="59" t="inlineStr">
        <is>
          <t>无保留意见（Unqualified opinion）</t>
        </is>
      </c>
      <c r="CW24" s="64" t="n">
        <v>78800000</v>
      </c>
      <c r="CX24" s="51" t="inlineStr">
        <is>
          <t>HHLR Advisors, Ltd.; Shanghai Greenwoods and Huatai Capital Investment Limited (in connection with Greenwoods OTC Swaps); Jump Trading Pacific Pte. Ltd.; Huizhou Huilian Investment Partnership (Limited Partnership); JCC and Guotai Junan Investments (Hong Kong) Limited (in connection with JCC OTC Swaps); Shen Zhen New World Investment (H.K) Limited; BEST CHEER DEVELOPMENT LIMITED; RIME Capital Limited; SCV Alpha LP; Yield Royal Investment Holding (Singapore) PTE. LTD.; Guohui (HK) Holdings Co., Limited; Pu Xin Guotai Junan Investments (Hong Kong) Limited (in connection with Pu Xin OTC Swaps); CAPCHEM (HONGKONG) CO., LIMITED; Enhanced Investment Products Limited; Factorial Master Fund; Qianhai Starlight Capital SPC</t>
        </is>
      </c>
      <c r="CY24" s="142" t="n">
        <v>0.3445</v>
      </c>
      <c r="CZ24" s="136" t="n">
        <v>46247</v>
      </c>
      <c r="DA24" s="143" t="n">
        <v>569.58</v>
      </c>
      <c r="DB24" s="63" t="n">
        <v>141463</v>
      </c>
      <c r="DC24" s="63" t="n">
        <v>7973503000</v>
      </c>
      <c r="DD24" s="59" t="inlineStr">
        <is>
          <t>Subscription level 569.58 times</t>
        </is>
      </c>
      <c r="DE24" s="141" t="n">
        <v>46064</v>
      </c>
      <c r="DF24" s="141" t="n">
        <v>46065</v>
      </c>
      <c r="DG24" s="63" t="n">
        <v>139988800</v>
      </c>
      <c r="DH24" s="63" t="n">
        <v>13999000</v>
      </c>
      <c r="DI24" s="63" t="n">
        <v>125989800</v>
      </c>
      <c r="DJ24" s="63" t="n">
        <v>0</v>
      </c>
      <c r="DK24" s="169" t="n">
        <v>0</v>
      </c>
      <c r="DL24" s="59" t="inlineStr">
        <is>
          <t>Claw-back triggered: N/A — no reallocation from the International Offering; the final number of Hong Kong Offer Shares (13,999,000) equals the initial number and represents 10.00% of the Global Offering.</t>
        </is>
      </c>
      <c r="DM24" s="144" t="n">
        <v>2733600000</v>
      </c>
      <c r="DN24" s="142" t="n">
        <v>0.1007</v>
      </c>
      <c r="DO24" s="51" t="n">
        <v>1399887362</v>
      </c>
      <c r="DP24" s="142" t="n">
        <v>0.0655</v>
      </c>
      <c r="DQ24" s="59" t="inlineStr">
        <is>
          <t>Free float denominator = total issued share capital upon Listing (1,399,887,362 Shares); H Shares held by the Cornerstone Investors (six-month lock-up until August 12, 2026) are excluded from the free float.</t>
        </is>
      </c>
      <c r="DR24" s="63" t="n">
        <v>1399887362</v>
      </c>
      <c r="DS24" s="142" t="n">
        <v>0.01467825</v>
      </c>
      <c r="DT24" s="80" t="n">
        <v>44</v>
      </c>
      <c r="DU24" s="142" t="n">
        <v>0.0249435</v>
      </c>
      <c r="DV24" s="144" t="n">
        <v>53812000000</v>
      </c>
      <c r="DW24" s="145" t="n">
        <v>20.491</v>
      </c>
      <c r="DX24" s="169" t="n">
        <v>0.01996</v>
      </c>
      <c r="DY24" s="172" t="n">
        <v>56135508.8</v>
      </c>
      <c r="DZ24" s="146" t="n">
        <v>19.911</v>
      </c>
      <c r="EA24" s="146" t="n">
        <v>21.611</v>
      </c>
      <c r="EB24" s="146" t="n">
        <v>19.911</v>
      </c>
      <c r="EC24" s="63" t="n">
        <v>31940320</v>
      </c>
      <c r="ED24" s="169" t="n">
        <v>0.228163</v>
      </c>
      <c r="EE24" s="64" t="n">
        <v>676860690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深圳市沃尔核材股份有限公司</t>
        </is>
      </c>
      <c r="EI24" s="174" t="inlineStr">
        <is>
          <t>Active</t>
        </is>
      </c>
      <c r="EJ24" s="175" t="n">
        <v>20.411</v>
      </c>
      <c r="EK24" s="176" t="n">
        <v>-0.003904</v>
      </c>
      <c r="EL24" s="176" t="n">
        <v>0.015978</v>
      </c>
      <c r="EM24" s="176" t="n">
        <v>-0.026295</v>
      </c>
      <c r="EN24" s="176" t="n">
        <v>-0.047157</v>
      </c>
      <c r="EO24" s="179" t="n">
        <v>1.023</v>
      </c>
      <c r="EP24" s="179" t="n">
        <v>1.0454</v>
      </c>
      <c r="EQ24" s="178" t="n">
        <v>148470290.5</v>
      </c>
      <c r="ER24" s="175" t="n">
        <v>10.65</v>
      </c>
      <c r="ES24" s="176" t="n">
        <v>-0.48026</v>
      </c>
      <c r="ET24" s="176" t="n">
        <v>-0.469886</v>
      </c>
      <c r="EU24" s="176" t="n">
        <v>-0.044062</v>
      </c>
      <c r="EV24" s="176" t="n">
        <v>-0.105967</v>
      </c>
      <c r="EW24" s="179" t="n">
        <v>0.5437</v>
      </c>
      <c r="EX24" s="179" t="n">
        <v>0.5813</v>
      </c>
      <c r="EY24" s="178" t="n">
        <v>15526065</v>
      </c>
      <c r="EZ24" s="176" t="n">
        <v>0.022938</v>
      </c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China International Capital Corporation / Sponsor-OC</t>
        </is>
      </c>
      <c r="FG24" s="185" t="inlineStr">
        <is>
          <t>2026-03-15</t>
        </is>
      </c>
      <c r="FH24" s="183" t="n">
        <v>0</v>
      </c>
      <c r="FI24" s="178" t="n">
        <v>0</v>
      </c>
      <c r="FJ24" s="176" t="n">
        <v>0.15</v>
      </c>
      <c r="FK24" s="185" t="inlineStr">
        <is>
          <t>2026-02-13</t>
        </is>
      </c>
      <c r="FL24" s="178" t="n">
        <v>0</v>
      </c>
      <c r="FM24" s="176" t="n">
        <v>0</v>
      </c>
      <c r="FN24" s="176" t="n">
        <v>0.04938</v>
      </c>
      <c r="FO24" s="176" t="n">
        <v>-0.015128</v>
      </c>
      <c r="FP24" s="176" t="n">
        <v>0.6091529999999999</v>
      </c>
      <c r="FQ24" s="176" t="n">
        <v>0.015617</v>
      </c>
      <c r="FR24" s="179" t="n">
        <v>1.0147</v>
      </c>
      <c r="FS24" s="176" t="n">
        <v>-0.003904</v>
      </c>
      <c r="FT24" s="179" t="n">
        <v>1.023</v>
      </c>
      <c r="FU24" s="176" t="n">
        <v>-0.336733</v>
      </c>
      <c r="FV24" s="179" t="n">
        <v>0.6941000000000001</v>
      </c>
      <c r="FW24" s="179" t="n">
        <v>0.7455000000000001</v>
      </c>
      <c r="FX24" s="178" t="n">
        <v>87722277.62</v>
      </c>
      <c r="FY24" s="186" t="n">
        <v>0.0008647539682539682</v>
      </c>
      <c r="FZ24" s="183" t="n">
        <v>0</v>
      </c>
      <c r="GA24" s="176" t="n">
        <v>0.03793376235270407</v>
      </c>
      <c r="GB24" s="176" t="n">
        <v>0.5734399999999999</v>
      </c>
      <c r="GC24" s="185" t="inlineStr">
        <is>
          <t>2026-08-13</t>
        </is>
      </c>
      <c r="GD24" s="185" t="inlineStr">
        <is>
          <t>2027-02-13</t>
        </is>
      </c>
      <c r="GE24" s="176" t="n">
        <v>-0.135446</v>
      </c>
      <c r="GF24" s="176" t="n">
        <v>-0.084519</v>
      </c>
      <c r="GG24" s="179" t="n">
        <v>1.0141</v>
      </c>
      <c r="GH24" s="181" t="inlineStr">
        <is>
          <t>China International Capital Corporation / Sponsor-OC</t>
        </is>
      </c>
      <c r="GI24" s="183" t="n">
        <v>0</v>
      </c>
      <c r="GJ24" s="183" t="n">
        <v>0</v>
      </c>
      <c r="GK24" s="176" t="n">
        <v>0.00012</v>
      </c>
      <c r="GL24" s="176" t="n">
        <v>0.01</v>
      </c>
      <c r="GM24" s="176" t="n">
        <v>0.01012</v>
      </c>
      <c r="GN24" s="183" t="n">
        <v>19</v>
      </c>
      <c r="GO24" s="183" t="n">
        <v>1</v>
      </c>
      <c r="GP24" s="183" t="n">
        <v>0</v>
      </c>
      <c r="GQ24" s="183" t="n">
        <v>1</v>
      </c>
      <c r="GR24" s="183" t="n">
        <v>1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24</v>
      </c>
      <c r="B25" s="47" t="inlineStr">
        <is>
          <t>2649.HK</t>
        </is>
      </c>
      <c r="C25" s="44" t="inlineStr">
        <is>
          <t>ALSCO Pooling Service Co., Ltd. - H Shares</t>
        </is>
      </c>
      <c r="D25" s="130" t="n">
        <v>46080</v>
      </c>
      <c r="E25" s="48" t="n">
        <v>46090</v>
      </c>
      <c r="F25" s="43" t="inlineStr">
        <is>
          <t>China Securities (International) Corporate Finance Company Limited</t>
        </is>
      </c>
      <c r="G25" s="43" t="inlineStr">
        <is>
          <t>Ernst &amp; Young</t>
        </is>
      </c>
      <c r="H25" s="43" t="inlineStr">
        <is>
          <t>N/A</t>
        </is>
      </c>
      <c r="I25" s="131" t="n">
        <v>22374000</v>
      </c>
      <c r="J25" s="148" t="n">
        <v>201322000</v>
      </c>
      <c r="K25" s="133" t="n">
        <v>11</v>
      </c>
      <c r="L25" t="n">
        <v>90336000</v>
      </c>
      <c r="M25" s="67" t="n">
        <v>20336000</v>
      </c>
      <c r="N25" t="n">
        <v>70000000</v>
      </c>
      <c r="O25" t="n">
        <v>70000000</v>
      </c>
      <c r="P25" t="n">
        <v>0</v>
      </c>
      <c r="Q25" t="n">
        <v>20336000</v>
      </c>
      <c r="R25" s="67" t="n">
        <v>18302000</v>
      </c>
      <c r="S25" s="67" t="n">
        <v>2034000</v>
      </c>
      <c r="T25" s="147" t="n">
        <v>14</v>
      </c>
      <c r="U25" s="147" t="n">
        <v>11</v>
      </c>
      <c r="V25" s="169" t="n">
        <v>-0.12</v>
      </c>
      <c r="W25" s="169" t="n">
        <v>0.24</v>
      </c>
      <c r="X25" s="170" t="inlineStr">
        <is>
          <t>At low</t>
        </is>
      </c>
      <c r="Y25" s="26" t="inlineStr">
        <is>
          <t>RMB</t>
        </is>
      </c>
      <c r="Z25" s="137" t="n">
        <v>844409000</v>
      </c>
      <c r="AA25" s="137" t="n">
        <v>865825000</v>
      </c>
      <c r="AB25" s="137" t="n">
        <v>894849000</v>
      </c>
      <c r="AC25" s="137" t="n">
        <v>399652000</v>
      </c>
      <c r="AD25" s="137" t="n">
        <v>430166000</v>
      </c>
      <c r="AE25" s="137" t="n">
        <v>457412000</v>
      </c>
      <c r="AF25" s="137" t="n">
        <v>444757000</v>
      </c>
      <c r="AG25" s="137" t="n">
        <v>435659000</v>
      </c>
      <c r="AH25" s="137" t="n">
        <v>437437000</v>
      </c>
      <c r="AI25" s="137" t="n">
        <v>794019000</v>
      </c>
      <c r="AJ25" s="137" t="n">
        <v>837620000</v>
      </c>
      <c r="AK25" s="137" t="n">
        <v>800004000</v>
      </c>
      <c r="AL25" s="137" t="n">
        <v>81142000</v>
      </c>
      <c r="AM25" s="137" t="n">
        <v>64487000</v>
      </c>
      <c r="AN25" s="137" t="n">
        <v>52431000</v>
      </c>
      <c r="AO25" s="137" t="n">
        <v>64149000</v>
      </c>
      <c r="AP25" s="137" t="n">
        <v>50741000</v>
      </c>
      <c r="AQ25" s="137" t="n">
        <v>40338000</v>
      </c>
      <c r="AR25" s="142" t="n">
        <v>0.03</v>
      </c>
      <c r="AS25" s="142" t="n">
        <v>0.03</v>
      </c>
      <c r="AT25" s="84" t="n">
        <v>0.15</v>
      </c>
      <c r="AU25" s="51" t="inlineStr">
        <is>
          <t>Reusable package services, primarily pooling and rental of reusable containers for automotive parts manufacturers and OEMs</t>
        </is>
      </c>
      <c r="AV25" s="51" t="inlineStr">
        <is>
          <t>Main Board (Chapter 19A PRC issuer)</t>
        </is>
      </c>
      <c r="AW25" s="136" t="n">
        <v>45900</v>
      </c>
      <c r="AX25" s="137" t="n">
        <v>111489000</v>
      </c>
      <c r="AY25" s="117" t="n">
        <v>88915000</v>
      </c>
      <c r="AZ25" s="117" t="n">
        <v>8630000</v>
      </c>
      <c r="BA25" s="117" t="n">
        <v>0</v>
      </c>
      <c r="BB25" s="138" t="n">
        <v>0.265</v>
      </c>
      <c r="BC25" s="139" t="n">
        <v>0.6666666666666666</v>
      </c>
      <c r="BD25" s="80" t="n">
        <v>1</v>
      </c>
      <c r="BE25" s="161" t="n">
        <v>1</v>
      </c>
      <c r="BF25" s="161" t="n">
        <v>0</v>
      </c>
      <c r="BG25" s="161" t="n">
        <v>1</v>
      </c>
      <c r="BH25" s="161" t="n">
        <v>1</v>
      </c>
      <c r="BI25" s="161" t="n">
        <v>0</v>
      </c>
      <c r="BJ25" s="162" t="inlineStr">
        <is>
          <t>Suzhou Industrial Park Fund; Green Pine Capital; Hengxu Capital</t>
        </is>
      </c>
      <c r="BK25" s="163" t="n">
        <v>0.185</v>
      </c>
      <c r="BL25" s="161" t="n">
        <v>0</v>
      </c>
      <c r="BM25" s="164" t="inlineStr">
        <is>
          <t>Series Pre-A</t>
        </is>
      </c>
      <c r="BN25" s="165" t="n">
        <v>5.33</v>
      </c>
      <c r="BO25" s="51" t="inlineStr">
        <is>
          <t>自然人</t>
        </is>
      </c>
      <c r="BP25" s="135" t="n">
        <v>0.4363</v>
      </c>
      <c r="BQ25" s="135" t="n">
        <v>0.4363</v>
      </c>
      <c r="BR25" s="137" t="n">
        <v>193927000</v>
      </c>
      <c r="BS25" s="51" t="inlineStr">
        <is>
          <t>已量产（规模商业化，mass production）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0</v>
      </c>
      <c r="BZ25" s="78" t="n">
        <v>0</v>
      </c>
      <c r="CA25" s="60" t="inlineStr">
        <is>
          <t>103020</t>
        </is>
      </c>
      <c r="CB25" s="76" t="inlineStr">
        <is>
          <t>HSICS (Hang Seng Industry Classification System) 2026</t>
        </is>
      </c>
      <c r="CC25" s="140" t="n">
        <v>42716</v>
      </c>
      <c r="CD25" s="171" t="n">
        <v>9.24</v>
      </c>
      <c r="CE25" s="76" t="inlineStr">
        <is>
          <t>PRC</t>
        </is>
      </c>
      <c r="CF25" s="89" t="inlineStr">
        <is>
          <t>Suzhou, Jiangsu,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533336000</v>
      </c>
      <c r="CO25" s="64" t="n">
        <v>34954000</v>
      </c>
      <c r="CP25" s="64" t="n">
        <v>26892000</v>
      </c>
      <c r="CQ25" s="141" t="n">
        <v>46080</v>
      </c>
      <c r="CR25" s="141" t="n">
        <v>46085</v>
      </c>
      <c r="CS25" s="63" t="n">
        <v>87653705</v>
      </c>
      <c r="CT25" s="64" t="n">
        <v>111198000</v>
      </c>
      <c r="CU25" s="64" t="n">
        <v>98800000</v>
      </c>
      <c r="CV25" s="59" t="inlineStr">
        <is>
          <t>Unqualified opinion</t>
        </is>
      </c>
      <c r="CW25" s="64" t="n">
        <v>49400000</v>
      </c>
      <c r="CX25" s="51" t="inlineStr">
        <is>
          <t>NA</t>
        </is>
      </c>
      <c r="CY25" s="142" t="n">
        <v>0</v>
      </c>
      <c r="CZ25" s="136" t="inlineStr">
        <is>
          <t>NA</t>
        </is>
      </c>
      <c r="DA25" s="143" t="n">
        <v>5297.23</v>
      </c>
      <c r="DB25" s="63" t="n">
        <v>162571</v>
      </c>
      <c r="DC25" s="63" t="n">
        <v>10774571500</v>
      </c>
      <c r="DD25" s="59" t="inlineStr">
        <is>
          <t>Subscription level 5,297.23 times</t>
        </is>
      </c>
      <c r="DE25" s="141" t="n">
        <v>46086</v>
      </c>
      <c r="DF25" s="141" t="n">
        <v>46087</v>
      </c>
      <c r="DG25" s="63" t="n">
        <v>20336000</v>
      </c>
      <c r="DH25" s="63" t="n">
        <v>2034000</v>
      </c>
      <c r="DI25" s="63" t="n">
        <v>18302000</v>
      </c>
      <c r="DJ25" s="63" t="n">
        <v>0</v>
      </c>
      <c r="DK25" s="169" t="n">
        <v>0</v>
      </c>
      <c r="DL25" s="59" t="inlineStr">
        <is>
          <t>Claw-back triggered: No</t>
        </is>
      </c>
      <c r="DM25" s="144" t="n">
        <v>175520000</v>
      </c>
      <c r="DN25" s="142" t="n">
        <v>0.3045</v>
      </c>
      <c r="DO25" s="51" t="n">
        <v>90336000</v>
      </c>
      <c r="DP25" s="142" t="n">
        <v>0.2251</v>
      </c>
      <c r="DQ25" s="59" t="inlineStr">
        <is>
          <t>Free float denominator = total number of issued Shares upon Listing (90,336,000 Shares); all existing Shareholders (70,000,000 Shares) are subject to a 12-month lock-up under applicable PRC laws and there are no cornerstone investors, so the free float consists of the 20,336,000 H Shares under the Global Offering.</t>
        </is>
      </c>
      <c r="DR25" s="63" t="n">
        <v>90336000</v>
      </c>
      <c r="DS25" s="142" t="n">
        <v>-0.0143655</v>
      </c>
      <c r="DT25" s="80" t="n">
        <v>48</v>
      </c>
      <c r="DU25" s="142" t="n">
        <v>0.024322</v>
      </c>
      <c r="DV25" s="144" t="n">
        <v>53891000000</v>
      </c>
      <c r="DW25" s="145" t="n">
        <v>6.2</v>
      </c>
      <c r="DX25" s="169" t="n">
        <v>-0.436364</v>
      </c>
      <c r="DY25" s="172" t="n">
        <v>-97612800</v>
      </c>
      <c r="DZ25" s="146" t="n">
        <v>7.5</v>
      </c>
      <c r="EA25" s="146" t="n">
        <v>7.9</v>
      </c>
      <c r="EB25" s="146" t="n">
        <v>6</v>
      </c>
      <c r="EC25" s="63" t="n">
        <v>18761400</v>
      </c>
      <c r="ED25" s="169" t="n">
        <v>0.922571</v>
      </c>
      <c r="EE25" s="64" t="n">
        <v>186591000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苏州优乐赛共享服务股份有限公司</t>
        </is>
      </c>
      <c r="EI25" s="174" t="inlineStr">
        <is>
          <t>Suspended</t>
        </is>
      </c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Standard</t>
        </is>
      </c>
      <c r="FF25" s="181" t="inlineStr">
        <is>
          <t>China International Capital Corporation / Sponsor-OC</t>
        </is>
      </c>
      <c r="FG25" s="185" t="inlineStr">
        <is>
          <t>2026-04-08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2026-03-09</t>
        </is>
      </c>
      <c r="FL25" s="178" t="n">
        <v>0</v>
      </c>
      <c r="FM25" s="176" t="n">
        <v>0</v>
      </c>
      <c r="FN25" s="176" t="n"/>
      <c r="FO25" s="176" t="n"/>
      <c r="FP25" s="176" t="n"/>
      <c r="FQ25" s="176" t="n">
        <v>-0.196774</v>
      </c>
      <c r="FR25" s="179" t="n">
        <v>0.8014</v>
      </c>
      <c r="FS25" s="176" t="n"/>
      <c r="FT25" s="179" t="n"/>
      <c r="FU25" s="176" t="n"/>
      <c r="FV25" s="179" t="n"/>
      <c r="FW25" s="179" t="n"/>
      <c r="FX25" s="178" t="n"/>
      <c r="FY25" s="186" t="n">
        <v>0.0141484375</v>
      </c>
      <c r="FZ25" s="183" t="n">
        <v>0</v>
      </c>
      <c r="GA25" s="176" t="n">
        <v>0.1111931833710854</v>
      </c>
      <c r="GB25" s="176" t="n">
        <v>0.532911</v>
      </c>
      <c r="GC25" s="185" t="inlineStr">
        <is>
          <t>2026-09-09</t>
        </is>
      </c>
      <c r="GD25" s="185" t="inlineStr">
        <is>
          <t>2027-03-09</t>
        </is>
      </c>
      <c r="GE25" s="176" t="n"/>
      <c r="GF25" s="176" t="n"/>
      <c r="GG25" s="179" t="n"/>
      <c r="GH25" s="181" t="inlineStr">
        <is>
          <t>China International Capital Corporation / Sponsor-OC</t>
        </is>
      </c>
      <c r="GI25" s="183" t="n">
        <v>0</v>
      </c>
      <c r="GJ25" s="183" t="n">
        <v>0</v>
      </c>
      <c r="GK25" s="176" t="n">
        <v>0.0003</v>
      </c>
      <c r="GL25" s="176" t="n">
        <v>0.01</v>
      </c>
      <c r="GM25" s="176" t="n">
        <v>0.0103</v>
      </c>
      <c r="GN25" s="183" t="n">
        <v>0</v>
      </c>
      <c r="GO25" s="183" t="n">
        <v>0</v>
      </c>
      <c r="GP25" s="183" t="n">
        <v>0</v>
      </c>
      <c r="GQ25" s="183" t="n">
        <v>3</v>
      </c>
      <c r="GR25" s="183" t="n">
        <v>1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25</v>
      </c>
      <c r="B26" s="47" t="inlineStr">
        <is>
          <t>2715.HK</t>
        </is>
      </c>
      <c r="C26" s="44" t="inlineStr">
        <is>
          <t>ESTUN AUTOMATION CO., LTD - H Shares</t>
        </is>
      </c>
      <c r="D26" s="130" t="n">
        <v>46080</v>
      </c>
      <c r="E26" s="48" t="n">
        <v>46090</v>
      </c>
      <c r="F26" s="43" t="inlineStr">
        <is>
          <t>Huatai Financial Holdings (Hong Kong) Limited</t>
        </is>
      </c>
      <c r="G26" s="43" t="inlineStr">
        <is>
          <t>KPMG</t>
        </is>
      </c>
      <c r="H26" s="43" t="inlineStr">
        <is>
          <t>N/A</t>
        </is>
      </c>
      <c r="I26" s="131" t="n">
        <v>148654080</v>
      </c>
      <c r="J26" s="148" t="n">
        <v>1337886720</v>
      </c>
      <c r="K26" s="133" t="n">
        <v>15.36</v>
      </c>
      <c r="L26" t="n">
        <v>967798453</v>
      </c>
      <c r="M26" s="67" t="n">
        <v>96780000</v>
      </c>
      <c r="N26" t="n">
        <v>871018453</v>
      </c>
      <c r="O26" t="n">
        <v>871018453</v>
      </c>
      <c r="P26" t="n">
        <v>0</v>
      </c>
      <c r="Q26" t="n">
        <v>96780000</v>
      </c>
      <c r="R26" s="67" t="n">
        <v>87102000</v>
      </c>
      <c r="S26" s="67" t="n">
        <v>9678000</v>
      </c>
      <c r="T26" s="147" t="n">
        <v>17</v>
      </c>
      <c r="U26" s="147" t="n">
        <v>15.36</v>
      </c>
      <c r="V26" s="169" t="n">
        <v>-0.05068</v>
      </c>
      <c r="W26" s="169" t="n">
        <v>0.10136</v>
      </c>
      <c r="X26" s="170" t="inlineStr">
        <is>
          <t>At low</t>
        </is>
      </c>
      <c r="Y26" s="26" t="inlineStr">
        <is>
          <t>RMB</t>
        </is>
      </c>
      <c r="Z26" s="137" t="n">
        <v>10081499000</v>
      </c>
      <c r="AA26" s="137" t="n">
        <v>10140899000</v>
      </c>
      <c r="AB26" s="137" t="n">
        <v>10133433000</v>
      </c>
      <c r="AC26" s="137" t="n">
        <v>2822014000</v>
      </c>
      <c r="AD26" s="137" t="n">
        <v>1892702000</v>
      </c>
      <c r="AE26" s="137" t="n">
        <v>1983749000</v>
      </c>
      <c r="AF26" s="137" t="n">
        <v>7259485000</v>
      </c>
      <c r="AG26" s="137" t="n">
        <v>8248197000</v>
      </c>
      <c r="AH26" s="137" t="n">
        <v>8149684000</v>
      </c>
      <c r="AI26" s="137" t="n">
        <v>4651949000</v>
      </c>
      <c r="AJ26" s="137" t="n">
        <v>4008772000</v>
      </c>
      <c r="AK26" s="137" t="n">
        <v>5071426666.666667</v>
      </c>
      <c r="AL26" s="137" t="n">
        <v>167537000</v>
      </c>
      <c r="AM26" s="137" t="n">
        <v>-775524000</v>
      </c>
      <c r="AN26" s="137" t="n">
        <v>79773333.33333333</v>
      </c>
      <c r="AO26" s="137" t="n">
        <v>133627000</v>
      </c>
      <c r="AP26" s="137" t="n">
        <v>-817685000</v>
      </c>
      <c r="AQ26" s="137" t="n">
        <v>39600000</v>
      </c>
      <c r="AR26" s="142" t="n">
        <v>0.016</v>
      </c>
      <c r="AS26" s="142" t="n">
        <v>0.016</v>
      </c>
      <c r="AT26" s="84" t="n">
        <v>0.15</v>
      </c>
      <c r="AU26" s="51" t="inlineStr">
        <is>
          <t>Leading industrial robotics company in China, offering (i) industrial robots and intelligent manufacturing systems and (ii) core automation components and motion control systems</t>
        </is>
      </c>
      <c r="AV26" s="51" t="inlineStr">
        <is>
          <t>Main Board; Rule 8.05(3) (market capitalization/revenue test); Chapter 19A PRC issuer (A+H)</t>
        </is>
      </c>
      <c r="AW26" s="136" t="n">
        <v>45930</v>
      </c>
      <c r="AX26" s="137" t="n">
        <v>300061000</v>
      </c>
      <c r="AY26" s="117" t="n">
        <v>1121966000</v>
      </c>
      <c r="AZ26" s="117" t="n">
        <v>318511000</v>
      </c>
      <c r="BA26" s="117" t="n">
        <v>35703000</v>
      </c>
      <c r="BB26" s="138" t="n">
        <v>0.372</v>
      </c>
      <c r="BC26" s="139" t="n">
        <v>0.75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None</t>
        </is>
      </c>
      <c r="BN26" s="165" t="n">
        <v>0</v>
      </c>
      <c r="BO26" s="51" t="inlineStr">
        <is>
          <t>自然人</t>
        </is>
      </c>
      <c r="BP26" s="135" t="n">
        <v>0.3794</v>
      </c>
      <c r="BQ26" s="135" t="n">
        <v>0.3794</v>
      </c>
      <c r="BR26" s="137" t="n">
        <v>4518826000</v>
      </c>
      <c r="BS26" s="51" t="inlineStr">
        <is>
          <t>规模商业化</t>
        </is>
      </c>
      <c r="BT26" s="142" t="n">
        <v>0.1</v>
      </c>
      <c r="BU26" s="60" t="inlineStr">
        <is>
          <t>Main Board</t>
        </is>
      </c>
      <c r="BV26" s="89" t="inlineStr">
        <is>
          <t>H Shares</t>
        </is>
      </c>
      <c r="BW26" s="61" t="n">
        <v>1</v>
      </c>
      <c r="BX26" s="77" t="n">
        <v>0</v>
      </c>
      <c r="BY26" s="77" t="n">
        <v>0</v>
      </c>
      <c r="BZ26" s="78" t="n">
        <v>0</v>
      </c>
      <c r="CA26" s="60" t="inlineStr">
        <is>
          <t>701030</t>
        </is>
      </c>
      <c r="CB26" s="76" t="inlineStr">
        <is>
          <t>HSICS (Hang Seng Industry Classification System) 2026</t>
        </is>
      </c>
      <c r="CC26" s="140" t="n">
        <v>37313</v>
      </c>
      <c r="CD26" s="171" t="n">
        <v>24.03</v>
      </c>
      <c r="CE26" s="76" t="inlineStr">
        <is>
          <t>PRC</t>
        </is>
      </c>
      <c r="CF26" s="89" t="inlineStr">
        <is>
          <t>Nanjing, Jiangsu Province, PRC</t>
        </is>
      </c>
      <c r="CG26" s="91" t="n">
        <v>1000</v>
      </c>
      <c r="CH26" s="60" t="inlineStr">
        <is>
          <t>IFRS Accounting Standards</t>
        </is>
      </c>
      <c r="CI26" s="141" t="n">
        <v>44927</v>
      </c>
      <c r="CJ26" s="141" t="n">
        <v>45291</v>
      </c>
      <c r="CK26" s="141" t="n">
        <v>45292</v>
      </c>
      <c r="CL26" s="141" t="n">
        <v>45657</v>
      </c>
      <c r="CM26" s="141" t="n">
        <v>45658</v>
      </c>
      <c r="CN26" s="64" t="n">
        <v>3803570000</v>
      </c>
      <c r="CO26" s="64" t="n">
        <v>59830000</v>
      </c>
      <c r="CP26" s="64" t="n">
        <v>29700000</v>
      </c>
      <c r="CQ26" s="141" t="n">
        <v>46080</v>
      </c>
      <c r="CR26" s="141" t="n">
        <v>46085</v>
      </c>
      <c r="CS26" s="63" t="n">
        <v>96780000</v>
      </c>
      <c r="CT26" s="64" t="n">
        <v>1070715000</v>
      </c>
      <c r="CU26" s="64" t="n">
        <v>171600000</v>
      </c>
      <c r="CV26" s="59" t="inlineStr">
        <is>
          <t>Unqualified opinion</t>
        </is>
      </c>
      <c r="CW26" s="64" t="n">
        <v>79900000</v>
      </c>
      <c r="CX26" s="51" t="inlineStr">
        <is>
          <t>Harvest Oriental; Hengtong Optic-electric International; Dream’ee HK Fund; Deep Source; Haitian Huayuan; New Fortune; Qianhai Hezhong Investment</t>
        </is>
      </c>
      <c r="CY26" s="142" t="n">
        <v>0.3518</v>
      </c>
      <c r="CZ26" s="136" t="n">
        <v>46274</v>
      </c>
      <c r="DA26" s="143" t="n">
        <v>19.67</v>
      </c>
      <c r="DB26" s="63" t="n">
        <v>27190</v>
      </c>
      <c r="DC26" s="63" t="n">
        <v>190369800</v>
      </c>
      <c r="DD26" s="59" t="inlineStr">
        <is>
          <t>Subscription level 19.67 times</t>
        </is>
      </c>
      <c r="DE26" s="141" t="n">
        <v>46086</v>
      </c>
      <c r="DF26" s="141" t="n">
        <v>46087</v>
      </c>
      <c r="DG26" s="63" t="n">
        <v>96780000</v>
      </c>
      <c r="DH26" s="63" t="n">
        <v>9678000</v>
      </c>
      <c r="DI26" s="63" t="n">
        <v>87102000</v>
      </c>
      <c r="DJ26" s="63" t="n">
        <v>0</v>
      </c>
      <c r="DK26" s="169" t="n">
        <v>0</v>
      </c>
      <c r="DL26" s="59" t="inlineStr">
        <is>
          <t>Claw-back triggered: N/A; final number of Offer Shares under the Hong Kong Public Offering = initial 9,678,000 (no shares reallocated from the International Offering)</t>
        </is>
      </c>
      <c r="DM26" s="144" t="n">
        <v>1411530000</v>
      </c>
      <c r="DN26" s="142" t="n">
        <v>0.1</v>
      </c>
      <c r="DO26" s="51" t="n">
        <v>967798453</v>
      </c>
      <c r="DP26" s="142" t="n">
        <v>0.0648</v>
      </c>
      <c r="DQ26" s="59" t="inlineStr">
        <is>
          <t>Total issued Shares upon Listing (before exercise of the Over-allotment Option) = 967,798,453; H Shares held by Cornerstone Investors upon Listing are excluded from free float (six-month lock-up)</t>
        </is>
      </c>
      <c r="DR26" s="63" t="n">
        <v>967798453</v>
      </c>
      <c r="DS26" s="142" t="n">
        <v>-0.0143655</v>
      </c>
      <c r="DT26" s="80" t="n">
        <v>48</v>
      </c>
      <c r="DU26" s="142" t="n">
        <v>0.024322</v>
      </c>
      <c r="DV26" s="144" t="n">
        <v>53891000000</v>
      </c>
      <c r="DW26" s="145" t="n">
        <v>12.9</v>
      </c>
      <c r="DX26" s="169" t="n">
        <v>-0.160156</v>
      </c>
      <c r="DY26" s="172" t="n">
        <v>-238078800</v>
      </c>
      <c r="DZ26" s="146" t="n">
        <v>15.36</v>
      </c>
      <c r="EA26" s="146" t="n">
        <v>15.36</v>
      </c>
      <c r="EB26" s="146" t="n">
        <v>12.5</v>
      </c>
      <c r="EC26" s="63" t="n">
        <v>20582460</v>
      </c>
      <c r="ED26" s="169" t="n">
        <v>0.212673</v>
      </c>
      <c r="EE26" s="64" t="n">
        <v>293044500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南京埃斯顿自动化股份有限公司</t>
        </is>
      </c>
      <c r="EI26" s="174" t="inlineStr">
        <is>
          <t>Active</t>
        </is>
      </c>
      <c r="EJ26" s="175" t="n">
        <v>12.87</v>
      </c>
      <c r="EK26" s="176" t="n">
        <v>-0.002326</v>
      </c>
      <c r="EL26" s="176" t="n">
        <v>-0.162109</v>
      </c>
      <c r="EM26" s="176" t="n">
        <v>0.019071</v>
      </c>
      <c r="EN26" s="176" t="n">
        <v>-0.00374</v>
      </c>
      <c r="EO26" s="179" t="n">
        <v>0.979</v>
      </c>
      <c r="EP26" s="179" t="n">
        <v>1.0014</v>
      </c>
      <c r="EQ26" s="178" t="n">
        <v>32601815</v>
      </c>
      <c r="ER26" s="175" t="n">
        <v>15.24</v>
      </c>
      <c r="ES26" s="176" t="n">
        <v>0.181395</v>
      </c>
      <c r="ET26" s="176" t="n">
        <v>-0.007812</v>
      </c>
      <c r="EU26" s="176" t="n">
        <v>-0.005254</v>
      </c>
      <c r="EV26" s="176" t="n">
        <v>-0.105417</v>
      </c>
      <c r="EW26" s="179" t="n">
        <v>1.1876</v>
      </c>
      <c r="EX26" s="179" t="n">
        <v>1.3206</v>
      </c>
      <c r="EY26" s="178" t="n">
        <v>104176330</v>
      </c>
      <c r="EZ26" s="176" t="n">
        <v>0.355497</v>
      </c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2026-04-08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2026-03-09</t>
        </is>
      </c>
      <c r="FL26" s="178" t="n">
        <v>0</v>
      </c>
      <c r="FM26" s="176" t="n">
        <v>0</v>
      </c>
      <c r="FN26" s="176" t="n">
        <v>0.075644</v>
      </c>
      <c r="FO26" s="176" t="n">
        <v>0.137529</v>
      </c>
      <c r="FP26" s="176" t="n">
        <v>0.790988</v>
      </c>
      <c r="FQ26" s="176" t="n">
        <v>0</v>
      </c>
      <c r="FR26" s="179" t="n">
        <v>0.9978</v>
      </c>
      <c r="FS26" s="176" t="n">
        <v>-0.002326</v>
      </c>
      <c r="FT26" s="179" t="n">
        <v>0.979</v>
      </c>
      <c r="FU26" s="176" t="n">
        <v>0.368217</v>
      </c>
      <c r="FV26" s="179" t="n">
        <v>1.4243</v>
      </c>
      <c r="FW26" s="179" t="n">
        <v>1.431</v>
      </c>
      <c r="FX26" s="178" t="n">
        <v>115302523.81</v>
      </c>
      <c r="FY26" s="186" t="n">
        <v>0.0009235873015873016</v>
      </c>
      <c r="FZ26" s="183" t="n">
        <v>0</v>
      </c>
      <c r="GA26" s="176" t="n">
        <v>0.0652665945109874</v>
      </c>
      <c r="GB26" s="176" t="n">
        <v>0.417876</v>
      </c>
      <c r="GC26" s="185" t="inlineStr">
        <is>
          <t>2026-09-09</t>
        </is>
      </c>
      <c r="GD26" s="185" t="inlineStr">
        <is>
          <t>2027-03-09</t>
        </is>
      </c>
      <c r="GE26" s="176" t="n">
        <v>-0.08606</v>
      </c>
      <c r="GF26" s="176" t="n">
        <v>-0.215582</v>
      </c>
      <c r="GG26" s="179" t="n">
        <v>0.3782</v>
      </c>
      <c r="GH26" s="181" t="inlineStr">
        <is>
          <t>China International Capital Corporation / Sponsor-OC</t>
        </is>
      </c>
      <c r="GI26" s="183" t="n">
        <v>0</v>
      </c>
      <c r="GJ26" s="183" t="n">
        <v>0</v>
      </c>
      <c r="GK26" s="176" t="n">
        <v>0.00016</v>
      </c>
      <c r="GL26" s="176" t="n">
        <v>0.01</v>
      </c>
      <c r="GM26" s="176" t="n">
        <v>0.01016</v>
      </c>
      <c r="GN26" s="183" t="n">
        <v>7</v>
      </c>
      <c r="GO26" s="183" t="n">
        <v>1</v>
      </c>
      <c r="GP26" s="183" t="n">
        <v>0</v>
      </c>
      <c r="GQ26" s="183" t="n">
        <v>0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26</v>
      </c>
      <c r="B27" s="47" t="inlineStr">
        <is>
          <t>2692.HK</t>
        </is>
      </c>
      <c r="C27" s="44" t="inlineStr">
        <is>
          <t>Shenzhen Zhaowei Machinery &amp; Electronics Co., Ltd. - H Shares</t>
        </is>
      </c>
      <c r="D27" s="130" t="n">
        <v>46080</v>
      </c>
      <c r="E27" s="48" t="n">
        <v>46090</v>
      </c>
      <c r="F27" s="43" t="inlineStr">
        <is>
          <t>China Merchants Securities (HK) Co., Limited / Deutsche Securities Asia Limited</t>
        </is>
      </c>
      <c r="G27" s="43" t="inlineStr">
        <is>
          <t>Ernst &amp; Young</t>
        </is>
      </c>
      <c r="H27" s="43" t="inlineStr">
        <is>
          <t>N/A</t>
        </is>
      </c>
      <c r="I27" s="131" t="n">
        <v>190666872</v>
      </c>
      <c r="J27" s="148" t="n">
        <v>1715951952</v>
      </c>
      <c r="K27" s="133" t="n">
        <v>71.28</v>
      </c>
      <c r="L27" t="n">
        <v>267482700</v>
      </c>
      <c r="M27" s="67" t="n">
        <v>26748300</v>
      </c>
      <c r="N27" t="n">
        <v>240734400</v>
      </c>
      <c r="O27" t="n">
        <v>240734400</v>
      </c>
      <c r="P27" t="n">
        <v>0</v>
      </c>
      <c r="Q27" t="n">
        <v>26748300</v>
      </c>
      <c r="R27" s="67" t="n">
        <v>24073400</v>
      </c>
      <c r="S27" s="67" t="n">
        <v>2674900</v>
      </c>
      <c r="T27" s="147" t="n">
        <v>73.68000000000001</v>
      </c>
      <c r="U27" s="147" t="inlineStr">
        <is>
          <t>NaN</t>
        </is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3804044000</v>
      </c>
      <c r="AA27" s="137" t="n">
        <v>4121910000</v>
      </c>
      <c r="AB27" s="137" t="n">
        <v>4236374000</v>
      </c>
      <c r="AC27" s="137" t="n">
        <v>3087682000</v>
      </c>
      <c r="AD27" s="137" t="n">
        <v>3226211000</v>
      </c>
      <c r="AE27" s="137" t="n">
        <v>3406966000</v>
      </c>
      <c r="AF27" s="137" t="n">
        <v>716362000</v>
      </c>
      <c r="AG27" s="137" t="n">
        <v>895699000</v>
      </c>
      <c r="AH27" s="137" t="n">
        <v>829408000</v>
      </c>
      <c r="AI27" s="137" t="n">
        <v>1205945000</v>
      </c>
      <c r="AJ27" s="137" t="n">
        <v>1524599000</v>
      </c>
      <c r="AK27" s="137" t="n">
        <v>1673585333.333333</v>
      </c>
      <c r="AL27" s="137" t="n">
        <v>192175000</v>
      </c>
      <c r="AM27" s="137" t="n">
        <v>244716000</v>
      </c>
      <c r="AN27" s="137" t="n">
        <v>265650666.6666667</v>
      </c>
      <c r="AO27" s="137" t="n">
        <v>179923000</v>
      </c>
      <c r="AP27" s="137" t="n">
        <v>225419000</v>
      </c>
      <c r="AQ27" s="137" t="n">
        <v>242813333.3333333</v>
      </c>
      <c r="AR27" s="142" t="n">
        <v>0.017</v>
      </c>
      <c r="AS27" s="142" t="n">
        <v>0.017</v>
      </c>
      <c r="AT27" s="84" t="n">
        <v>0</v>
      </c>
      <c r="AU27" s="51" t="inlineStr">
        <is>
          <t>No. 1 provider of integrated micro transmission and drive system products in China and No. 4 globally; designs, manufactures and sells micro transmission and drive systems and precision components</t>
        </is>
      </c>
      <c r="AV27" s="51" t="inlineStr">
        <is>
          <t>Main Board; Chapter 19A PRC issuer with other listed shares (A+H)</t>
        </is>
      </c>
      <c r="AW27" s="136" t="n">
        <v>45930</v>
      </c>
      <c r="AX27" s="137" t="n">
        <v>102235000</v>
      </c>
      <c r="AY27" s="117" t="n">
        <v>211312000</v>
      </c>
      <c r="AZ27" s="117" t="n">
        <v>127914000</v>
      </c>
      <c r="BA27" s="117" t="n">
        <v>0</v>
      </c>
      <c r="BB27" s="138" t="n">
        <v>0.442</v>
      </c>
      <c r="BC27" s="139" t="n">
        <v>0.75</v>
      </c>
      <c r="BD27" s="80" t="n">
        <v>0</v>
      </c>
      <c r="BE27" s="161" t="n">
        <v>0</v>
      </c>
      <c r="BF27" s="161" t="n">
        <v>0</v>
      </c>
      <c r="BG27" s="161" t="n">
        <v>0</v>
      </c>
      <c r="BH27" s="161" t="n">
        <v>0</v>
      </c>
      <c r="BI27" s="161" t="n">
        <v>0</v>
      </c>
      <c r="BJ27" s="162" t="inlineStr">
        <is>
          <t>NA</t>
        </is>
      </c>
      <c r="BK27" s="163" t="n">
        <v>0</v>
      </c>
      <c r="BL27" s="161" t="n">
        <v>0</v>
      </c>
      <c r="BM27" s="164" t="inlineStr">
        <is>
          <t>None</t>
        </is>
      </c>
      <c r="BN27" s="165" t="n">
        <v>0</v>
      </c>
      <c r="BO27" s="51" t="inlineStr">
        <is>
          <t>自然人</t>
        </is>
      </c>
      <c r="BP27" s="135" t="n">
        <v>0.5616</v>
      </c>
      <c r="BQ27" s="135" t="n">
        <v>0.5616</v>
      </c>
      <c r="BR27" s="137" t="n">
        <v>152807000</v>
      </c>
      <c r="BS27" s="51" t="inlineStr">
        <is>
          <t>商业化/已量产（首批商业化高自由度灵巧手产品；微型传动系统已实现量产）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1</v>
      </c>
      <c r="BX27" s="77" t="n">
        <v>0</v>
      </c>
      <c r="BY27" s="77" t="n">
        <v>0</v>
      </c>
      <c r="BZ27" s="78" t="n">
        <v>0</v>
      </c>
      <c r="CA27" s="60" t="inlineStr">
        <is>
          <t>101020</t>
        </is>
      </c>
      <c r="CB27" s="76" t="inlineStr">
        <is>
          <t>HSICS (Hang Seng Industry Classification System) 2026</t>
        </is>
      </c>
      <c r="CC27" s="140" t="n">
        <v>37000</v>
      </c>
      <c r="CD27" s="171" t="n">
        <v>24.89</v>
      </c>
      <c r="CE27" s="76" t="inlineStr">
        <is>
          <t>PRC</t>
        </is>
      </c>
      <c r="CF27" s="89" t="inlineStr">
        <is>
          <t>Shenzhen,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1255189000</v>
      </c>
      <c r="CO27" s="64" t="n">
        <v>199238000</v>
      </c>
      <c r="CP27" s="64" t="n">
        <v>182110000</v>
      </c>
      <c r="CQ27" s="141" t="n">
        <v>46080</v>
      </c>
      <c r="CR27" s="141" t="n">
        <v>46085</v>
      </c>
      <c r="CS27" s="63" t="n">
        <v>26748300</v>
      </c>
      <c r="CT27" s="64" t="n">
        <v>409937000</v>
      </c>
      <c r="CU27" s="64" t="n">
        <v>123856000</v>
      </c>
      <c r="CV27" s="59" t="inlineStr">
        <is>
          <t>无保留意见 (Unqualified opinion)</t>
        </is>
      </c>
      <c r="CW27" s="64" t="n">
        <v>78500000</v>
      </c>
      <c r="CX27" s="51" t="inlineStr">
        <is>
          <t>HHLRA; Mirae Asset Securities HK; Perseverance Asset Management; Da Cheng International; GF Fund HK; Oakwise Growth Fund; Jump Trading; VVC Technology; FMF; Taihu Golden Valley; Topstar Worldwide; Virtues Capital and China Securities (International) Investment Company Limited (in connection with the OTC Swaps); Hengbang and China Galaxy International Investment Company Limited (in connection with the Hengbang OTC Swaps); W Investment; BeingBoom Capital; Mr. He Maoling; Mr. Luo Jie; Bridge Zone Group; CMBC International; RIME; Main Source Capital</t>
        </is>
      </c>
      <c r="CY27" s="142" t="n">
        <v>0.3417</v>
      </c>
      <c r="CZ27" s="136" t="n">
        <v>46274</v>
      </c>
      <c r="DA27" s="143" t="n">
        <v>1536.76</v>
      </c>
      <c r="DB27" s="63" t="n">
        <v>180292</v>
      </c>
      <c r="DC27" s="63" t="n">
        <v>4110686100</v>
      </c>
      <c r="DD27" s="59" t="inlineStr">
        <is>
          <t>Subscription level 1,536.76 times</t>
        </is>
      </c>
      <c r="DE27" s="141" t="n">
        <v>46086</v>
      </c>
      <c r="DF27" s="141" t="n">
        <v>46087</v>
      </c>
      <c r="DG27" s="63" t="n">
        <v>26748300</v>
      </c>
      <c r="DH27" s="63" t="n">
        <v>2674900</v>
      </c>
      <c r="DI27" s="63" t="n">
        <v>24073400</v>
      </c>
      <c r="DJ27" s="63" t="n">
        <v>0</v>
      </c>
      <c r="DK27" s="169" t="n">
        <v>0</v>
      </c>
      <c r="DL27" s="59" t="inlineStr">
        <is>
          <t>Claw-back triggered: N/A; final HK Public Offering shares (2,674,900) equal the number initially available (2,674,900), i.e. no claw-back and no reallocation from the International Offering</t>
        </is>
      </c>
      <c r="DM27" s="144" t="n">
        <v>1827730000</v>
      </c>
      <c r="DN27" s="142" t="n">
        <v>0.1</v>
      </c>
      <c r="DO27" s="51" t="n">
        <v>267482700</v>
      </c>
      <c r="DP27" s="142" t="n">
        <v>0.0658</v>
      </c>
      <c r="DQ27" s="59" t="inlineStr">
        <is>
          <t>Free float denominator = number of issued Shares upon Listing (before exercise of the Over-allotment Option) = 267,482,700 Shares (240,734,400 A Shares + 26,748,300 H Shares); H Shares held by the Cornerstone Investors (9,140,700, six-month lock-up) are excluded from the free float</t>
        </is>
      </c>
      <c r="DR27" s="63" t="n">
        <v>267482700</v>
      </c>
      <c r="DS27" s="142" t="n">
        <v>-0.0143655</v>
      </c>
      <c r="DT27" s="80" t="n">
        <v>48</v>
      </c>
      <c r="DU27" s="142" t="n">
        <v>0.024322</v>
      </c>
      <c r="DV27" s="144" t="n">
        <v>53891000000</v>
      </c>
      <c r="DW27" s="145" t="n">
        <v>72.56399999999999</v>
      </c>
      <c r="DX27" s="169" t="n">
        <v>0.018013</v>
      </c>
      <c r="DY27" s="172" t="n">
        <v>34344817.2</v>
      </c>
      <c r="DZ27" s="146" t="n">
        <v>77.56399999999999</v>
      </c>
      <c r="EA27" s="146" t="n">
        <v>79.364</v>
      </c>
      <c r="EB27" s="146" t="n">
        <v>71.164</v>
      </c>
      <c r="EC27" s="63" t="n">
        <v>5117000</v>
      </c>
      <c r="ED27" s="169" t="n">
        <v>0.191302</v>
      </c>
      <c r="EE27" s="64" t="n">
        <v>400713230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深圳市兆威机电股份有限公司</t>
        </is>
      </c>
      <c r="EI27" s="174" t="inlineStr">
        <is>
          <t>Active</t>
        </is>
      </c>
      <c r="EJ27" s="175" t="n">
        <v>66.264</v>
      </c>
      <c r="EK27" s="176" t="n">
        <v>-0.08681999999999999</v>
      </c>
      <c r="EL27" s="176" t="n">
        <v>-0.07037</v>
      </c>
      <c r="EM27" s="176" t="n">
        <v>0.019071</v>
      </c>
      <c r="EN27" s="176" t="n">
        <v>-0.00374</v>
      </c>
      <c r="EO27" s="179" t="n">
        <v>0.8961</v>
      </c>
      <c r="EP27" s="179" t="n">
        <v>0.9166</v>
      </c>
      <c r="EQ27" s="178" t="n">
        <v>112419648.5</v>
      </c>
      <c r="ER27" s="175" t="n">
        <v>38.66</v>
      </c>
      <c r="ES27" s="176" t="n">
        <v>-0.467229</v>
      </c>
      <c r="ET27" s="176" t="n">
        <v>-0.457632</v>
      </c>
      <c r="EU27" s="176" t="n">
        <v>-0.005254</v>
      </c>
      <c r="EV27" s="176" t="n">
        <v>-0.105417</v>
      </c>
      <c r="EW27" s="179" t="n">
        <v>0.5356</v>
      </c>
      <c r="EX27" s="179" t="n">
        <v>0.5956</v>
      </c>
      <c r="EY27" s="178" t="n">
        <v>16944749.5</v>
      </c>
      <c r="EZ27" s="176" t="n">
        <v>0.042286</v>
      </c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2026-04-08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2026-03-09</t>
        </is>
      </c>
      <c r="FL27" s="178" t="n">
        <v>0</v>
      </c>
      <c r="FM27" s="176" t="n">
        <v>0</v>
      </c>
      <c r="FN27" s="176" t="n">
        <v>-0.022688</v>
      </c>
      <c r="FO27" s="176" t="n">
        <v>0.041501</v>
      </c>
      <c r="FP27" s="176" t="n">
        <v>0.43797</v>
      </c>
      <c r="FQ27" s="176" t="n">
        <v>0.053057</v>
      </c>
      <c r="FR27" s="179" t="n">
        <v>1.0507</v>
      </c>
      <c r="FS27" s="176" t="n">
        <v>-0.08681999999999999</v>
      </c>
      <c r="FT27" s="179" t="n">
        <v>0.8961</v>
      </c>
      <c r="FU27" s="176" t="n">
        <v>-0.123532</v>
      </c>
      <c r="FV27" s="179" t="n">
        <v>0.9124</v>
      </c>
      <c r="FW27" s="179" t="n">
        <v>0.9167</v>
      </c>
      <c r="FX27" s="178" t="n">
        <v>101005675.56</v>
      </c>
      <c r="FY27" s="186" t="n">
        <v>0.001005666666666667</v>
      </c>
      <c r="FZ27" s="183" t="n">
        <v>0</v>
      </c>
      <c r="GA27" s="176" t="n">
        <v>0.05683499822706942</v>
      </c>
      <c r="GB27" s="176" t="n">
        <v>0.592005</v>
      </c>
      <c r="GC27" s="185" t="inlineStr">
        <is>
          <t>2026-09-09</t>
        </is>
      </c>
      <c r="GD27" s="185" t="inlineStr">
        <is>
          <t>2027-03-09</t>
        </is>
      </c>
      <c r="GE27" s="176" t="n">
        <v>-0.007655</v>
      </c>
      <c r="GF27" s="176" t="n">
        <v>-0.176957</v>
      </c>
      <c r="GG27" s="179" t="n">
        <v>0.5975</v>
      </c>
      <c r="GH27" s="181" t="inlineStr">
        <is>
          <t>China International Capital Corporation / Sponsor-OC</t>
        </is>
      </c>
      <c r="GI27" s="183" t="n">
        <v>0</v>
      </c>
      <c r="GJ27" s="183" t="n">
        <v>0</v>
      </c>
      <c r="GK27" s="176" t="n">
        <v>0.00017</v>
      </c>
      <c r="GL27" s="176" t="n">
        <v>0.01</v>
      </c>
      <c r="GM27" s="176" t="n">
        <v>0.01017</v>
      </c>
      <c r="GN27" s="183" t="n">
        <v>21</v>
      </c>
      <c r="GO27" s="183" t="n">
        <v>1</v>
      </c>
      <c r="GP27" s="183" t="n">
        <v>0</v>
      </c>
      <c r="GQ27" s="183" t="n">
        <v>0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27</v>
      </c>
      <c r="B28" s="47" t="inlineStr">
        <is>
          <t>3268.HK</t>
        </is>
      </c>
      <c r="C28" s="44" t="inlineStr">
        <is>
          <t>MeiG Smart Technology Co., Ltd. - H Shares</t>
        </is>
      </c>
      <c r="D28" s="130" t="n">
        <v>46080</v>
      </c>
      <c r="E28" s="48" t="n">
        <v>46091</v>
      </c>
      <c r="F28" s="43" t="inlineStr">
        <is>
          <t>China International Capital Corporation Hong Kong Securities Ltd.</t>
        </is>
      </c>
      <c r="G28" s="43" t="inlineStr">
        <is>
          <t>Ernst &amp; Young</t>
        </is>
      </c>
      <c r="H28" s="43" t="inlineStr">
        <is>
          <t>N/A</t>
        </is>
      </c>
      <c r="I28" s="131" t="n">
        <v>101010000</v>
      </c>
      <c r="J28" s="148" t="n">
        <v>1060605000</v>
      </c>
      <c r="K28" s="133" t="n">
        <v>28.86</v>
      </c>
      <c r="L28" t="n">
        <v>296756700</v>
      </c>
      <c r="M28" s="67" t="n">
        <v>35000000</v>
      </c>
      <c r="N28" t="n">
        <v>261756700</v>
      </c>
      <c r="O28" t="n">
        <v>261756700</v>
      </c>
      <c r="P28" t="n">
        <v>0</v>
      </c>
      <c r="Q28" t="n">
        <v>35000000</v>
      </c>
      <c r="R28" s="67" t="n">
        <v>31500000</v>
      </c>
      <c r="S28" s="67" t="n">
        <v>3500000</v>
      </c>
      <c r="T28" s="147" t="n">
        <v>28.86</v>
      </c>
      <c r="U28" s="147" t="inlineStr">
        <is>
          <t>NaN</t>
        </is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2144722000</v>
      </c>
      <c r="AA28" s="137" t="n">
        <v>2759557000</v>
      </c>
      <c r="AB28" s="137" t="n">
        <v>2850665000</v>
      </c>
      <c r="AC28" s="137" t="n">
        <v>1479793000</v>
      </c>
      <c r="AD28" s="137" t="n">
        <v>1567113000</v>
      </c>
      <c r="AE28" s="137" t="n">
        <v>1681325000</v>
      </c>
      <c r="AF28" s="137" t="n">
        <v>664929000</v>
      </c>
      <c r="AG28" s="137" t="n">
        <v>1192444000</v>
      </c>
      <c r="AH28" s="137" t="n">
        <v>1169340000</v>
      </c>
      <c r="AI28" s="137" t="n">
        <v>2147336000</v>
      </c>
      <c r="AJ28" s="137" t="n">
        <v>2941374000</v>
      </c>
      <c r="AK28" s="137" t="n">
        <v>3761717333.333333</v>
      </c>
      <c r="AL28" s="137" t="n">
        <v>63127000</v>
      </c>
      <c r="AM28" s="137" t="n">
        <v>124141000</v>
      </c>
      <c r="AN28" s="137" t="n">
        <v>162853333.3333333</v>
      </c>
      <c r="AO28" s="137" t="n">
        <v>62609000</v>
      </c>
      <c r="AP28" s="137" t="n">
        <v>134375000</v>
      </c>
      <c r="AQ28" s="137" t="n">
        <v>150893333.3333333</v>
      </c>
      <c r="AR28" s="142" t="n">
        <v>0.0265</v>
      </c>
      <c r="AS28" s="142" t="n">
        <v>0.0265</v>
      </c>
      <c r="AT28" s="84" t="n">
        <v>0.15</v>
      </c>
      <c r="AU28" s="51" t="inlineStr">
        <is>
          <t>Wireless communication modules and solutions (focus on smart modules, particularly high-computing-power smart modules; applied across general IoT, ICV and wireless broadband sectors)</t>
        </is>
      </c>
      <c r="AV28" s="51" t="inlineStr">
        <is>
          <t>Main Board; Chapter 19A PRC issuer with other listed shares (A+H)</t>
        </is>
      </c>
      <c r="AW28" s="136" t="n">
        <v>45930</v>
      </c>
      <c r="AX28" s="137" t="n">
        <v>44460000</v>
      </c>
      <c r="AY28" s="117" t="n">
        <v>315854000</v>
      </c>
      <c r="AZ28" s="117" t="n">
        <v>153125000</v>
      </c>
      <c r="BA28" s="117" t="n">
        <v>8420000</v>
      </c>
      <c r="BB28" s="138" t="n">
        <v>0.495</v>
      </c>
      <c r="BC28" s="139" t="n">
        <v>0.75</v>
      </c>
      <c r="BD28" s="80" t="n">
        <v>1</v>
      </c>
      <c r="BE28" s="161" t="n">
        <v>1</v>
      </c>
      <c r="BF28" s="161" t="n">
        <v>0</v>
      </c>
      <c r="BG28" s="161" t="n">
        <v>0</v>
      </c>
      <c r="BH28" s="161" t="n">
        <v>0</v>
      </c>
      <c r="BI28" s="161" t="n">
        <v>0</v>
      </c>
      <c r="BJ28" s="162" t="inlineStr">
        <is>
          <t>Fenghuangshan Investment</t>
        </is>
      </c>
      <c r="BK28" s="163" t="n">
        <v>0.052</v>
      </c>
      <c r="BL28" s="161" t="n">
        <v>0</v>
      </c>
      <c r="BM28" s="164" t="inlineStr">
        <is>
          <t>Pre-IPO</t>
        </is>
      </c>
      <c r="BN28" s="165" t="n">
        <v>4.5</v>
      </c>
      <c r="BO28" s="51" t="inlineStr">
        <is>
          <t>自然人</t>
        </is>
      </c>
      <c r="BP28" s="135" t="n">
        <v>0.4336</v>
      </c>
      <c r="BQ28" s="135" t="n">
        <v>0.4336</v>
      </c>
      <c r="BR28" s="137" t="n">
        <v>358339000</v>
      </c>
      <c r="BS28" s="51" t="inlineStr">
        <is>
          <t>已量产（Mass production）</t>
        </is>
      </c>
      <c r="BT28" s="142" t="n">
        <v>0.15</v>
      </c>
      <c r="BU28" s="60" t="inlineStr">
        <is>
          <t>Main Board</t>
        </is>
      </c>
      <c r="BV28" s="89" t="inlineStr">
        <is>
          <t>H Shares</t>
        </is>
      </c>
      <c r="BW28" s="61" t="n">
        <v>1</v>
      </c>
      <c r="BX28" s="77" t="n">
        <v>0</v>
      </c>
      <c r="BY28" s="77" t="n">
        <v>0</v>
      </c>
      <c r="BZ28" s="78" t="n">
        <v>0</v>
      </c>
      <c r="CA28" s="60" t="inlineStr">
        <is>
          <t>701010</t>
        </is>
      </c>
      <c r="CB28" s="76" t="inlineStr">
        <is>
          <t>HSICS (Hang Seng Industry Classification System) 2026</t>
        </is>
      </c>
      <c r="CC28" s="140" t="n">
        <v>39177</v>
      </c>
      <c r="CD28" s="171" t="n">
        <v>18.93</v>
      </c>
      <c r="CE28" s="76" t="inlineStr">
        <is>
          <t>PRC</t>
        </is>
      </c>
      <c r="CF28" s="89" t="inlineStr">
        <is>
          <t>Shenzhen, PRC</t>
        </is>
      </c>
      <c r="CG28" s="91" t="n">
        <v>1000</v>
      </c>
      <c r="CH28" s="60" t="inlineStr">
        <is>
          <t>IFRS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2821288000</v>
      </c>
      <c r="CO28" s="64" t="n">
        <v>122140000</v>
      </c>
      <c r="CP28" s="64" t="n">
        <v>113170000</v>
      </c>
      <c r="CQ28" s="141" t="n">
        <v>46080</v>
      </c>
      <c r="CR28" s="141" t="n">
        <v>46086</v>
      </c>
      <c r="CS28" s="63" t="n">
        <v>35000000</v>
      </c>
      <c r="CT28" s="64" t="n">
        <v>356579000</v>
      </c>
      <c r="CU28" s="64" t="n">
        <v>21966000</v>
      </c>
      <c r="CV28" s="59" t="inlineStr">
        <is>
          <t>无保留意见</t>
        </is>
      </c>
      <c r="CW28" s="64" t="n">
        <v>65600000</v>
      </c>
      <c r="CX28" s="51" t="inlineStr">
        <is>
          <t>Baoyue Lake Shenzhen Industrial Investment Win-Win Enterprise Management Limited (Baoyue Win-Win); Meiko Elec. Hong Kong Co., Limited (Meiko HK); Streamax Electronics Limited (Streamax Electronics); Harvest International Premium Value (Secondary Market) Fund SPC on behalf of Harvest Oriental SP (Harvest); Jinyi Capital Multi-Strategy Fund SPC Ltd. (JinYi Capital); Open Wealth Management Limited (Open Wealth); China Winning Limited (China Winning); Chau Tsang Cheong (Mr. Chau)</t>
        </is>
      </c>
      <c r="CY28" s="142" t="n">
        <v>0.3947</v>
      </c>
      <c r="CZ28" s="136" t="n">
        <v>46275</v>
      </c>
      <c r="DA28" s="143" t="n">
        <v>174.12</v>
      </c>
      <c r="DB28" s="63" t="n">
        <v>57965</v>
      </c>
      <c r="DC28" s="63" t="n">
        <v>609436500</v>
      </c>
      <c r="DD28" s="59" t="inlineStr">
        <is>
          <t>Subscription level 174.12 times</t>
        </is>
      </c>
      <c r="DE28" s="141" t="n">
        <v>46087</v>
      </c>
      <c r="DF28" s="141" t="n">
        <v>46090</v>
      </c>
      <c r="DG28" s="63" t="n">
        <v>40250000</v>
      </c>
      <c r="DH28" s="63" t="n">
        <v>3500000</v>
      </c>
      <c r="DI28" s="63" t="n">
        <v>36750000</v>
      </c>
      <c r="DJ28" s="63" t="n">
        <v>0</v>
      </c>
      <c r="DK28" s="169" t="n">
        <v>0</v>
      </c>
      <c r="DL28" s="59" t="inlineStr">
        <is>
          <t>Claw-back triggered: N/A（无回拨，国际配售未向公开发售重新分配股份）</t>
        </is>
      </c>
      <c r="DM28" s="144" t="n">
        <v>1090800000</v>
      </c>
      <c r="DN28" s="142" t="n">
        <v>0.1333</v>
      </c>
      <c r="DO28" s="51" t="n">
        <v>302006700</v>
      </c>
      <c r="DP28" s="142" t="n">
        <v>0.08069999999999999</v>
      </c>
      <c r="DQ28" s="59" t="inlineStr">
        <is>
          <t>Free float shares = Offer Shares under the Global Offering after full exercise of the Offer Size Adjustment Option but before the Over-allotment Option (col_CS = 40,250,000) less H Shares allocated to Cornerstone Investors (15,887,400, subject to a six-month lock-up); denominator = total issued share capital of the Company upon Listing (302,006,700 Shares).</t>
        </is>
      </c>
      <c r="DR28" s="63" t="n">
        <v>302006700</v>
      </c>
      <c r="DS28" s="142" t="n">
        <v>-0.0143655</v>
      </c>
      <c r="DT28" s="80" t="n">
        <v>48</v>
      </c>
      <c r="DU28" s="142" t="n">
        <v>0.024322</v>
      </c>
      <c r="DV28" s="144" t="n">
        <v>53891000000</v>
      </c>
      <c r="DW28" s="145" t="n">
        <v>29.185</v>
      </c>
      <c r="DX28" s="169" t="n">
        <v>0.011261</v>
      </c>
      <c r="DY28" s="172" t="n">
        <v>13081250</v>
      </c>
      <c r="DZ28" s="146" t="n">
        <v>28.925</v>
      </c>
      <c r="EA28" s="146" t="n">
        <v>30.545</v>
      </c>
      <c r="EB28" s="146" t="n">
        <v>28.305</v>
      </c>
      <c r="EC28" s="63" t="n">
        <v>9834700</v>
      </c>
      <c r="ED28" s="169" t="n">
        <v>0.24434</v>
      </c>
      <c r="EE28" s="64" t="n">
        <v>286433680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美格智能技术股份有限公司</t>
        </is>
      </c>
      <c r="EI28" s="174" t="inlineStr">
        <is>
          <t>Active</t>
        </is>
      </c>
      <c r="EJ28" s="175" t="n">
        <v>21.685</v>
      </c>
      <c r="EK28" s="176" t="n">
        <v>-0.256981</v>
      </c>
      <c r="EL28" s="176" t="n">
        <v>-0.248614</v>
      </c>
      <c r="EM28" s="176" t="n">
        <v>-0.007993</v>
      </c>
      <c r="EN28" s="176" t="n">
        <v>-0.047201</v>
      </c>
      <c r="EO28" s="179" t="n">
        <v>0.749</v>
      </c>
      <c r="EP28" s="179" t="n">
        <v>0.7798</v>
      </c>
      <c r="EQ28" s="178" t="n">
        <v>81812920.5</v>
      </c>
      <c r="ER28" s="175" t="n">
        <v>19.75</v>
      </c>
      <c r="ES28" s="176" t="n">
        <v>-0.323283</v>
      </c>
      <c r="ET28" s="176" t="n">
        <v>-0.315662</v>
      </c>
      <c r="EU28" s="176" t="n">
        <v>-0.03873</v>
      </c>
      <c r="EV28" s="176" t="n">
        <v>-0.144262</v>
      </c>
      <c r="EW28" s="179" t="n">
        <v>0.704</v>
      </c>
      <c r="EX28" s="179" t="n">
        <v>0.7907999999999999</v>
      </c>
      <c r="EY28" s="178" t="n">
        <v>32272255.5</v>
      </c>
      <c r="EZ28" s="176" t="n">
        <v>0.112669</v>
      </c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/ Sponsor-OC</t>
        </is>
      </c>
      <c r="FG28" s="185" t="inlineStr">
        <is>
          <t>2026-04-09</t>
        </is>
      </c>
      <c r="FH28" s="183" t="n">
        <v>0</v>
      </c>
      <c r="FI28" s="178" t="n">
        <v>0</v>
      </c>
      <c r="FJ28" s="176" t="n">
        <v>0.15</v>
      </c>
      <c r="FK28" s="185" t="inlineStr">
        <is>
          <t>2026-03-10</t>
        </is>
      </c>
      <c r="FL28" s="178" t="n">
        <v>0</v>
      </c>
      <c r="FM28" s="176" t="n">
        <v>1</v>
      </c>
      <c r="FN28" s="176" t="n">
        <v>0.123077</v>
      </c>
      <c r="FO28" s="176" t="n">
        <v>0.077473</v>
      </c>
      <c r="FP28" s="176" t="n">
        <v>0.428412</v>
      </c>
      <c r="FQ28" s="176" t="n">
        <v>-0.078808</v>
      </c>
      <c r="FR28" s="179" t="n">
        <v>0.9257</v>
      </c>
      <c r="FS28" s="176" t="n">
        <v>-0.256981</v>
      </c>
      <c r="FT28" s="179" t="n">
        <v>0.749</v>
      </c>
      <c r="FU28" s="176" t="n">
        <v>-0.283707</v>
      </c>
      <c r="FV28" s="179" t="n">
        <v>0.7668</v>
      </c>
      <c r="FW28" s="179" t="n">
        <v>0.7786</v>
      </c>
      <c r="FX28" s="178" t="n">
        <v>56182070.79</v>
      </c>
      <c r="FY28" s="186" t="n">
        <v>0.001633738095238095</v>
      </c>
      <c r="FZ28" s="183" t="n">
        <v>0</v>
      </c>
      <c r="GA28" s="176" t="n">
        <v>0.04941026501476909</v>
      </c>
      <c r="GB28" s="176" t="n">
        <v>0.531081</v>
      </c>
      <c r="GC28" s="185" t="inlineStr">
        <is>
          <t>2026-09-10</t>
        </is>
      </c>
      <c r="GD28" s="185" t="inlineStr">
        <is>
          <t>2027-03-10</t>
        </is>
      </c>
      <c r="GE28" s="176" t="n">
        <v>0.042751</v>
      </c>
      <c r="GF28" s="176" t="n">
        <v>0.207109</v>
      </c>
      <c r="GG28" s="179" t="n">
        <v>0.4647</v>
      </c>
      <c r="GH28" s="181" t="inlineStr">
        <is>
          <t>China International Capital Corporation / Sponsor-OC</t>
        </is>
      </c>
      <c r="GI28" s="183" t="n">
        <v>0</v>
      </c>
      <c r="GJ28" s="183" t="n">
        <v>0</v>
      </c>
      <c r="GK28" s="176" t="n">
        <v>0.000265</v>
      </c>
      <c r="GL28" s="176" t="n">
        <v>0.01</v>
      </c>
      <c r="GM28" s="176" t="n">
        <v>0.010265</v>
      </c>
      <c r="GN28" s="183" t="n">
        <v>9</v>
      </c>
      <c r="GO28" s="183" t="n">
        <v>1</v>
      </c>
      <c r="GP28" s="183" t="n">
        <v>0</v>
      </c>
      <c r="GQ28" s="183" t="n">
        <v>1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29</v>
      </c>
      <c r="B29" s="47" t="inlineStr">
        <is>
          <t>1989.HK</t>
        </is>
      </c>
      <c r="C29" s="44" t="inlineStr">
        <is>
          <t>Delton Technology (Guangzhou) Inc. - H Shares</t>
        </is>
      </c>
      <c r="D29" s="130" t="n">
        <v>46093</v>
      </c>
      <c r="E29" s="48" t="n">
        <v>46101</v>
      </c>
      <c r="F29" s="43" t="inlineStr">
        <is>
          <t>CITIC Securities (Hong Kong) Limited / HSBC Corporate Finance (Hong Kong) Limited</t>
        </is>
      </c>
      <c r="G29" s="43" t="inlineStr">
        <is>
          <t>Ernst &amp; Young</t>
        </is>
      </c>
      <c r="H29" s="43" t="inlineStr">
        <is>
          <t>N/A</t>
        </is>
      </c>
      <c r="I29" s="131" t="n">
        <v>330648000</v>
      </c>
      <c r="J29" s="148" t="n">
        <v>2975832000</v>
      </c>
      <c r="K29" s="133" t="n">
        <v>71.88</v>
      </c>
      <c r="L29" t="n">
        <v>472446482</v>
      </c>
      <c r="M29" s="67" t="n">
        <v>46000000</v>
      </c>
      <c r="N29" t="n">
        <v>426446482</v>
      </c>
      <c r="O29" t="n">
        <v>426446482</v>
      </c>
      <c r="P29" t="n">
        <v>0</v>
      </c>
      <c r="Q29" t="n">
        <v>46000000</v>
      </c>
      <c r="R29" s="67" t="n">
        <v>41400000</v>
      </c>
      <c r="S29" s="67" t="n">
        <v>4600000</v>
      </c>
      <c r="T29" s="147" t="n">
        <v>71.88</v>
      </c>
      <c r="U29" s="147" t="inlineStr">
        <is>
          <t>NaN</t>
        </is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3812432000</v>
      </c>
      <c r="AA29" s="137" t="n">
        <v>5685756000</v>
      </c>
      <c r="AB29" s="137" t="n">
        <v>6771716000</v>
      </c>
      <c r="AC29" s="137" t="n">
        <v>1830314000</v>
      </c>
      <c r="AD29" s="137" t="n">
        <v>3073846000</v>
      </c>
      <c r="AE29" s="137" t="n">
        <v>3633951000</v>
      </c>
      <c r="AF29" s="137" t="n">
        <v>1982118000</v>
      </c>
      <c r="AG29" s="137" t="n">
        <v>2611910000</v>
      </c>
      <c r="AH29" s="137" t="n">
        <v>3137765000</v>
      </c>
      <c r="AI29" s="137" t="n">
        <v>2678270000</v>
      </c>
      <c r="AJ29" s="137" t="n">
        <v>3734285000</v>
      </c>
      <c r="AK29" s="137" t="n">
        <v>5113505333.333333</v>
      </c>
      <c r="AL29" s="137" t="n">
        <v>496883000</v>
      </c>
      <c r="AM29" s="137" t="n">
        <v>762481000</v>
      </c>
      <c r="AN29" s="137" t="n">
        <v>1097952000</v>
      </c>
      <c r="AO29" s="137" t="n">
        <v>414686000</v>
      </c>
      <c r="AP29" s="137" t="n">
        <v>676100000</v>
      </c>
      <c r="AQ29" s="137" t="n">
        <v>965092000</v>
      </c>
      <c r="AR29" s="142" t="n">
        <v>0.02</v>
      </c>
      <c r="AS29" s="142" t="n">
        <v>0.02</v>
      </c>
      <c r="AT29" s="84" t="n">
        <v>0</v>
      </c>
      <c r="AU29" s="51" t="inlineStr">
        <is>
          <t>Development, manufacture and sales of customized printed circuit boards (PCBs) for high performance servers and other computing applications</t>
        </is>
      </c>
      <c r="AV29" s="51" t="inlineStr">
        <is>
          <t>Main Board; Chapter 19A PRC issuer with other listed shares (A+H)</t>
        </is>
      </c>
      <c r="AW29" s="136" t="n">
        <v>45930</v>
      </c>
      <c r="AX29" s="137" t="n">
        <v>759552000</v>
      </c>
      <c r="AY29" s="117" t="n">
        <v>702425000</v>
      </c>
      <c r="AZ29" s="117" t="n">
        <v>193920000</v>
      </c>
      <c r="BA29" s="117" t="n">
        <v>0</v>
      </c>
      <c r="BB29" s="138" t="n">
        <v>0.593</v>
      </c>
      <c r="BC29" s="139" t="n">
        <v>0.75</v>
      </c>
      <c r="BD29" s="80" t="n">
        <v>1</v>
      </c>
      <c r="BE29" s="161" t="n">
        <v>1</v>
      </c>
      <c r="BF29" s="161" t="n">
        <v>0</v>
      </c>
      <c r="BG29" s="161" t="n">
        <v>0</v>
      </c>
      <c r="BH29" s="161" t="n">
        <v>1</v>
      </c>
      <c r="BI29" s="161" t="n">
        <v>0</v>
      </c>
      <c r="BJ29" s="162" t="inlineStr">
        <is>
          <t>Shenzhen Talent Innovation Venture Fund No. 2</t>
        </is>
      </c>
      <c r="BK29" s="163" t="n">
        <v>0.041</v>
      </c>
      <c r="BL29" s="161" t="n">
        <v>0</v>
      </c>
      <c r="BM29" s="164" t="inlineStr">
        <is>
          <t>Pre-IPO</t>
        </is>
      </c>
      <c r="BN29" s="165" t="n">
        <v>4</v>
      </c>
      <c r="BO29" s="51" t="inlineStr">
        <is>
          <t>自然人</t>
        </is>
      </c>
      <c r="BP29" s="135" t="n">
        <v>0.4843</v>
      </c>
      <c r="BQ29" s="135" t="n">
        <v>0.4843</v>
      </c>
      <c r="BR29" s="137" t="n">
        <v>571914000</v>
      </c>
      <c r="BS29" s="51" t="inlineStr">
        <is>
          <t>已量产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1</v>
      </c>
      <c r="BX29" s="77" t="n">
        <v>0</v>
      </c>
      <c r="BY29" s="77" t="n">
        <v>0</v>
      </c>
      <c r="BZ29" s="78" t="n">
        <v>0</v>
      </c>
      <c r="CA29" s="60" t="inlineStr">
        <is>
          <t>101025</t>
        </is>
      </c>
      <c r="CB29" s="76" t="inlineStr">
        <is>
          <t>HSICS (Hang Seng Industry Classification System) 2026</t>
        </is>
      </c>
      <c r="CC29" s="140" t="n">
        <v>37424</v>
      </c>
      <c r="CD29" s="171" t="n">
        <v>23.76</v>
      </c>
      <c r="CE29" s="76" t="inlineStr">
        <is>
          <t>PRC</t>
        </is>
      </c>
      <c r="CF29" s="89" t="inlineStr">
        <is>
          <t>Guangzhou, PRC</t>
        </is>
      </c>
      <c r="CG29" s="91" t="n">
        <v>1000</v>
      </c>
      <c r="CH29" s="60" t="inlineStr">
        <is>
          <t>IFRS Accounting Standards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3835129000</v>
      </c>
      <c r="CO29" s="64" t="n">
        <v>823464000</v>
      </c>
      <c r="CP29" s="64" t="n">
        <v>723819000</v>
      </c>
      <c r="CQ29" s="141" t="n">
        <v>46093</v>
      </c>
      <c r="CR29" s="141" t="n">
        <v>46098</v>
      </c>
      <c r="CS29" s="63" t="n">
        <v>46000000</v>
      </c>
      <c r="CT29" s="64" t="n">
        <v>1336538000</v>
      </c>
      <c r="CU29" s="64" t="n">
        <v>716933000</v>
      </c>
      <c r="CV29" s="59" t="inlineStr">
        <is>
          <t>无保留意见（Unqualified opinion）</t>
        </is>
      </c>
      <c r="CW29" s="64" t="n">
        <v>131100000</v>
      </c>
      <c r="CX29" s="51" t="inlineStr">
        <is>
          <t>CPE; Yuanfeng Asset Management and GTINV (in connection with the Yuanfeng OTC Swaps); Shanghai Greenwoods and CITIC Securities International Capital Management Limited (in connection with CITICS Back-to-back TRS and CITICS Client TRS); HK Greenwoods; UBS AM Singapore; Value Partners; Eastspring; GBAHIL; MY Asian; Barings; Dajia Life; ICBC Wealth</t>
        </is>
      </c>
      <c r="CY29" s="142" t="n">
        <v>0.4494</v>
      </c>
      <c r="CZ29" s="136" t="n">
        <v>46285</v>
      </c>
      <c r="DA29" s="143" t="n">
        <v>1070.72</v>
      </c>
      <c r="DB29" s="63" t="n">
        <v>202417</v>
      </c>
      <c r="DC29" s="63" t="n">
        <v>4925330400</v>
      </c>
      <c r="DD29" s="59" t="inlineStr">
        <is>
          <t>Subscription level 1,070.72 times</t>
        </is>
      </c>
      <c r="DE29" s="141" t="n">
        <v>46099</v>
      </c>
      <c r="DF29" s="141" t="n">
        <v>46100</v>
      </c>
      <c r="DG29" s="63" t="n">
        <v>46000000</v>
      </c>
      <c r="DH29" s="63" t="n">
        <v>4600000</v>
      </c>
      <c r="DI29" s="63" t="n">
        <v>41400000</v>
      </c>
      <c r="DJ29" s="63" t="n">
        <v>0</v>
      </c>
      <c r="DK29" s="169" t="n">
        <v>0</v>
      </c>
      <c r="DL29" s="59" t="inlineStr">
        <is>
          <t>Claw-back triggered: N/A (no claw-back); Number of Offer Shares reallocated from the International Offering to the Hong Kong Public Offering: 0</t>
        </is>
      </c>
      <c r="DM29" s="144" t="n">
        <v>3185260000</v>
      </c>
      <c r="DN29" s="142" t="n">
        <v>0.0974</v>
      </c>
      <c r="DO29" s="51" t="n">
        <v>472446482</v>
      </c>
      <c r="DP29" s="142" t="n">
        <v>0.0536</v>
      </c>
      <c r="DQ29" s="59" t="inlineStr">
        <is>
          <t>Free float denominator = total issued Shares upon Listing (472,446,482 Shares) at the final Offer Price of HK$71.88; the 20,674,500 H Shares (4.38%) allocated to the Cornerstone Investors are subject to a six-month lock-up from the Listing Date and excluded from free float; free float = 46,000,000 Offer Shares − 20,674,500 Cornerstone Shares = 25,325,500 H Shares (5.36%).</t>
        </is>
      </c>
      <c r="DR29" s="63" t="n">
        <v>472446482</v>
      </c>
      <c r="DS29" s="142" t="n">
        <v>-0.02489421</v>
      </c>
      <c r="DT29" s="80" t="n">
        <v>44</v>
      </c>
      <c r="DU29" s="142" t="n">
        <v>0.0202982</v>
      </c>
      <c r="DV29" s="144" t="n">
        <v>53874000000</v>
      </c>
      <c r="DW29" s="145" t="n">
        <v>95.25700000000001</v>
      </c>
      <c r="DX29" s="169" t="n">
        <v>0.325223</v>
      </c>
      <c r="DY29" s="172" t="n">
        <v>1075342000</v>
      </c>
      <c r="DZ29" s="146" t="n">
        <v>94.307</v>
      </c>
      <c r="EA29" s="146" t="n">
        <v>147.157</v>
      </c>
      <c r="EB29" s="146" t="n">
        <v>94.25700000000001</v>
      </c>
      <c r="EC29" s="63" t="n">
        <v>26811648</v>
      </c>
      <c r="ED29" s="169" t="n">
        <v>0.582862</v>
      </c>
      <c r="EE29" s="64" t="n">
        <v>2775598170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广州广合科技股份有限公司</t>
        </is>
      </c>
      <c r="EI29" s="174" t="inlineStr">
        <is>
          <t>Active</t>
        </is>
      </c>
      <c r="EJ29" s="175" t="n">
        <v>148.657</v>
      </c>
      <c r="EK29" s="176" t="n">
        <v>0.560589</v>
      </c>
      <c r="EL29" s="176" t="n">
        <v>1.068127</v>
      </c>
      <c r="EM29" s="176" t="n">
        <v>0.047875</v>
      </c>
      <c r="EN29" s="176" t="n">
        <v>0.038815</v>
      </c>
      <c r="EO29" s="179" t="n">
        <v>1.4893</v>
      </c>
      <c r="EP29" s="179" t="n">
        <v>1.5023</v>
      </c>
      <c r="EQ29" s="178" t="n">
        <v>532655429.5</v>
      </c>
      <c r="ER29" s="175" t="n">
        <v>123</v>
      </c>
      <c r="ES29" s="176" t="n">
        <v>0.291244</v>
      </c>
      <c r="ET29" s="176" t="n">
        <v>0.711185</v>
      </c>
      <c r="EU29" s="176" t="n">
        <v>-0.009280999999999999</v>
      </c>
      <c r="EV29" s="176" t="n">
        <v>-0.092171</v>
      </c>
      <c r="EW29" s="179" t="n">
        <v>1.3033</v>
      </c>
      <c r="EX29" s="179" t="n">
        <v>1.4223</v>
      </c>
      <c r="EY29" s="178" t="n">
        <v>199418370.5</v>
      </c>
      <c r="EZ29" s="176" t="n">
        <v>0.07184699999999999</v>
      </c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2026-04-19</t>
        </is>
      </c>
      <c r="FH29" s="183" t="n">
        <v>0</v>
      </c>
      <c r="FI29" s="178" t="n">
        <v>0</v>
      </c>
      <c r="FJ29" s="176" t="n">
        <v>0.15</v>
      </c>
      <c r="FK29" s="185" t="inlineStr">
        <is>
          <t>2026-03-20</t>
        </is>
      </c>
      <c r="FL29" s="178" t="n">
        <v>0</v>
      </c>
      <c r="FM29" s="176" t="n">
        <v>0</v>
      </c>
      <c r="FN29" s="176" t="n">
        <v>0.280964</v>
      </c>
      <c r="FO29" s="176" t="n">
        <v>0.120862</v>
      </c>
      <c r="FP29" s="176" t="n">
        <v>0.678032</v>
      </c>
      <c r="FQ29" s="176" t="n">
        <v>0.05249</v>
      </c>
      <c r="FR29" s="179" t="n">
        <v>1.0703</v>
      </c>
      <c r="FS29" s="176" t="n">
        <v>0.560589</v>
      </c>
      <c r="FT29" s="179" t="n">
        <v>1.4893</v>
      </c>
      <c r="FU29" s="176" t="n">
        <v>0.783145</v>
      </c>
      <c r="FV29" s="179" t="n">
        <v>1.9252</v>
      </c>
      <c r="FW29" s="179" t="n">
        <v>1.9397</v>
      </c>
      <c r="FX29" s="178" t="n">
        <v>373308229.68</v>
      </c>
      <c r="FY29" s="186" t="n">
        <v>0.0002268571428571428</v>
      </c>
      <c r="FZ29" s="183" t="n">
        <v>0</v>
      </c>
      <c r="GA29" s="176" t="n">
        <v>0.07895617299888369</v>
      </c>
      <c r="GB29" s="176" t="n">
        <v>0.623289</v>
      </c>
      <c r="GC29" s="185" t="inlineStr">
        <is>
          <t>2026-09-20</t>
        </is>
      </c>
      <c r="GD29" s="185" t="inlineStr">
        <is>
          <t>2027-03-20</t>
        </is>
      </c>
      <c r="GE29" s="176" t="n">
        <v>0.111701</v>
      </c>
      <c r="GF29" s="176" t="n">
        <v>0.086483</v>
      </c>
      <c r="GG29" s="179" t="n">
        <v>8.541600000000001</v>
      </c>
      <c r="GH29" s="181" t="inlineStr">
        <is>
          <t>China International Capital Corporation / Sponsor-OC</t>
        </is>
      </c>
      <c r="GI29" s="183" t="n">
        <v>0</v>
      </c>
      <c r="GJ29" s="183" t="n">
        <v>0</v>
      </c>
      <c r="GK29" s="176" t="n">
        <v>0.0002</v>
      </c>
      <c r="GL29" s="176" t="n">
        <v>0.01</v>
      </c>
      <c r="GM29" s="176" t="n">
        <v>0.0102</v>
      </c>
      <c r="GN29" s="183" t="n">
        <v>12</v>
      </c>
      <c r="GO29" s="183" t="n">
        <v>1</v>
      </c>
      <c r="GP29" s="183" t="n">
        <v>0</v>
      </c>
      <c r="GQ29" s="183" t="n">
        <v>1</v>
      </c>
      <c r="GR29" s="183" t="n">
        <v>1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30</v>
      </c>
      <c r="B30" s="47" t="inlineStr">
        <is>
          <t>2701.HK</t>
        </is>
      </c>
      <c r="C30" s="44" t="inlineStr">
        <is>
          <t>Nsing Technologies Inc. - H Shares</t>
        </is>
      </c>
      <c r="D30" s="130" t="n">
        <v>46094</v>
      </c>
      <c r="E30" s="48" t="n">
        <v>46104</v>
      </c>
      <c r="F30" s="43" t="inlineStr">
        <is>
          <t>CITIC Securities (Hong Kong) Limited</t>
        </is>
      </c>
      <c r="G30" s="43" t="inlineStr">
        <is>
          <t>Deloitte Touche Tohmatsu</t>
        </is>
      </c>
      <c r="H30" s="43" t="inlineStr">
        <is>
          <t>Jones Lang LaSalle Corporate Appraisal and Advisory Limited</t>
        </is>
      </c>
      <c r="I30" s="131" t="n">
        <v>102600000</v>
      </c>
      <c r="J30" s="148" t="n">
        <v>923400000</v>
      </c>
      <c r="K30" s="133" t="n">
        <v>10.8</v>
      </c>
      <c r="L30" t="n">
        <v>678126700</v>
      </c>
      <c r="M30" s="67" t="n">
        <v>95000000</v>
      </c>
      <c r="N30" t="n">
        <v>583126700</v>
      </c>
      <c r="O30" t="n">
        <v>583126700</v>
      </c>
      <c r="P30" t="n">
        <v>0</v>
      </c>
      <c r="Q30" t="n">
        <v>95000000</v>
      </c>
      <c r="R30" s="67" t="n">
        <v>85500000</v>
      </c>
      <c r="S30" s="67" t="n">
        <v>9500000</v>
      </c>
      <c r="T30" s="147" t="n">
        <v>10.8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3802580000</v>
      </c>
      <c r="AA30" s="137" t="n">
        <v>3712937000</v>
      </c>
      <c r="AB30" s="137" t="n">
        <v>3565848000</v>
      </c>
      <c r="AC30" s="137" t="n">
        <v>1245502000</v>
      </c>
      <c r="AD30" s="137" t="n">
        <v>1052762000</v>
      </c>
      <c r="AE30" s="137" t="n">
        <v>976503000</v>
      </c>
      <c r="AF30" s="137" t="n">
        <v>2557078000</v>
      </c>
      <c r="AG30" s="137" t="n">
        <v>2660175000</v>
      </c>
      <c r="AH30" s="137" t="n">
        <v>2589345000</v>
      </c>
      <c r="AI30" s="137" t="n">
        <v>1036753000</v>
      </c>
      <c r="AJ30" s="137" t="n">
        <v>1167550000</v>
      </c>
      <c r="AK30" s="137" t="n">
        <v>1277753333.333333</v>
      </c>
      <c r="AL30" s="137" t="n">
        <v>-603920000</v>
      </c>
      <c r="AM30" s="137" t="n">
        <v>-269084000</v>
      </c>
      <c r="AN30" s="137" t="n">
        <v>-114852000</v>
      </c>
      <c r="AO30" s="137" t="n">
        <v>-593990000</v>
      </c>
      <c r="AP30" s="137" t="n">
        <v>-255724000</v>
      </c>
      <c r="AQ30" s="137" t="n">
        <v>-100994666.6666667</v>
      </c>
      <c r="AR30" s="142" t="n">
        <v>0.025</v>
      </c>
      <c r="AS30" s="142" t="n">
        <v>0.025</v>
      </c>
      <c r="AT30" s="84" t="n">
        <v>0</v>
      </c>
      <c r="AU30" s="51" t="inlineStr">
        <is>
          <t>Platform-based integrated circuit (IC) design company focusing on delivering control chips and system solutions, and lithium-ion battery anode material business</t>
        </is>
      </c>
      <c r="AV30" s="51" t="inlineStr">
        <is>
          <t>Main Board under Rule 8.05(3) of the Listing Rules (market capitalization/revenue test)</t>
        </is>
      </c>
      <c r="AW30" s="136" t="n">
        <v>45930</v>
      </c>
      <c r="AX30" s="137" t="n">
        <v>-49673000</v>
      </c>
      <c r="AY30" s="117" t="n">
        <v>187870000</v>
      </c>
      <c r="AZ30" s="117" t="n">
        <v>120082000</v>
      </c>
      <c r="BA30" s="117" t="n">
        <v>43899000</v>
      </c>
      <c r="BB30" s="138" t="n">
        <v>0.478</v>
      </c>
      <c r="BC30" s="139" t="n">
        <v>0.75</v>
      </c>
      <c r="BD30" s="80" t="n">
        <v>0</v>
      </c>
      <c r="BE30" s="161" t="n">
        <v>0</v>
      </c>
      <c r="BF30" s="161" t="n">
        <v>0</v>
      </c>
      <c r="BG30" s="161" t="n">
        <v>0</v>
      </c>
      <c r="BH30" s="161" t="n">
        <v>0</v>
      </c>
      <c r="BI30" s="161" t="n">
        <v>0</v>
      </c>
      <c r="BJ30" s="162" t="inlineStr">
        <is>
          <t>NA</t>
        </is>
      </c>
      <c r="BK30" s="163" t="n">
        <v>0</v>
      </c>
      <c r="BL30" s="161" t="n">
        <v>0</v>
      </c>
      <c r="BM30" s="164" t="inlineStr">
        <is>
          <t>None</t>
        </is>
      </c>
      <c r="BN30" s="165" t="n">
        <v>0</v>
      </c>
      <c r="BO30" s="51" t="inlineStr">
        <is>
          <t>无实际控制人</t>
        </is>
      </c>
      <c r="BP30" s="135" t="n">
        <v>0.0228</v>
      </c>
      <c r="BQ30" s="135" t="n">
        <v>0.0228</v>
      </c>
      <c r="BR30" s="137" t="n">
        <v>1682708000</v>
      </c>
      <c r="BS30" s="51" t="inlineStr">
        <is>
          <t>规模商业化（已量产）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703010</t>
        </is>
      </c>
      <c r="CB30" s="76" t="inlineStr">
        <is>
          <t>HSICS (Hang Seng Industry Classification System) 2026</t>
        </is>
      </c>
      <c r="CC30" s="140" t="n">
        <v>36605</v>
      </c>
      <c r="CD30" s="171" t="n">
        <v>26.01</v>
      </c>
      <c r="CE30" s="76" t="inlineStr">
        <is>
          <t>PRC</t>
        </is>
      </c>
      <c r="CF30" s="89" t="inlineStr">
        <is>
          <t>Shenzhen,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958315000</v>
      </c>
      <c r="CO30" s="64" t="n">
        <v>-86139000</v>
      </c>
      <c r="CP30" s="64" t="n">
        <v>-75746000</v>
      </c>
      <c r="CQ30" s="141" t="n">
        <v>46094</v>
      </c>
      <c r="CR30" s="141" t="n">
        <v>46099</v>
      </c>
      <c r="CS30" s="63" t="n">
        <v>95000000</v>
      </c>
      <c r="CT30" s="64" t="n">
        <v>182686000</v>
      </c>
      <c r="CU30" s="64" t="n">
        <v>112000000</v>
      </c>
      <c r="CV30" s="59" t="inlineStr">
        <is>
          <t>无保留意见 (Unqualified opinion)</t>
        </is>
      </c>
      <c r="CW30" s="64" t="n">
        <v>82000000</v>
      </c>
      <c r="CX30" s="51" t="inlineStr">
        <is>
          <t>Guohua Life Insurance; Harvest Oriental II; Ms. Tai; Mr. An; Sunwoda Treasury</t>
        </is>
      </c>
      <c r="CY30" s="142" t="n">
        <v>0.1364</v>
      </c>
      <c r="CZ30" s="136" t="n">
        <v>46288</v>
      </c>
      <c r="DA30" s="143" t="n">
        <v>131.83</v>
      </c>
      <c r="DB30" s="63" t="n">
        <v>56547</v>
      </c>
      <c r="DC30" s="63" t="n">
        <v>1252387600</v>
      </c>
      <c r="DD30" s="59" t="inlineStr">
        <is>
          <t>Subscription level 131.83 times</t>
        </is>
      </c>
      <c r="DE30" s="141" t="n">
        <v>46100</v>
      </c>
      <c r="DF30" s="141" t="n">
        <v>46101</v>
      </c>
      <c r="DG30" s="63" t="n">
        <v>95000000</v>
      </c>
      <c r="DH30" s="63" t="n">
        <v>9500000</v>
      </c>
      <c r="DI30" s="63" t="n">
        <v>85500000</v>
      </c>
      <c r="DJ30" s="63" t="n">
        <v>0</v>
      </c>
      <c r="DK30" s="169" t="n">
        <v>0</v>
      </c>
      <c r="DL30" s="59" t="inlineStr">
        <is>
          <t>Claw-back triggered: No — no Offer Shares were reallocated from the International Offering to the Hong Kong Public Offering; the final number of Hong Kong Offer Shares (9,500,000) equals the number initially available (10% of the Global Offering).</t>
        </is>
      </c>
      <c r="DM30" s="144" t="n">
        <v>943900000</v>
      </c>
      <c r="DN30" s="142" t="n">
        <v>0.1401</v>
      </c>
      <c r="DO30" s="51" t="n">
        <v>678126700</v>
      </c>
      <c r="DP30" s="142" t="n">
        <v>0.121</v>
      </c>
      <c r="DQ30" s="59" t="inlineStr">
        <is>
          <t>Denominator = total issued share capital immediately upon Listing (678,126,700 Shares, excluding treasury shares); H Shares held by the Cornerstone Investors (six-month lock-up until September 22, 2026) are not counted towards the free float of the H Shares of the Company.</t>
        </is>
      </c>
      <c r="DR30" s="63" t="n">
        <v>678126700</v>
      </c>
      <c r="DS30" s="142" t="n">
        <v>-0.04848456</v>
      </c>
      <c r="DT30" s="80" t="n">
        <v>44</v>
      </c>
      <c r="DU30" s="142" t="n">
        <v>0.0202982</v>
      </c>
      <c r="DV30" s="144" t="n">
        <v>53854000000</v>
      </c>
      <c r="DW30" s="145" t="n">
        <v>11.25</v>
      </c>
      <c r="DX30" s="169" t="n">
        <v>0.041667</v>
      </c>
      <c r="DY30" s="172" t="n">
        <v>42750000</v>
      </c>
      <c r="DZ30" s="146" t="n">
        <v>14.3</v>
      </c>
      <c r="EA30" s="146" t="n">
        <v>16.5</v>
      </c>
      <c r="EB30" s="146" t="n">
        <v>10.9</v>
      </c>
      <c r="EC30" s="63" t="n">
        <v>58692800</v>
      </c>
      <c r="ED30" s="169" t="n">
        <v>0.617819</v>
      </c>
      <c r="EE30" s="64" t="n">
        <v>747406900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国民技术股份有限公司</t>
        </is>
      </c>
      <c r="EI30" s="174" t="inlineStr">
        <is>
          <t>Active</t>
        </is>
      </c>
      <c r="EJ30" s="175" t="n">
        <v>12.49</v>
      </c>
      <c r="EK30" s="176" t="n">
        <v>0.110222</v>
      </c>
      <c r="EL30" s="176" t="n">
        <v>0.156481</v>
      </c>
      <c r="EM30" s="176" t="n">
        <v>0.073035</v>
      </c>
      <c r="EN30" s="176" t="n">
        <v>0.05336</v>
      </c>
      <c r="EO30" s="179" t="n">
        <v>1.0347</v>
      </c>
      <c r="EP30" s="179" t="n">
        <v>1.054</v>
      </c>
      <c r="EQ30" s="178" t="n">
        <v>236981330</v>
      </c>
      <c r="ER30" s="175" t="n">
        <v>8.744999999999999</v>
      </c>
      <c r="ES30" s="176" t="n">
        <v>-0.222667</v>
      </c>
      <c r="ET30" s="176" t="n">
        <v>-0.190278</v>
      </c>
      <c r="EU30" s="176" t="n">
        <v>0.018523</v>
      </c>
      <c r="EV30" s="176" t="n">
        <v>-0.07074999999999999</v>
      </c>
      <c r="EW30" s="179" t="n">
        <v>0.7632</v>
      </c>
      <c r="EX30" s="179" t="n">
        <v>0.8365</v>
      </c>
      <c r="EY30" s="178" t="n">
        <v>21900510</v>
      </c>
      <c r="EZ30" s="176" t="n">
        <v>0.029302</v>
      </c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2026-04-22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2026-03-23</t>
        </is>
      </c>
      <c r="FL30" s="178" t="n">
        <v>0</v>
      </c>
      <c r="FM30" s="176" t="n">
        <v>0</v>
      </c>
      <c r="FN30" s="176" t="n">
        <v>-0.03695</v>
      </c>
      <c r="FO30" s="176" t="n">
        <v>0.122498</v>
      </c>
      <c r="FP30" s="176" t="n">
        <v>0.935756</v>
      </c>
      <c r="FQ30" s="176" t="n">
        <v>0.144</v>
      </c>
      <c r="FR30" s="179" t="n">
        <v>1.1179</v>
      </c>
      <c r="FS30" s="176" t="n">
        <v>0.110222</v>
      </c>
      <c r="FT30" s="179" t="n">
        <v>1.0347</v>
      </c>
      <c r="FU30" s="176" t="n">
        <v>0.144889</v>
      </c>
      <c r="FV30" s="179" t="n">
        <v>1.2097</v>
      </c>
      <c r="FW30" s="179" t="n">
        <v>1.2245</v>
      </c>
      <c r="FX30" s="178" t="n">
        <v>201662155.56</v>
      </c>
      <c r="FY30" s="186" t="n">
        <v>0.000460136</v>
      </c>
      <c r="FZ30" s="183" t="n">
        <v>0</v>
      </c>
      <c r="GA30" s="176" t="n">
        <v>0.04435995864912264</v>
      </c>
      <c r="GB30" s="176" t="n">
        <v>0.563011</v>
      </c>
      <c r="GC30" s="185" t="inlineStr">
        <is>
          <t>2026-09-23</t>
        </is>
      </c>
      <c r="GD30" s="185" t="inlineStr">
        <is>
          <t>2027-03-23</t>
        </is>
      </c>
      <c r="GE30" s="176" t="n"/>
      <c r="GF30" s="176" t="n"/>
      <c r="GG30" s="179" t="n"/>
      <c r="GH30" s="181" t="inlineStr">
        <is>
          <t>China International Capital Corporation / Sponsor-OC</t>
        </is>
      </c>
      <c r="GI30" s="183" t="n">
        <v>0</v>
      </c>
      <c r="GJ30" s="183" t="n">
        <v>0</v>
      </c>
      <c r="GK30" s="176" t="n">
        <v>0.00025</v>
      </c>
      <c r="GL30" s="176" t="n">
        <v>0.01</v>
      </c>
      <c r="GM30" s="176" t="n">
        <v>0.01025</v>
      </c>
      <c r="GN30" s="183" t="n">
        <v>5</v>
      </c>
      <c r="GO30" s="183" t="n">
        <v>0</v>
      </c>
      <c r="GP30" s="183" t="n">
        <v>0</v>
      </c>
      <c r="GQ30" s="183" t="n">
        <v>0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31</v>
      </c>
      <c r="B31" s="47" t="inlineStr">
        <is>
          <t>3355.HK</t>
        </is>
      </c>
      <c r="C31" s="44" t="inlineStr">
        <is>
          <t>FS.COM Ltd. - H Shares</t>
        </is>
      </c>
      <c r="D31" s="130" t="n">
        <v>46094</v>
      </c>
      <c r="E31" s="48" t="n">
        <v>46104</v>
      </c>
      <c r="F31" s="43" t="inlineStr">
        <is>
          <t>China International Capital Corporation Hong Kong Securities Limited / China Securities (International) Corporate Finance Company Limited / China Merchants Securities (HK) Co., Limited</t>
        </is>
      </c>
      <c r="G31" s="43" t="inlineStr">
        <is>
          <t>Deloitte Touche Tohmatsu</t>
        </is>
      </c>
      <c r="H31" s="43" t="inlineStr">
        <is>
          <t>Jones Lang LaSalle Corporate Appraisal and Advisory Limited</t>
        </is>
      </c>
      <c r="I31" s="131" t="n">
        <v>166400000</v>
      </c>
      <c r="J31" s="148" t="n">
        <v>1733709120</v>
      </c>
      <c r="K31" s="133" t="n">
        <v>41.6</v>
      </c>
      <c r="L31" t="n">
        <v>400000000</v>
      </c>
      <c r="M31" s="67" t="n">
        <v>40000000</v>
      </c>
      <c r="N31" t="n">
        <v>360000000</v>
      </c>
      <c r="O31" t="n">
        <v>360000000</v>
      </c>
      <c r="P31" t="n">
        <v>0</v>
      </c>
      <c r="Q31" t="n">
        <v>40000000</v>
      </c>
      <c r="R31" s="67" t="n">
        <v>36000000</v>
      </c>
      <c r="S31" s="67" t="n">
        <v>4000000</v>
      </c>
      <c r="T31" s="147" t="n">
        <v>41.6</v>
      </c>
      <c r="U31" s="147" t="n">
        <v>35.2</v>
      </c>
      <c r="V31" s="169" t="n">
        <v>0.083333</v>
      </c>
      <c r="W31" s="169" t="n">
        <v>0.166667</v>
      </c>
      <c r="X31" s="170" t="inlineStr">
        <is>
          <t>At high</t>
        </is>
      </c>
      <c r="Y31" s="26" t="inlineStr">
        <is>
          <t>RMB</t>
        </is>
      </c>
      <c r="Z31" s="137" t="n">
        <v>2719416000</v>
      </c>
      <c r="AA31" s="137" t="n">
        <v>3550399000</v>
      </c>
      <c r="AB31" s="137" t="n">
        <v>3721620000</v>
      </c>
      <c r="AC31" s="137" t="n">
        <v>1997982000</v>
      </c>
      <c r="AD31" s="137" t="n">
        <v>2400737000</v>
      </c>
      <c r="AE31" s="137" t="n">
        <v>1984512000</v>
      </c>
      <c r="AF31" s="137" t="n">
        <v>721434000</v>
      </c>
      <c r="AG31" s="137" t="n">
        <v>1149662000</v>
      </c>
      <c r="AH31" s="137" t="n">
        <v>1737108000</v>
      </c>
      <c r="AI31" s="137" t="n">
        <v>2212851000</v>
      </c>
      <c r="AJ31" s="137" t="n">
        <v>2611793000</v>
      </c>
      <c r="AK31" s="137" t="n">
        <v>2899624000</v>
      </c>
      <c r="AL31" s="137" t="n">
        <v>513250000</v>
      </c>
      <c r="AM31" s="137" t="n">
        <v>456575000</v>
      </c>
      <c r="AN31" s="137" t="n">
        <v>643930666.6666666</v>
      </c>
      <c r="AO31" s="137" t="n">
        <v>456747000</v>
      </c>
      <c r="AP31" s="137" t="n">
        <v>397257000</v>
      </c>
      <c r="AQ31" s="137" t="n">
        <v>564232000</v>
      </c>
      <c r="AR31" s="142" t="n">
        <v>0.023</v>
      </c>
      <c r="AS31" s="142" t="n">
        <v>0.023</v>
      </c>
      <c r="AT31" s="84" t="n">
        <v>0.15</v>
      </c>
      <c r="AU31" s="51" t="inlineStr">
        <is>
          <t>Online DTC networking solution provider</t>
        </is>
      </c>
      <c r="AV31" s="51" t="inlineStr">
        <is>
          <t>Main Board (Chapter 19A PRC issuer)</t>
        </is>
      </c>
      <c r="AW31" s="136" t="n">
        <v>45930</v>
      </c>
      <c r="AX31" s="137" t="n">
        <v>542647000</v>
      </c>
      <c r="AY31" s="117" t="n">
        <v>613353000</v>
      </c>
      <c r="AZ31" s="117" t="n">
        <v>124273000</v>
      </c>
      <c r="BA31" s="117" t="n">
        <v>0</v>
      </c>
      <c r="BB31" s="138" t="n">
        <v>0.06900000000000001</v>
      </c>
      <c r="BC31" s="139" t="n">
        <v>0.75</v>
      </c>
      <c r="BD31" s="80" t="n">
        <v>1</v>
      </c>
      <c r="BE31" s="161" t="n">
        <v>1</v>
      </c>
      <c r="BF31" s="161" t="n">
        <v>1</v>
      </c>
      <c r="BG31" s="161" t="n">
        <v>0</v>
      </c>
      <c r="BH31" s="161" t="n">
        <v>0</v>
      </c>
      <c r="BI31" s="161" t="n">
        <v>1</v>
      </c>
      <c r="BJ31" s="162" t="inlineStr">
        <is>
          <t>Fortune Venture Capital (达晨财智); Harvest Capital; Shenzhen Chiyu</t>
        </is>
      </c>
      <c r="BK31" s="163" t="n">
        <v>0.226</v>
      </c>
      <c r="BL31" s="161" t="n">
        <v>1</v>
      </c>
      <c r="BM31" s="164" t="inlineStr">
        <is>
          <t>Series Pre-A</t>
        </is>
      </c>
      <c r="BN31" s="165" t="n">
        <v>7.42</v>
      </c>
      <c r="BO31" s="51" t="inlineStr">
        <is>
          <t>自然人</t>
        </is>
      </c>
      <c r="BP31" s="135" t="n">
        <v>0.5504</v>
      </c>
      <c r="BQ31" s="135" t="n">
        <v>0.5504</v>
      </c>
      <c r="BR31" s="137" t="n">
        <v>649587000</v>
      </c>
      <c r="BS31" s="51" t="inlineStr">
        <is>
          <t>规模商业化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0</v>
      </c>
      <c r="BZ31" s="78" t="n">
        <v>0</v>
      </c>
      <c r="CA31" s="60" t="inlineStr">
        <is>
          <t>702025</t>
        </is>
      </c>
      <c r="CB31" s="76" t="inlineStr">
        <is>
          <t>HSICS (Hang Seng Industry Classification System) 2026</t>
        </is>
      </c>
      <c r="CC31" s="140" t="n">
        <v>39912</v>
      </c>
      <c r="CD31" s="171" t="n">
        <v>16.95</v>
      </c>
      <c r="CE31" s="76" t="inlineStr">
        <is>
          <t>PRC</t>
        </is>
      </c>
      <c r="CF31" s="89" t="inlineStr">
        <is>
          <t>Shenzhen,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2174718000</v>
      </c>
      <c r="CO31" s="64" t="n">
        <v>482948000</v>
      </c>
      <c r="CP31" s="64" t="n">
        <v>423174000</v>
      </c>
      <c r="CQ31" s="141" t="n">
        <v>46094</v>
      </c>
      <c r="CR31" s="141" t="n">
        <v>46099</v>
      </c>
      <c r="CS31" s="63" t="n">
        <v>400000000</v>
      </c>
      <c r="CT31" s="64" t="n">
        <v>1142819000</v>
      </c>
      <c r="CU31" s="64" t="n">
        <v>59893000</v>
      </c>
      <c r="CV31" s="59" t="inlineStr">
        <is>
          <t>无保留意见</t>
        </is>
      </c>
      <c r="CW31" s="64" t="n">
        <v>102400000</v>
      </c>
      <c r="CX31" s="51" t="inlineStr">
        <is>
          <t>Hao Fund; Great Holding; WT Asset Management; Caitong SEIII; Intewise Ultimate Clients and CICC FT (in connection with the Intewise OTC Swaps); Foresight; SCGC Capital; Aether; GF Fund HK; Kaifeng Ultimate Clients and CICC FT (in connection with the Kaifeng OTC Swaps); Wider Huge</t>
        </is>
      </c>
      <c r="CY31" s="142" t="n">
        <v>0.4231</v>
      </c>
      <c r="CZ31" s="136" t="n">
        <v>46288</v>
      </c>
      <c r="DA31" s="143" t="n">
        <v>1579.71</v>
      </c>
      <c r="DB31" s="63" t="n">
        <v>196756</v>
      </c>
      <c r="DC31" s="63" t="n">
        <v>6318827400</v>
      </c>
      <c r="DD31" s="59" t="inlineStr">
        <is>
          <t>Subscription level 1,579.71 times</t>
        </is>
      </c>
      <c r="DE31" s="141" t="n">
        <v>46100</v>
      </c>
      <c r="DF31" s="141" t="n">
        <v>46101</v>
      </c>
      <c r="DG31" s="63" t="n">
        <v>40000000</v>
      </c>
      <c r="DH31" s="63" t="n">
        <v>4000000</v>
      </c>
      <c r="DI31" s="63" t="n">
        <v>36000000</v>
      </c>
      <c r="DJ31" s="63" t="n">
        <v>5675700</v>
      </c>
      <c r="DK31" s="169" t="n">
        <v>0.94595</v>
      </c>
      <c r="DL31" s="59" t="inlineStr">
        <is>
          <t>Claw-back triggered: N/A. Final no. of Offer Shares under the Hong Kong Public Offering (after reallocation) was 4,000,000, same as the number initially available; no Offer Shares were reallocated from the International Offering.</t>
        </is>
      </c>
      <c r="DM31" s="144" t="n">
        <v>1559030000</v>
      </c>
      <c r="DN31" s="142" t="n">
        <v>0.2837</v>
      </c>
      <c r="DO31" s="51" t="n">
        <v>400000000</v>
      </c>
      <c r="DP31" s="142" t="n">
        <v>0.0577</v>
      </c>
      <c r="DQ31" s="59" t="inlineStr">
        <is>
          <t>Free float = H Shares under the Global Offering excluding the Over-allotment Option (40,000,000), less the H Shares allocated to the Cornerstone Investors and subject to their six-month lock-up ending 22 September 2026 (16,922,900); denominator = total number of issued Shares upon Listing (400,000,000), before exercise of the Over-allotment Option.</t>
        </is>
      </c>
      <c r="DR31" s="63" t="n">
        <v>400000000</v>
      </c>
      <c r="DS31" s="142" t="n">
        <v>-0.04848456</v>
      </c>
      <c r="DT31" s="80" t="n">
        <v>44</v>
      </c>
      <c r="DU31" s="142" t="n">
        <v>0.0202982</v>
      </c>
      <c r="DV31" s="144" t="n">
        <v>53854000000</v>
      </c>
      <c r="DW31" s="145" t="n">
        <v>46.635</v>
      </c>
      <c r="DX31" s="169" t="n">
        <v>0.121034</v>
      </c>
      <c r="DY31" s="172" t="n">
        <v>201400000</v>
      </c>
      <c r="DZ31" s="146" t="n">
        <v>55.435</v>
      </c>
      <c r="EA31" s="146" t="n">
        <v>56.435</v>
      </c>
      <c r="EB31" s="146" t="n">
        <v>42.735</v>
      </c>
      <c r="EC31" s="63" t="n">
        <v>13032960</v>
      </c>
      <c r="ED31" s="169" t="n">
        <v>0.325824</v>
      </c>
      <c r="EE31" s="64" t="n">
        <v>706589260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深圳市飞速创新技术股份有限公司</t>
        </is>
      </c>
      <c r="EI31" s="174" t="inlineStr">
        <is>
          <t>Active</t>
        </is>
      </c>
      <c r="EJ31" s="175" t="n">
        <v>50.035</v>
      </c>
      <c r="EK31" s="176" t="n">
        <v>0.072907</v>
      </c>
      <c r="EL31" s="176" t="n">
        <v>0.202764</v>
      </c>
      <c r="EM31" s="176" t="n">
        <v>0.073035</v>
      </c>
      <c r="EN31" s="176" t="n">
        <v>0.05336</v>
      </c>
      <c r="EO31" s="179" t="n">
        <v>0.9999</v>
      </c>
      <c r="EP31" s="179" t="n">
        <v>1.0186</v>
      </c>
      <c r="EQ31" s="178" t="n">
        <v>93320849</v>
      </c>
      <c r="ER31" s="175" t="n">
        <v>39.24</v>
      </c>
      <c r="ES31" s="176" t="n">
        <v>-0.158572</v>
      </c>
      <c r="ET31" s="176" t="n">
        <v>-0.056731</v>
      </c>
      <c r="EU31" s="176" t="n">
        <v>0.018523</v>
      </c>
      <c r="EV31" s="176" t="n">
        <v>-0.07074999999999999</v>
      </c>
      <c r="EW31" s="179" t="n">
        <v>0.8260999999999999</v>
      </c>
      <c r="EX31" s="179" t="n">
        <v>0.9055</v>
      </c>
      <c r="EY31" s="178" t="n">
        <v>30795388.5</v>
      </c>
      <c r="EZ31" s="176" t="n">
        <v>0.043583</v>
      </c>
      <c r="FA31" s="176" t="n"/>
      <c r="FB31" s="179" t="n"/>
      <c r="FC31" s="176" t="n"/>
      <c r="FD31" s="179" t="n"/>
      <c r="FE31" s="174" t="inlineStr">
        <is>
          <t>Standard</t>
        </is>
      </c>
      <c r="FF31" s="181" t="inlineStr">
        <is>
          <t>China International Capital Corporation Hong Kong Securities 
Limited</t>
        </is>
      </c>
      <c r="FG31" s="185" t="inlineStr">
        <is>
          <t>2026-04-17</t>
        </is>
      </c>
      <c r="FH31" s="183" t="n">
        <v>1</v>
      </c>
      <c r="FI31" s="178" t="n">
        <v>6000000</v>
      </c>
      <c r="FJ31" s="176" t="n">
        <v>0.15</v>
      </c>
      <c r="FK31" s="185" t="inlineStr">
        <is>
          <t>2026-04-17</t>
        </is>
      </c>
      <c r="FL31" s="178" t="n">
        <v>5675700</v>
      </c>
      <c r="FM31" s="176" t="n">
        <v>0.9459000000000001</v>
      </c>
      <c r="FN31" s="176" t="n">
        <v>0.045955</v>
      </c>
      <c r="FO31" s="176" t="n">
        <v>-0.152275</v>
      </c>
      <c r="FP31" s="176" t="n">
        <v>0.255636</v>
      </c>
      <c r="FQ31" s="176" t="n">
        <v>-0.025732</v>
      </c>
      <c r="FR31" s="179" t="n">
        <v>0.952</v>
      </c>
      <c r="FS31" s="176" t="n">
        <v>0.072907</v>
      </c>
      <c r="FT31" s="179" t="n">
        <v>0.9999</v>
      </c>
      <c r="FU31" s="176" t="n">
        <v>-0.206604</v>
      </c>
      <c r="FV31" s="179" t="n">
        <v>0.8383</v>
      </c>
      <c r="FW31" s="179" t="n">
        <v>0.8486</v>
      </c>
      <c r="FX31" s="178" t="n">
        <v>42554190.32</v>
      </c>
      <c r="FY31" s="186" t="n">
        <v>0.003318432</v>
      </c>
      <c r="FZ31" s="183" t="n">
        <v>0</v>
      </c>
      <c r="GA31" s="176" t="n">
        <v>0.05783473628968287</v>
      </c>
      <c r="GB31" s="176" t="n">
        <v>0.471959</v>
      </c>
      <c r="GC31" s="185" t="inlineStr">
        <is>
          <t>2026-09-23</t>
        </is>
      </c>
      <c r="GD31" s="185" t="inlineStr">
        <is>
          <t>2027-03-23</t>
        </is>
      </c>
      <c r="GE31" s="176" t="n"/>
      <c r="GF31" s="176" t="n"/>
      <c r="GG31" s="179" t="n"/>
      <c r="GH31" s="181" t="inlineStr">
        <is>
          <t>China International Capital Corporation Hong Kong Securities 
Limited</t>
        </is>
      </c>
      <c r="GI31" s="183" t="n">
        <v>0</v>
      </c>
      <c r="GJ31" s="183" t="n">
        <v>0</v>
      </c>
      <c r="GK31" s="176" t="n">
        <v>0.00023</v>
      </c>
      <c r="GL31" s="176" t="n">
        <v>0.01</v>
      </c>
      <c r="GM31" s="176" t="n">
        <v>0.01023</v>
      </c>
      <c r="GN31" s="183" t="n">
        <v>11</v>
      </c>
      <c r="GO31" s="183" t="n">
        <v>1</v>
      </c>
      <c r="GP31" s="183" t="n">
        <v>0</v>
      </c>
      <c r="GQ31" s="183" t="n">
        <v>3</v>
      </c>
      <c r="GR31" s="183" t="n">
        <v>1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32</v>
      </c>
      <c r="B32" s="47" t="inlineStr">
        <is>
          <t>2632.HK</t>
        </is>
      </c>
      <c r="C32" s="44" t="inlineStr">
        <is>
          <t>Jiangsu New Vision Automotive Electronics Co., Ltd. - H Shares</t>
        </is>
      </c>
      <c r="D32" s="130" t="n">
        <v>46097</v>
      </c>
      <c r="E32" s="48" t="n">
        <v>46105</v>
      </c>
      <c r="F32" s="43" t="inlineStr">
        <is>
          <t>Haitong International Capital Limited. / CITIC Securities (Hong Kong) Limited</t>
        </is>
      </c>
      <c r="G32" s="43" t="inlineStr">
        <is>
          <t>Ernst &amp; Young</t>
        </is>
      </c>
      <c r="H32" s="43" t="inlineStr">
        <is>
          <t>N/A</t>
        </is>
      </c>
      <c r="I32" s="131" t="n">
        <v>71721130</v>
      </c>
      <c r="J32" s="148" t="n">
        <v>645490170</v>
      </c>
      <c r="K32" s="133" t="n">
        <v>44.2</v>
      </c>
      <c r="L32" t="n">
        <v>123395266</v>
      </c>
      <c r="M32" s="67" t="n">
        <v>16226500</v>
      </c>
      <c r="N32" t="n">
        <v>107168766</v>
      </c>
      <c r="O32" t="n">
        <v>107168766</v>
      </c>
      <c r="P32" t="n">
        <v>0</v>
      </c>
      <c r="Q32" t="n">
        <v>16226500</v>
      </c>
      <c r="R32" s="67" t="n">
        <v>14603850</v>
      </c>
      <c r="S32" s="67" t="n">
        <v>1622650</v>
      </c>
      <c r="T32" s="147" t="n">
        <v>48</v>
      </c>
      <c r="U32" s="147" t="n">
        <v>42</v>
      </c>
      <c r="V32" s="169" t="n">
        <v>-0.017778</v>
      </c>
      <c r="W32" s="169" t="n">
        <v>0.133333</v>
      </c>
      <c r="X32" s="170" t="inlineStr">
        <is>
          <t>Within range</t>
        </is>
      </c>
      <c r="Y32" s="26" t="inlineStr">
        <is>
          <t>RMB</t>
        </is>
      </c>
      <c r="Z32" s="137" t="n">
        <v>565749000</v>
      </c>
      <c r="AA32" s="137" t="n">
        <v>776136000</v>
      </c>
      <c r="AB32" s="137" t="n">
        <v>763522000</v>
      </c>
      <c r="AC32" s="137" t="n">
        <v>-643726000</v>
      </c>
      <c r="AD32" s="137" t="n">
        <v>-897390000</v>
      </c>
      <c r="AE32" s="137" t="n">
        <v>-1235990000</v>
      </c>
      <c r="AF32" s="137" t="n">
        <v>1209475000</v>
      </c>
      <c r="AG32" s="137" t="n">
        <v>1673526000</v>
      </c>
      <c r="AH32" s="137" t="n">
        <v>1999512000</v>
      </c>
      <c r="AI32" s="137" t="n">
        <v>549362000</v>
      </c>
      <c r="AJ32" s="137" t="n">
        <v>577620000</v>
      </c>
      <c r="AK32" s="137" t="n">
        <v>639894666.6666666</v>
      </c>
      <c r="AL32" s="137" t="n">
        <v>-174563000</v>
      </c>
      <c r="AM32" s="137" t="n">
        <v>-136556000</v>
      </c>
      <c r="AN32" s="137" t="n">
        <v>-454594666.6666667</v>
      </c>
      <c r="AO32" s="137" t="n">
        <v>-174618000</v>
      </c>
      <c r="AP32" s="137" t="n">
        <v>-137851000</v>
      </c>
      <c r="AQ32" s="137" t="n">
        <v>-458246666.6666667</v>
      </c>
      <c r="AR32" s="142" t="n">
        <v>0.03</v>
      </c>
      <c r="AS32" s="142" t="n">
        <v>0.03</v>
      </c>
      <c r="AT32" s="84" t="n">
        <v>0</v>
      </c>
      <c r="AU32" s="51" t="inlineStr">
        <is>
          <t>Automotive head-up display (HUD) solutions - research and development, production and sale of HUD solutions, testing solutions and other innovative initiatives</t>
        </is>
      </c>
      <c r="AV32" s="51" t="inlineStr">
        <is>
          <t>Main Board - Rule 8.05(3) market capitalization/revenue test</t>
        </is>
      </c>
      <c r="AW32" s="136" t="n">
        <v>45930</v>
      </c>
      <c r="AX32" s="137" t="n">
        <v>-48969000</v>
      </c>
      <c r="AY32" s="117" t="n">
        <v>104764000</v>
      </c>
      <c r="AZ32" s="117" t="n">
        <v>48880000</v>
      </c>
      <c r="BA32" s="117" t="n">
        <v>0</v>
      </c>
      <c r="BB32" s="138" t="n">
        <v>0.831</v>
      </c>
      <c r="BC32" s="139" t="n">
        <v>0.75</v>
      </c>
      <c r="BD32" s="80" t="n">
        <v>1</v>
      </c>
      <c r="BE32" s="161" t="n">
        <v>1</v>
      </c>
      <c r="BF32" s="161" t="n">
        <v>0</v>
      </c>
      <c r="BG32" s="161" t="n">
        <v>1</v>
      </c>
      <c r="BH32" s="161" t="n">
        <v>0</v>
      </c>
      <c r="BI32" s="161" t="n">
        <v>1</v>
      </c>
      <c r="BJ32" s="162" t="inlineStr">
        <is>
          <t>Shunwei Capital; Cathay Capital; SAIC Capital; Baidu Ventures</t>
        </is>
      </c>
      <c r="BK32" s="163" t="n">
        <v>0.384</v>
      </c>
      <c r="BL32" s="161" t="n">
        <v>1</v>
      </c>
      <c r="BM32" s="164" t="inlineStr">
        <is>
          <t>Series A</t>
        </is>
      </c>
      <c r="BN32" s="165" t="n">
        <v>8.640000000000001</v>
      </c>
      <c r="BO32" s="51" t="inlineStr">
        <is>
          <t>自然人</t>
        </is>
      </c>
      <c r="BP32" s="135" t="n">
        <v>0.3879</v>
      </c>
      <c r="BQ32" s="135" t="n">
        <v>0.3879</v>
      </c>
      <c r="BR32" s="137" t="n">
        <v>130357000</v>
      </c>
      <c r="BS32" s="51" t="inlineStr">
        <is>
          <t>规模商业化（已量产）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0</v>
      </c>
      <c r="BZ32" s="78" t="n">
        <v>0</v>
      </c>
      <c r="CA32" s="60" t="inlineStr">
        <is>
          <t>231020</t>
        </is>
      </c>
      <c r="CB32" s="76" t="inlineStr">
        <is>
          <t>HSICS (Hang Seng Industry Classification System) 2026</t>
        </is>
      </c>
      <c r="CC32" s="140" t="n">
        <v>42153</v>
      </c>
      <c r="CD32" s="171" t="n">
        <v>10.82</v>
      </c>
      <c r="CE32" s="76" t="inlineStr">
        <is>
          <t>PRC</t>
        </is>
      </c>
      <c r="CF32" s="89" t="inlineStr">
        <is>
          <t>Yizheng, Yangzhou, Jiangsu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479921000</v>
      </c>
      <c r="CO32" s="64" t="n">
        <v>-340946000</v>
      </c>
      <c r="CP32" s="64" t="n">
        <v>-343685000</v>
      </c>
      <c r="CQ32" s="141" t="n">
        <v>46097</v>
      </c>
      <c r="CR32" s="141" t="n">
        <v>46100</v>
      </c>
      <c r="CS32" s="63" t="n">
        <v>109037029</v>
      </c>
      <c r="CT32" s="64" t="n">
        <v>114894000</v>
      </c>
      <c r="CU32" s="64" t="n">
        <v>43400000</v>
      </c>
      <c r="CV32" s="59" t="inlineStr">
        <is>
          <t>无保留意见</t>
        </is>
      </c>
      <c r="CW32" s="64" t="n">
        <v>68100000</v>
      </c>
      <c r="CX32" s="51" t="inlineStr">
        <is>
          <t>Yingke No. 1 (Hongkong) Limited; Hongkong High Tech Industrial (Beijing) Development Investment Co., Limited</t>
        </is>
      </c>
      <c r="CY32" s="142" t="n">
        <v>0.1533</v>
      </c>
      <c r="CZ32" s="136" t="n">
        <v>46289</v>
      </c>
      <c r="DA32" s="143" t="n">
        <v>68.89</v>
      </c>
      <c r="DB32" s="63" t="n">
        <v>31183</v>
      </c>
      <c r="DC32" s="63" t="n">
        <v>111790150</v>
      </c>
      <c r="DD32" s="59" t="inlineStr">
        <is>
          <t>Subscription level 68.89 times</t>
        </is>
      </c>
      <c r="DE32" s="141" t="n">
        <v>46101</v>
      </c>
      <c r="DF32" s="141" t="n">
        <v>46104</v>
      </c>
      <c r="DG32" s="63" t="n">
        <v>16226500</v>
      </c>
      <c r="DH32" s="63" t="n">
        <v>1622650</v>
      </c>
      <c r="DI32" s="63" t="n">
        <v>14603850</v>
      </c>
      <c r="DJ32" s="63" t="n">
        <v>0</v>
      </c>
      <c r="DK32" s="169" t="n">
        <v>0</v>
      </c>
      <c r="DL32" s="59" t="inlineStr">
        <is>
          <t>Reallocation: No; No. of Offer Shares reallocated from the International Offering (reallocation): 0</t>
        </is>
      </c>
      <c r="DM32" s="144" t="n">
        <v>649670000</v>
      </c>
      <c r="DN32" s="142" t="n">
        <v>0.6121</v>
      </c>
      <c r="DO32" s="51" t="n">
        <v>123395266</v>
      </c>
      <c r="DP32" s="142" t="n">
        <v>0.1113</v>
      </c>
      <c r="DQ32" s="59" t="inlineStr">
        <is>
          <t>Free float denominator = number of issued Shares upon Listing (123,395,266 Shares); excluded from free float: H Shares held by the Cornerstone Investors (six-month lock-up) and by existing Shareholders (12-month lock-up under applicable PRC laws).</t>
        </is>
      </c>
      <c r="DR32" s="63" t="n">
        <v>123395266</v>
      </c>
      <c r="DS32" s="142" t="n">
        <v>-0.06318435999999999</v>
      </c>
      <c r="DT32" s="80" t="n">
        <v>44</v>
      </c>
      <c r="DU32" s="142" t="n">
        <v>0.0207583</v>
      </c>
      <c r="DV32" s="144" t="n">
        <v>53854000000</v>
      </c>
      <c r="DW32" s="145" t="n">
        <v>27.88</v>
      </c>
      <c r="DX32" s="169" t="n">
        <v>-0.369231</v>
      </c>
      <c r="DY32" s="172" t="n">
        <v>-264816480</v>
      </c>
      <c r="DZ32" s="146" t="n">
        <v>43.9</v>
      </c>
      <c r="EA32" s="146" t="n">
        <v>45.8</v>
      </c>
      <c r="EB32" s="146" t="n">
        <v>27.7</v>
      </c>
      <c r="EC32" s="63" t="n">
        <v>5219350</v>
      </c>
      <c r="ED32" s="169" t="n">
        <v>0.321656</v>
      </c>
      <c r="EE32" s="64" t="n">
        <v>230200300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江苏泽景汽车电子股份有限公司</t>
        </is>
      </c>
      <c r="EI32" s="174" t="inlineStr">
        <is>
          <t>Active</t>
        </is>
      </c>
      <c r="EJ32" s="175" t="n">
        <v>86.8</v>
      </c>
      <c r="EK32" s="176" t="n">
        <v>2.113343</v>
      </c>
      <c r="EL32" s="176" t="n">
        <v>0.963801</v>
      </c>
      <c r="EM32" s="176" t="n">
        <v>0.033973</v>
      </c>
      <c r="EN32" s="176" t="n">
        <v>0.007168</v>
      </c>
      <c r="EO32" s="179" t="n">
        <v>3.011</v>
      </c>
      <c r="EP32" s="179" t="n">
        <v>3.0912</v>
      </c>
      <c r="EQ32" s="178" t="n">
        <v>29613460</v>
      </c>
      <c r="ER32" s="175" t="n">
        <v>62</v>
      </c>
      <c r="ES32" s="176" t="n">
        <v>1.223816</v>
      </c>
      <c r="ET32" s="176" t="n">
        <v>0.402715</v>
      </c>
      <c r="EU32" s="176" t="n">
        <v>-0.012072</v>
      </c>
      <c r="EV32" s="176" t="n">
        <v>-0.09724099999999999</v>
      </c>
      <c r="EW32" s="179" t="n">
        <v>2.251</v>
      </c>
      <c r="EX32" s="179" t="n">
        <v>2.4634</v>
      </c>
      <c r="EY32" s="178" t="n">
        <v>9239090</v>
      </c>
      <c r="EZ32" s="176" t="n">
        <v>0.040135</v>
      </c>
      <c r="FA32" s="176" t="n"/>
      <c r="FB32" s="179" t="n"/>
      <c r="FC32" s="176" t="n"/>
      <c r="FD32" s="179" t="n"/>
      <c r="FE32" s="174" t="inlineStr">
        <is>
          <t>Standard</t>
        </is>
      </c>
      <c r="FF32" s="181" t="inlineStr">
        <is>
          <t>China International Capital Corporation / Sponsor-OC</t>
        </is>
      </c>
      <c r="FG32" s="185" t="inlineStr">
        <is>
          <t>2026-04-23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2026-03-24</t>
        </is>
      </c>
      <c r="FL32" s="178" t="n">
        <v>0</v>
      </c>
      <c r="FM32" s="176" t="n">
        <v>0</v>
      </c>
      <c r="FN32" s="176" t="n">
        <v>0.427372</v>
      </c>
      <c r="FO32" s="176" t="n">
        <v>0.412442</v>
      </c>
      <c r="FP32" s="176" t="n">
        <v>0.562823</v>
      </c>
      <c r="FQ32" s="176" t="n">
        <v>0.685796</v>
      </c>
      <c r="FR32" s="179" t="n">
        <v>1.7071</v>
      </c>
      <c r="FS32" s="176" t="n">
        <v>2.113343</v>
      </c>
      <c r="FT32" s="179" t="n">
        <v>3.011</v>
      </c>
      <c r="FU32" s="176" t="n">
        <v>3.246772</v>
      </c>
      <c r="FV32" s="179" t="n">
        <v>4.6948</v>
      </c>
      <c r="FW32" s="179" t="n">
        <v>4.8209</v>
      </c>
      <c r="FX32" s="178" t="n">
        <v>17575496.83</v>
      </c>
      <c r="FY32" s="186" t="n">
        <v>0.01903789516129032</v>
      </c>
      <c r="FZ32" s="183" t="n">
        <v>0</v>
      </c>
      <c r="GA32" s="176" t="n">
        <v>0.1071743254523364</v>
      </c>
      <c r="GB32" s="176" t="n">
        <v>0.618909</v>
      </c>
      <c r="GC32" s="185" t="inlineStr">
        <is>
          <t>2026-09-24</t>
        </is>
      </c>
      <c r="GD32" s="185" t="inlineStr">
        <is>
          <t>2027-03-24</t>
        </is>
      </c>
      <c r="GE32" s="176" t="n"/>
      <c r="GF32" s="176" t="n"/>
      <c r="GG32" s="179" t="n"/>
      <c r="GH32" s="181" t="inlineStr">
        <is>
          <t>China International Capital Corporation / Sponsor-OC</t>
        </is>
      </c>
      <c r="GI32" s="183" t="n">
        <v>0</v>
      </c>
      <c r="GJ32" s="183" t="n">
        <v>0</v>
      </c>
      <c r="GK32" s="176" t="n">
        <v>0.0003</v>
      </c>
      <c r="GL32" s="176" t="n">
        <v>0.01</v>
      </c>
      <c r="GM32" s="176" t="n">
        <v>0.0103</v>
      </c>
      <c r="GN32" s="183" t="n">
        <v>3</v>
      </c>
      <c r="GO32" s="183" t="n">
        <v>1</v>
      </c>
      <c r="GP32" s="183" t="n">
        <v>0</v>
      </c>
      <c r="GQ32" s="183" t="n">
        <v>4</v>
      </c>
      <c r="GR32" s="183" t="n">
        <v>1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33</v>
      </c>
      <c r="B33" s="47" t="inlineStr">
        <is>
          <t>2729.HK</t>
        </is>
      </c>
      <c r="C33" s="44" t="inlineStr">
        <is>
          <t>Zhejiang Galaxis Technology Group Co., Ltd. - H Shares</t>
        </is>
      </c>
      <c r="D33" s="130" t="n">
        <v>46097</v>
      </c>
      <c r="E33" s="48" t="n">
        <v>46105</v>
      </c>
      <c r="F33" s="43" t="inlineStr">
        <is>
          <t>Guotai Junan Capital Limited / CITIC Securities (Hong Kong) Limited</t>
        </is>
      </c>
      <c r="G33" s="43" t="inlineStr">
        <is>
          <t>KPMG</t>
        </is>
      </c>
      <c r="H33" s="43" t="inlineStr">
        <is>
          <t>N/A</t>
        </is>
      </c>
      <c r="I33" s="131" t="n">
        <v>61305468</v>
      </c>
      <c r="J33" s="148" t="n">
        <v>551749212</v>
      </c>
      <c r="K33" s="133" t="n">
        <v>16.66</v>
      </c>
      <c r="L33" t="n">
        <v>427883729</v>
      </c>
      <c r="M33" s="67" t="n">
        <v>36798000</v>
      </c>
      <c r="N33" t="n">
        <v>391085729</v>
      </c>
      <c r="O33" t="n">
        <v>391085729</v>
      </c>
      <c r="P33" t="n">
        <v>0</v>
      </c>
      <c r="Q33" t="n">
        <v>36798000</v>
      </c>
      <c r="R33" s="67" t="n">
        <v>33118200</v>
      </c>
      <c r="S33" s="67" t="n">
        <v>3679800</v>
      </c>
      <c r="T33" s="147" t="n">
        <v>20.4</v>
      </c>
      <c r="U33" s="147" t="n">
        <v>16.4</v>
      </c>
      <c r="V33" s="169" t="n">
        <v>-0.094565</v>
      </c>
      <c r="W33" s="169" t="n">
        <v>0.217391</v>
      </c>
      <c r="X33" s="170" t="inlineStr">
        <is>
          <t>Within range</t>
        </is>
      </c>
      <c r="Y33" s="26" t="inlineStr">
        <is>
          <t>RMB</t>
        </is>
      </c>
      <c r="Z33" s="137" t="n">
        <v>2149769000</v>
      </c>
      <c r="AA33" s="137" t="n">
        <v>2006318000</v>
      </c>
      <c r="AB33" s="137" t="n">
        <v>1925095000</v>
      </c>
      <c r="AC33" s="137" t="n">
        <v>-893636000</v>
      </c>
      <c r="AD33" s="137" t="n">
        <v>-1065759000</v>
      </c>
      <c r="AE33" s="137" t="n">
        <v>-1195899000</v>
      </c>
      <c r="AF33" s="137" t="n">
        <v>3043405000</v>
      </c>
      <c r="AG33" s="137" t="n">
        <v>3072077000</v>
      </c>
      <c r="AH33" s="137" t="n">
        <v>3120994000</v>
      </c>
      <c r="AI33" s="137" t="n">
        <v>550790000</v>
      </c>
      <c r="AJ33" s="137" t="n">
        <v>721417000</v>
      </c>
      <c r="AK33" s="137" t="n">
        <v>735516000</v>
      </c>
      <c r="AL33" s="137" t="n">
        <v>-241381000</v>
      </c>
      <c r="AM33" s="137" t="n">
        <v>-176921000</v>
      </c>
      <c r="AN33" s="137" t="n">
        <v>-178542666.6666667</v>
      </c>
      <c r="AO33" s="137" t="n">
        <v>-241614000</v>
      </c>
      <c r="AP33" s="137" t="n">
        <v>-178058000</v>
      </c>
      <c r="AQ33" s="137" t="n">
        <v>-179294666.6666667</v>
      </c>
      <c r="AR33" s="142" t="n">
        <v>0.02</v>
      </c>
      <c r="AS33" s="142" t="n">
        <v>0.02</v>
      </c>
      <c r="AT33" s="84" t="n">
        <v>0.15</v>
      </c>
      <c r="AU33" s="51" t="inlineStr">
        <is>
          <t>Intelligent intralogistics robotics provider (MSRs, AMRs and CSRs)</t>
        </is>
      </c>
      <c r="AV33" s="51" t="inlineStr">
        <is>
          <t>Main Board Rule 8.05(3) market capitalization/revenue test</t>
        </is>
      </c>
      <c r="AW33" s="136" t="n">
        <v>45930</v>
      </c>
      <c r="AX33" s="137" t="n">
        <v>-35288000</v>
      </c>
      <c r="AY33" s="117" t="n">
        <v>81893000</v>
      </c>
      <c r="AZ33" s="117" t="n">
        <v>48113000</v>
      </c>
      <c r="BA33" s="117" t="n">
        <v>0</v>
      </c>
      <c r="BB33" s="138" t="n">
        <v>0.274</v>
      </c>
      <c r="BC33" s="139" t="n">
        <v>0.75</v>
      </c>
      <c r="BD33" s="80" t="n">
        <v>1</v>
      </c>
      <c r="BE33" s="161" t="n">
        <v>1</v>
      </c>
      <c r="BF33" s="161" t="n">
        <v>0</v>
      </c>
      <c r="BG33" s="161" t="n">
        <v>1</v>
      </c>
      <c r="BH33" s="161" t="n">
        <v>0</v>
      </c>
      <c r="BI33" s="161" t="n">
        <v>1</v>
      </c>
      <c r="BJ33" s="162" t="inlineStr">
        <is>
          <t>ByteDance; Legend Star; Infore Capital</t>
        </is>
      </c>
      <c r="BK33" s="163" t="n">
        <v>0.321</v>
      </c>
      <c r="BL33" s="161" t="n">
        <v>1</v>
      </c>
      <c r="BM33" s="164" t="inlineStr">
        <is>
          <t>Series A</t>
        </is>
      </c>
      <c r="BN33" s="165" t="n">
        <v>7.5</v>
      </c>
      <c r="BO33" s="51" t="inlineStr">
        <is>
          <t>自然人</t>
        </is>
      </c>
      <c r="BP33" s="135" t="n">
        <v>0.2726</v>
      </c>
      <c r="BQ33" s="135" t="n">
        <v>0.2726</v>
      </c>
      <c r="BR33" s="137" t="n">
        <v>84967000</v>
      </c>
      <c r="BS33" s="51" t="inlineStr">
        <is>
          <t>规模商业化（已量产）</t>
        </is>
      </c>
      <c r="BT33" s="142" t="n">
        <v>0</v>
      </c>
      <c r="BU33" s="60" t="inlineStr">
        <is>
          <t>Main Board</t>
        </is>
      </c>
      <c r="BV33" s="89" t="inlineStr">
        <is>
          <t>H Shares</t>
        </is>
      </c>
      <c r="BW33" s="61" t="n">
        <v>0</v>
      </c>
      <c r="BX33" s="77" t="n">
        <v>0</v>
      </c>
      <c r="BY33" s="77" t="n">
        <v>0</v>
      </c>
      <c r="BZ33" s="78" t="n">
        <v>0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42663</v>
      </c>
      <c r="CD33" s="171" t="n">
        <v>9.42</v>
      </c>
      <c r="CE33" s="76" t="inlineStr">
        <is>
          <t>PRC</t>
        </is>
      </c>
      <c r="CF33" s="89" t="inlineStr">
        <is>
          <t>Jiaxing City, Zhejiang Province, PRC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551637000</v>
      </c>
      <c r="CO33" s="64" t="n">
        <v>-133907000</v>
      </c>
      <c r="CP33" s="64" t="n">
        <v>-134471000</v>
      </c>
      <c r="CQ33" s="141" t="n">
        <v>46097</v>
      </c>
      <c r="CR33" s="141" t="n">
        <v>46100</v>
      </c>
      <c r="CS33" s="63" t="n">
        <v>427883729</v>
      </c>
      <c r="CT33" s="64" t="n">
        <v>91412000</v>
      </c>
      <c r="CU33" s="64" t="n">
        <v>3000000</v>
      </c>
      <c r="CV33" s="59" t="inlineStr">
        <is>
          <t>无保留意见 (Unqualified opinion)</t>
        </is>
      </c>
      <c r="CW33" s="64" t="n">
        <v>59600000</v>
      </c>
      <c r="CX33" s="51" t="inlineStr">
        <is>
          <t>NA</t>
        </is>
      </c>
      <c r="CY33" s="142" t="n">
        <v>0</v>
      </c>
      <c r="CZ33" s="136" t="inlineStr">
        <is>
          <t>NA</t>
        </is>
      </c>
      <c r="DA33" s="143" t="n">
        <v>2153.26</v>
      </c>
      <c r="DB33" s="63" t="n">
        <v>107253</v>
      </c>
      <c r="DC33" s="63" t="n">
        <v>7923551200</v>
      </c>
      <c r="DD33" s="59" t="inlineStr">
        <is>
          <t>Subscription level 2153.26 times</t>
        </is>
      </c>
      <c r="DE33" s="141" t="n">
        <v>46101</v>
      </c>
      <c r="DF33" s="141" t="n">
        <v>46104</v>
      </c>
      <c r="DG33" s="63" t="n">
        <v>36798000</v>
      </c>
      <c r="DH33" s="63" t="n">
        <v>3679800</v>
      </c>
      <c r="DI33" s="63" t="n">
        <v>33118200</v>
      </c>
      <c r="DJ33" s="63" t="n">
        <v>0</v>
      </c>
      <c r="DK33" s="169" t="n">
        <v>0</v>
      </c>
      <c r="DL33" s="59" t="inlineStr">
        <is>
          <t>Reallocation: N/A (no clawback); final number of Offer Shares under the Hong Kong Public Offering remains 3,679,800, being 10% of the Global Offering.</t>
        </is>
      </c>
      <c r="DM33" s="144" t="n">
        <v>555700000</v>
      </c>
      <c r="DN33" s="142" t="n">
        <v>0.5985</v>
      </c>
      <c r="DO33" s="51" t="n">
        <v>427883729</v>
      </c>
      <c r="DP33" s="142" t="n">
        <v>0.08599999999999999</v>
      </c>
      <c r="DQ33" s="59" t="inlineStr">
        <is>
          <t>Free float denominator = total issued Shares upon Listing (427,883,729 Shares, same as col_CZ), excluding Shares issuable under the Pre-IPO Share Option Scheme; free float shares = Global Offering Shares 36,798,000 minus cornerstone allocation 0.</t>
        </is>
      </c>
      <c r="DR33" s="63" t="n">
        <v>427883729</v>
      </c>
      <c r="DS33" s="142" t="n">
        <v>-0.06318435999999999</v>
      </c>
      <c r="DT33" s="80" t="n">
        <v>44</v>
      </c>
      <c r="DU33" s="142" t="n">
        <v>0.0207583</v>
      </c>
      <c r="DV33" s="144" t="n">
        <v>53854000000</v>
      </c>
      <c r="DW33" s="145" t="n">
        <v>30.7</v>
      </c>
      <c r="DX33" s="169" t="n">
        <v>0.842737</v>
      </c>
      <c r="DY33" s="172" t="n">
        <v>516643920</v>
      </c>
      <c r="DZ33" s="146" t="n">
        <v>32</v>
      </c>
      <c r="EA33" s="146" t="n">
        <v>34.98</v>
      </c>
      <c r="EB33" s="146" t="n">
        <v>29</v>
      </c>
      <c r="EC33" s="63" t="n">
        <v>11298600</v>
      </c>
      <c r="ED33" s="169" t="n">
        <v>0.307044</v>
      </c>
      <c r="EE33" s="64" t="n">
        <v>334777000</v>
      </c>
      <c r="EF33" s="60" t="inlineStr">
        <is>
          <t>Mechanism B</t>
        </is>
      </c>
      <c r="EG33" s="59" t="inlineStr">
        <is>
          <t>FINI (from 22/11/2023); 2025-08-04 pricing reform (Mechanism A/B; six-month cornerstone lock-up retained); this IPO: Mechanism B</t>
        </is>
      </c>
      <c r="EH33" t="inlineStr">
        <is>
          <t>浙江凯乐士科技集团股份有限公司</t>
        </is>
      </c>
      <c r="EI33" s="174" t="inlineStr">
        <is>
          <t>Active</t>
        </is>
      </c>
      <c r="EJ33" s="175" t="n">
        <v>37.92</v>
      </c>
      <c r="EK33" s="176" t="n">
        <v>0.235179</v>
      </c>
      <c r="EL33" s="176" t="n">
        <v>1.27611</v>
      </c>
      <c r="EM33" s="176" t="n">
        <v>0.033973</v>
      </c>
      <c r="EN33" s="176" t="n">
        <v>0.007168</v>
      </c>
      <c r="EO33" s="179" t="n">
        <v>1.1946</v>
      </c>
      <c r="EP33" s="179" t="n">
        <v>1.2264</v>
      </c>
      <c r="EQ33" s="178" t="n">
        <v>44924785</v>
      </c>
      <c r="ER33" s="175" t="n">
        <v>28.08</v>
      </c>
      <c r="ES33" s="176" t="n">
        <v>-0.085342</v>
      </c>
      <c r="ET33" s="176" t="n">
        <v>0.685474</v>
      </c>
      <c r="EU33" s="176" t="n">
        <v>-0.012072</v>
      </c>
      <c r="EV33" s="176" t="n">
        <v>-0.09724099999999999</v>
      </c>
      <c r="EW33" s="179" t="n">
        <v>0.9258</v>
      </c>
      <c r="EX33" s="179" t="n">
        <v>1.0132</v>
      </c>
      <c r="EY33" s="178" t="n">
        <v>33550995</v>
      </c>
      <c r="EZ33" s="176" t="n">
        <v>0.100219</v>
      </c>
      <c r="FA33" s="176" t="n"/>
      <c r="FB33" s="179" t="n"/>
      <c r="FC33" s="176" t="n"/>
      <c r="FD33" s="179" t="n"/>
      <c r="FE33" s="174" t="inlineStr">
        <is>
          <t>Standard</t>
        </is>
      </c>
      <c r="FF33" s="181" t="inlineStr">
        <is>
          <t>China International Capital Corporation / Sponsor-OC</t>
        </is>
      </c>
      <c r="FG33" s="185" t="inlineStr">
        <is>
          <t>2026-04-23</t>
        </is>
      </c>
      <c r="FH33" s="183" t="n">
        <v>0</v>
      </c>
      <c r="FI33" s="178" t="n">
        <v>0</v>
      </c>
      <c r="FJ33" s="176" t="n">
        <v>0.15</v>
      </c>
      <c r="FK33" s="185" t="inlineStr">
        <is>
          <t>2026-04-23</t>
        </is>
      </c>
      <c r="FL33" s="178" t="n">
        <v>0</v>
      </c>
      <c r="FM33" s="176" t="n">
        <v>0</v>
      </c>
      <c r="FN33" s="176" t="n">
        <v>-0.131553</v>
      </c>
      <c r="FO33" s="176" t="n">
        <v>-0.146097</v>
      </c>
      <c r="FP33" s="176" t="n">
        <v>0.43558</v>
      </c>
      <c r="FQ33" s="176" t="n">
        <v>-0.054072</v>
      </c>
      <c r="FR33" s="179" t="n">
        <v>0.9579</v>
      </c>
      <c r="FS33" s="176" t="n">
        <v>0.235179</v>
      </c>
      <c r="FT33" s="179" t="n">
        <v>1.1946</v>
      </c>
      <c r="FU33" s="176" t="n">
        <v>-0.028664</v>
      </c>
      <c r="FV33" s="179" t="n">
        <v>1.0738</v>
      </c>
      <c r="FW33" s="179" t="n">
        <v>1.1026</v>
      </c>
      <c r="FX33" s="178" t="n">
        <v>25765387.3</v>
      </c>
      <c r="FY33" s="186" t="n">
        <v>0.003723306451612903</v>
      </c>
      <c r="FZ33" s="183" t="n">
        <v>0</v>
      </c>
      <c r="GA33" s="176" t="n">
        <v>0.09094832349744154</v>
      </c>
      <c r="GB33" s="176" t="n">
        <v>0.417447</v>
      </c>
      <c r="GC33" s="185" t="inlineStr">
        <is>
          <t>2026-09-24</t>
        </is>
      </c>
      <c r="GD33" s="185" t="inlineStr">
        <is>
          <t>2027-03-24</t>
        </is>
      </c>
      <c r="GE33" s="176" t="n"/>
      <c r="GF33" s="176" t="n"/>
      <c r="GG33" s="179" t="n"/>
      <c r="GH33" s="181" t="inlineStr">
        <is>
          <t>China International Capital Corporation / Sponsor-OC</t>
        </is>
      </c>
      <c r="GI33" s="183" t="n">
        <v>0</v>
      </c>
      <c r="GJ33" s="183" t="n">
        <v>0</v>
      </c>
      <c r="GK33" s="176" t="n">
        <v>0.0002</v>
      </c>
      <c r="GL33" s="176" t="n">
        <v>0.01</v>
      </c>
      <c r="GM33" s="176" t="n">
        <v>0.0102</v>
      </c>
      <c r="GN33" s="183" t="n">
        <v>0</v>
      </c>
      <c r="GO33" s="183" t="n">
        <v>0</v>
      </c>
      <c r="GP33" s="183" t="n">
        <v>0</v>
      </c>
      <c r="GQ33" s="183" t="n">
        <v>3</v>
      </c>
      <c r="GR33" s="183" t="n">
        <v>1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34</v>
      </c>
      <c r="B34" s="47" t="inlineStr">
        <is>
          <t>1021.HK</t>
        </is>
      </c>
      <c r="C34" s="44" t="inlineStr">
        <is>
          <t>Guangdong Huayan Robotics Co., Ltd. - H Shares</t>
        </is>
      </c>
      <c r="D34" s="130" t="n">
        <v>46101</v>
      </c>
      <c r="E34" s="48" t="n">
        <v>46111</v>
      </c>
      <c r="F34" s="43" t="inlineStr">
        <is>
          <t>China International Capital Corporation Hong Kong Securities Limited / Deutsche Securities Asia Limited</t>
        </is>
      </c>
      <c r="G34" s="43" t="inlineStr">
        <is>
          <t>Ernst &amp; Young</t>
        </is>
      </c>
      <c r="H34" s="43" t="inlineStr">
        <is>
          <t>N/A</t>
        </is>
      </c>
      <c r="I34" s="131" t="n">
        <v>274669000</v>
      </c>
      <c r="J34" s="148" t="n">
        <v>1533648200</v>
      </c>
      <c r="K34" s="133" t="n">
        <v>17</v>
      </c>
      <c r="L34" t="n">
        <v>531479980</v>
      </c>
      <c r="M34" s="67" t="n">
        <v>80785000</v>
      </c>
      <c r="N34" t="n">
        <v>450694980</v>
      </c>
      <c r="O34" t="n">
        <v>450694980</v>
      </c>
      <c r="P34" t="n">
        <v>0</v>
      </c>
      <c r="Q34" t="n">
        <v>80785000</v>
      </c>
      <c r="R34" s="67" t="n">
        <v>76745600</v>
      </c>
      <c r="S34" s="67" t="n">
        <v>4039400</v>
      </c>
      <c r="T34" s="147" t="n">
        <v>17</v>
      </c>
      <c r="U34" s="147" t="n">
        <v>17</v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584215000</v>
      </c>
      <c r="AA34" s="137" t="n">
        <v>616563000</v>
      </c>
      <c r="AB34" s="137" t="n">
        <v>680231000</v>
      </c>
      <c r="AC34" s="137" t="n">
        <v>478065000</v>
      </c>
      <c r="AD34" s="137" t="n">
        <v>496259000</v>
      </c>
      <c r="AE34" s="137" t="n">
        <v>528093000</v>
      </c>
      <c r="AF34" s="137" t="n">
        <v>106150000</v>
      </c>
      <c r="AG34" s="137" t="n">
        <v>120304000</v>
      </c>
      <c r="AH34" s="137" t="n">
        <v>152138000</v>
      </c>
      <c r="AI34" s="137" t="n">
        <v>175380000</v>
      </c>
      <c r="AJ34" s="137" t="n">
        <v>310441000</v>
      </c>
      <c r="AK34" s="137" t="n">
        <v>374506666.6666667</v>
      </c>
      <c r="AL34" s="137" t="n">
        <v>-39547000</v>
      </c>
      <c r="AM34" s="137" t="n">
        <v>16709000</v>
      </c>
      <c r="AN34" s="137" t="n">
        <v>-25584000</v>
      </c>
      <c r="AO34" s="137" t="n">
        <v>1895000</v>
      </c>
      <c r="AP34" s="137" t="n">
        <v>17869000</v>
      </c>
      <c r="AQ34" s="137" t="n">
        <v>-20784000</v>
      </c>
      <c r="AR34" s="142" t="n">
        <v>0.0225</v>
      </c>
      <c r="AS34" s="142" t="n">
        <v>0.0225</v>
      </c>
      <c r="AT34" s="84" t="n">
        <v>0.15</v>
      </c>
      <c r="AU34" s="51" t="inlineStr">
        <is>
          <t>Collaborative robotics company engaged in the development, manufacturing and sale of collaborative robots (“cobots”) and core motion components for industrial automation applications</t>
        </is>
      </c>
      <c r="AV34" s="51" t="inlineStr">
        <is>
          <t>Chapter 18C Specialist Technology Company (Commercial Company)</t>
        </is>
      </c>
      <c r="AW34" s="136" t="n">
        <v>45930</v>
      </c>
      <c r="AX34" s="137" t="n">
        <v>-18313000</v>
      </c>
      <c r="AY34" s="117" t="n">
        <v>101151000</v>
      </c>
      <c r="AZ34" s="117" t="n">
        <v>50978000</v>
      </c>
      <c r="BA34" s="117" t="n">
        <v>0</v>
      </c>
      <c r="BB34" s="138" t="n">
        <v>0.553</v>
      </c>
      <c r="BC34" s="139" t="n">
        <v>0.75</v>
      </c>
      <c r="BD34" s="80" t="n">
        <v>1</v>
      </c>
      <c r="BE34" s="161" t="n">
        <v>1</v>
      </c>
      <c r="BF34" s="161" t="n">
        <v>0</v>
      </c>
      <c r="BG34" s="161" t="n">
        <v>1</v>
      </c>
      <c r="BH34" s="161" t="n">
        <v>1</v>
      </c>
      <c r="BI34" s="161" t="n">
        <v>0</v>
      </c>
      <c r="BJ34" s="162" t="inlineStr">
        <is>
          <t>Foxconn (Industrial Fulian); Guangdong Semiconductor Fund; Yuecai Venture Capital</t>
        </is>
      </c>
      <c r="BK34" s="163" t="n">
        <v>0.6056</v>
      </c>
      <c r="BL34" s="161" t="n">
        <v>1</v>
      </c>
      <c r="BM34" s="164" t="inlineStr">
        <is>
          <t>Series A</t>
        </is>
      </c>
      <c r="BN34" s="165" t="n">
        <v>6.33</v>
      </c>
      <c r="BO34" s="51" t="inlineStr">
        <is>
          <t>自然人</t>
        </is>
      </c>
      <c r="BP34" s="135" t="n">
        <v>0.3006</v>
      </c>
      <c r="BQ34" s="135" t="n">
        <v>0.3345</v>
      </c>
      <c r="BR34" s="137" t="n">
        <v>16580000</v>
      </c>
      <c r="BS34" s="51" t="inlineStr">
        <is>
          <t>商业化阶段（已实现成功的商业化，符合上市规则第18C章 Commercial Company 收入要求）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1</v>
      </c>
      <c r="CA34" s="60" t="inlineStr">
        <is>
          <t>701030</t>
        </is>
      </c>
      <c r="CB34" s="76" t="inlineStr">
        <is>
          <t>HSICS (Hang Seng Industry Classification System) 2026</t>
        </is>
      </c>
      <c r="CC34" s="140" t="n">
        <v>42985</v>
      </c>
      <c r="CD34" s="171" t="n">
        <v>8.56</v>
      </c>
      <c r="CE34" s="76" t="inlineStr">
        <is>
          <t>PRC</t>
        </is>
      </c>
      <c r="CF34" s="89" t="inlineStr">
        <is>
          <t>Foshan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280880000</v>
      </c>
      <c r="CO34" s="64" t="n">
        <v>-19188000</v>
      </c>
      <c r="CP34" s="64" t="n">
        <v>-15588000</v>
      </c>
      <c r="CQ34" s="141" t="n">
        <v>46101</v>
      </c>
      <c r="CR34" s="141" t="n">
        <v>46106</v>
      </c>
      <c r="CS34" s="63" t="n">
        <v>513452180</v>
      </c>
      <c r="CT34" s="64" t="n">
        <v>105552000</v>
      </c>
      <c r="CU34" s="64" t="n">
        <v>6297000</v>
      </c>
      <c r="CV34" s="59" t="inlineStr">
        <is>
          <t>无保留意见 (Unqualified opinion)</t>
        </is>
      </c>
      <c r="CW34" s="64" t="n">
        <v>92900000</v>
      </c>
      <c r="CX34" s="51" t="inlineStr">
        <is>
          <t>HHLRA; GF Fund; MSIP; Samson Group; Haojun Investment and HTCI (in connection with Haojun Investment OTC Swaps); Eternal Summer; Shrewd Pioneer; Richfirm; VVC Technology</t>
        </is>
      </c>
      <c r="CY34" s="142" t="n">
        <v>0.4872</v>
      </c>
      <c r="CZ34" s="136" t="n">
        <v>46295</v>
      </c>
      <c r="DA34" s="143" t="n">
        <v>5059.38</v>
      </c>
      <c r="DB34" s="63" t="n">
        <v>227070</v>
      </c>
      <c r="DC34" s="63" t="n">
        <v>20436879200</v>
      </c>
      <c r="DD34" s="59" t="inlineStr">
        <is>
          <t>Subscription level (before taking into account the Offer Size Adjustment Option) 5,059.38 times</t>
        </is>
      </c>
      <c r="DE34" s="141" t="inlineStr">
        <is>
          <t>NA</t>
        </is>
      </c>
      <c r="DF34" s="141" t="n">
        <v>46108</v>
      </c>
      <c r="DG34" s="63" t="n">
        <v>92902600</v>
      </c>
      <c r="DH34" s="63" t="n">
        <v>16157000</v>
      </c>
      <c r="DI34" s="63" t="n">
        <v>76745600</v>
      </c>
      <c r="DJ34" s="63" t="n">
        <v>13469000</v>
      </c>
      <c r="DK34" s="169" t="n">
        <v>0.9665319999999999</v>
      </c>
      <c r="DL34" s="59" t="inlineStr">
        <is>
          <t>12,117,600 Offer Shares reallocated from the International Offering to the Hong Kong Public Offering (claw-back), giving a final Hong Kong Public Offering of 16,157,000 Offer Shares</t>
        </is>
      </c>
      <c r="DM34" s="144" t="n">
        <v>1478180000</v>
      </c>
      <c r="DN34" s="142" t="n">
        <v>0.5339</v>
      </c>
      <c r="DO34" s="51" t="n">
        <v>543597580</v>
      </c>
      <c r="DP34" s="142" t="n">
        <v>0.0876</v>
      </c>
      <c r="DQ34" s="59" t="inlineStr">
        <is>
          <t>Free float denominator = number of issued Shares upon Listing (543,597,580 Shares, after full exercise of the Offer Size Adjustment Option and before exercise of the Over-allotment Option); the Company confirms it satisfies the Rule 19A.13C free float requirement at the final Offer Price of HK$17.00 per H Share.</t>
        </is>
      </c>
      <c r="DR34" s="63" t="n">
        <v>543597580</v>
      </c>
      <c r="DS34" s="142" t="n">
        <v>-0.04513453</v>
      </c>
      <c r="DT34" s="80" t="n">
        <v>40</v>
      </c>
      <c r="DU34" s="142" t="n">
        <v>0.0205446</v>
      </c>
      <c r="DV34" s="144" t="n">
        <v>53770000000</v>
      </c>
      <c r="DW34" s="145" t="n">
        <v>18.4</v>
      </c>
      <c r="DX34" s="169" t="n">
        <v>0.082353</v>
      </c>
      <c r="DY34" s="172" t="n">
        <v>130063640</v>
      </c>
      <c r="DZ34" s="146" t="n">
        <v>16.8</v>
      </c>
      <c r="EA34" s="146" t="n">
        <v>21.52</v>
      </c>
      <c r="EB34" s="146" t="n">
        <v>16.5</v>
      </c>
      <c r="EC34" s="63" t="n">
        <v>44789300</v>
      </c>
      <c r="ED34" s="169" t="n">
        <v>0.48211</v>
      </c>
      <c r="EE34" s="64" t="n">
        <v>842825030</v>
      </c>
      <c r="EF34" s="60" t="inlineStr">
        <is>
          <t>Mechanism A</t>
        </is>
      </c>
      <c r="EG34" s="59" t="inlineStr">
        <is>
          <t>FINI (from 22/11/2023); 2025-08-04 pricing reform (Mechanism A/B; six-month cornerstone lock-up retained); this IPO: Mechanism A</t>
        </is>
      </c>
      <c r="EH34" t="inlineStr">
        <is>
          <t>广东华沿机器人股份有限公司</t>
        </is>
      </c>
      <c r="EI34" s="174" t="inlineStr">
        <is>
          <t>Active</t>
        </is>
      </c>
      <c r="EJ34" s="175" t="n">
        <v>19.9</v>
      </c>
      <c r="EK34" s="176" t="n">
        <v>0.081522</v>
      </c>
      <c r="EL34" s="176" t="n">
        <v>0.170588</v>
      </c>
      <c r="EM34" s="176" t="n">
        <v>0.05499</v>
      </c>
      <c r="EN34" s="176" t="n">
        <v>0.046895</v>
      </c>
      <c r="EO34" s="179" t="n">
        <v>1.0251</v>
      </c>
      <c r="EP34" s="179" t="n">
        <v>1.0331</v>
      </c>
      <c r="EQ34" s="178" t="n">
        <v>114006531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18C (Specialist Tech)</t>
        </is>
      </c>
      <c r="FF34" s="181" t="inlineStr">
        <is>
          <t>China International Capital Corporation Hong Kong Securities 
Limited</t>
        </is>
      </c>
      <c r="FG34" s="185" t="inlineStr">
        <is>
          <t>2026-04-24</t>
        </is>
      </c>
      <c r="FH34" s="183" t="n">
        <v>1</v>
      </c>
      <c r="FI34" s="178" t="n">
        <v>13935200</v>
      </c>
      <c r="FJ34" s="176" t="n">
        <v>0.15</v>
      </c>
      <c r="FK34" s="185" t="inlineStr">
        <is>
          <t>2026-04-24</t>
        </is>
      </c>
      <c r="FL34" s="178" t="n">
        <v>13935200</v>
      </c>
      <c r="FM34" s="176" t="n">
        <v>1</v>
      </c>
      <c r="FN34" s="176" t="n">
        <v>-0.007035</v>
      </c>
      <c r="FO34" s="176" t="n">
        <v>-0.151764</v>
      </c>
      <c r="FP34" s="176" t="n">
        <v>0.245843</v>
      </c>
      <c r="FQ34" s="176" t="n">
        <v>-0.039674</v>
      </c>
      <c r="FR34" s="179" t="n">
        <v>0.918</v>
      </c>
      <c r="FS34" s="176" t="n">
        <v>0.081522</v>
      </c>
      <c r="FT34" s="179" t="n">
        <v>1.0251</v>
      </c>
      <c r="FU34" s="176" t="n">
        <v>-0.09402199999999999</v>
      </c>
      <c r="FV34" s="179" t="n">
        <v>0.9603</v>
      </c>
      <c r="FW34" s="179" t="n">
        <v>0.9445</v>
      </c>
      <c r="FX34" s="178" t="n">
        <v>51825237.62</v>
      </c>
      <c r="FY34" s="186" t="n">
        <v>0.0028624</v>
      </c>
      <c r="FZ34" s="183" t="n">
        <v>0</v>
      </c>
      <c r="GA34" s="176" t="n">
        <v>0.06066842130621305</v>
      </c>
      <c r="GB34" s="176" t="n">
        <v>0.666998</v>
      </c>
      <c r="GC34" s="185" t="inlineStr">
        <is>
          <t>2026-09-30</t>
        </is>
      </c>
      <c r="GD34" s="185" t="inlineStr">
        <is>
          <t>2027-03-30</t>
        </is>
      </c>
      <c r="GE34" s="176" t="n"/>
      <c r="GF34" s="176" t="n"/>
      <c r="GG34" s="179" t="n"/>
      <c r="GH34" s="181" t="inlineStr">
        <is>
          <t>China International Capital Corporation Hong Kong Securities 
Limited</t>
        </is>
      </c>
      <c r="GI34" s="183" t="n">
        <v>0</v>
      </c>
      <c r="GJ34" s="183" t="n">
        <v>0</v>
      </c>
      <c r="GK34" s="176" t="n">
        <v>0.000225</v>
      </c>
      <c r="GL34" s="176" t="n">
        <v>0.01</v>
      </c>
      <c r="GM34" s="176" t="n">
        <v>0.010225</v>
      </c>
      <c r="GN34" s="183" t="n">
        <v>9</v>
      </c>
      <c r="GO34" s="183" t="n">
        <v>1</v>
      </c>
      <c r="GP34" s="183" t="n">
        <v>0</v>
      </c>
      <c r="GQ34" s="183" t="n">
        <v>3</v>
      </c>
      <c r="GR34" s="183" t="n">
        <v>1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35</v>
      </c>
      <c r="B35" s="47" t="inlineStr">
        <is>
          <t>2526.HK</t>
        </is>
      </c>
      <c r="C35" s="44" t="inlineStr">
        <is>
          <t>Hangzhou Diagens Biotechnology Co., Ltd. - B - H Shares</t>
        </is>
      </c>
      <c r="D35" s="130" t="n">
        <v>46101</v>
      </c>
      <c r="E35" s="48" t="n">
        <v>46111</v>
      </c>
      <c r="F35" s="43" t="inlineStr">
        <is>
          <t>Huatai Financial Holdings (Hong Kong) Limited</t>
        </is>
      </c>
      <c r="G35" s="43" t="inlineStr">
        <is>
          <t>Ernst &amp; Young</t>
        </is>
      </c>
      <c r="H35" s="43" t="inlineStr">
        <is>
          <t>N/A</t>
        </is>
      </c>
      <c r="I35" s="131" t="n">
        <v>79195050</v>
      </c>
      <c r="J35" s="148" t="n">
        <v>712725750</v>
      </c>
      <c r="K35" s="133" t="n">
        <v>99</v>
      </c>
      <c r="L35" t="n">
        <v>88879200</v>
      </c>
      <c r="M35" s="67" t="n">
        <v>7999200</v>
      </c>
      <c r="N35" t="n">
        <v>80880000</v>
      </c>
      <c r="O35" t="n">
        <v>80880000</v>
      </c>
      <c r="P35" t="n">
        <v>0</v>
      </c>
      <c r="Q35" t="n">
        <v>7999200</v>
      </c>
      <c r="R35" s="67" t="n">
        <v>7199250</v>
      </c>
      <c r="S35" s="67" t="n">
        <v>799950</v>
      </c>
      <c r="T35" s="147" t="n">
        <v>112.5</v>
      </c>
      <c r="U35" s="147" t="n">
        <v>95.59999999999999</v>
      </c>
      <c r="V35" s="169" t="n">
        <v>-0.048534</v>
      </c>
      <c r="W35" s="169" t="n">
        <v>0.162422</v>
      </c>
      <c r="X35" s="170" t="inlineStr">
        <is>
          <t>Within range</t>
        </is>
      </c>
      <c r="Y35" s="26" t="inlineStr">
        <is>
          <t>RMB</t>
        </is>
      </c>
      <c r="Z35" s="137" t="n">
        <v>221090000</v>
      </c>
      <c r="AA35" s="137" t="n">
        <v>212474000</v>
      </c>
      <c r="AB35" s="137" t="n">
        <v>244069000</v>
      </c>
      <c r="AC35" s="137" t="n">
        <v>-85618000</v>
      </c>
      <c r="AD35" s="137" t="n">
        <v>174182000</v>
      </c>
      <c r="AE35" s="137" t="n">
        <v>196062000</v>
      </c>
      <c r="AF35" s="137" t="n">
        <v>306708000</v>
      </c>
      <c r="AG35" s="137" t="n">
        <v>38292000</v>
      </c>
      <c r="AH35" s="137" t="n">
        <v>48007000</v>
      </c>
      <c r="AI35" s="137" t="n">
        <v>52844000</v>
      </c>
      <c r="AJ35" s="137" t="n">
        <v>70352000</v>
      </c>
      <c r="AK35" s="137" t="n">
        <v>148821333.3333333</v>
      </c>
      <c r="AL35" s="137" t="n">
        <v>-56184000</v>
      </c>
      <c r="AM35" s="137" t="n">
        <v>-43389000</v>
      </c>
      <c r="AN35" s="137" t="n">
        <v>-48884000</v>
      </c>
      <c r="AO35" s="137" t="n">
        <v>-56116000</v>
      </c>
      <c r="AP35" s="137" t="n">
        <v>-43375000</v>
      </c>
      <c r="AQ35" s="137" t="n">
        <v>-48865333.33333334</v>
      </c>
      <c r="AR35" s="142" t="n">
        <v>0.03</v>
      </c>
      <c r="AS35" s="142" t="n">
        <v>0.03</v>
      </c>
      <c r="AT35" s="84" t="n">
        <v>0</v>
      </c>
      <c r="AU35" s="51" t="inlineStr">
        <is>
          <t>Medical devices company focusing on medical imaging products and services</t>
        </is>
      </c>
      <c r="AV35" s="51" t="inlineStr">
        <is>
          <t>Chapter 18A</t>
        </is>
      </c>
      <c r="AW35" s="136" t="n">
        <v>45930</v>
      </c>
      <c r="AX35" s="137" t="n">
        <v>-21553000</v>
      </c>
      <c r="AY35" s="117" t="n">
        <v>39595000</v>
      </c>
      <c r="AZ35" s="117" t="n">
        <v>68672000</v>
      </c>
      <c r="BA35" s="117" t="n">
        <v>0</v>
      </c>
      <c r="BB35" s="138" t="n">
        <v>0.5600000000000001</v>
      </c>
      <c r="BC35" s="139" t="n">
        <v>0.75</v>
      </c>
      <c r="BD35" s="80" t="n">
        <v>1</v>
      </c>
      <c r="BE35" s="161" t="n">
        <v>1</v>
      </c>
      <c r="BF35" s="161" t="n">
        <v>1</v>
      </c>
      <c r="BG35" s="161" t="n">
        <v>0</v>
      </c>
      <c r="BH35" s="161" t="n">
        <v>1</v>
      </c>
      <c r="BI35" s="161" t="n">
        <v>1</v>
      </c>
      <c r="BJ35" s="162" t="inlineStr">
        <is>
          <t>Lilly Asia Ventures; CDH Investments; Hangzhou High-Tech Venture Fund</t>
        </is>
      </c>
      <c r="BK35" s="163" t="n">
        <v>0.445</v>
      </c>
      <c r="BL35" s="161" t="n">
        <v>1</v>
      </c>
      <c r="BM35" s="164" t="inlineStr">
        <is>
          <t>Series A</t>
        </is>
      </c>
      <c r="BN35" s="165" t="n">
        <v>7.42</v>
      </c>
      <c r="BO35" s="51" t="inlineStr">
        <is>
          <t>自然人</t>
        </is>
      </c>
      <c r="BP35" s="135" t="n">
        <v>0.4737</v>
      </c>
      <c r="BQ35" s="135" t="n">
        <v>0.4737</v>
      </c>
      <c r="BR35" s="137" t="n">
        <v>11938000</v>
      </c>
      <c r="BS35" s="51" t="inlineStr">
        <is>
          <t>Commercialized — one commercialized product (AutoVision®), three commercialized medical devices and four key reagents and consumables; Core Product AI AutoVision® at registration stage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1</v>
      </c>
      <c r="BZ35" s="78" t="n">
        <v>0</v>
      </c>
      <c r="CA35" s="60" t="inlineStr">
        <is>
          <t>282010</t>
        </is>
      </c>
      <c r="CB35" s="76" t="inlineStr">
        <is>
          <t>HSICS (Hang Seng Industry Classification System) 2026</t>
        </is>
      </c>
      <c r="CC35" s="140" t="n">
        <v>42632</v>
      </c>
      <c r="CD35" s="171" t="n">
        <v>9.52</v>
      </c>
      <c r="CE35" s="76" t="inlineStr">
        <is>
          <t>PRC</t>
        </is>
      </c>
      <c r="CF35" s="89" t="inlineStr">
        <is>
          <t>Hangzhou, Zhejiang, PRC</t>
        </is>
      </c>
      <c r="CG35" s="91" t="n">
        <v>1000</v>
      </c>
      <c r="CH35" s="60" t="inlineStr">
        <is>
          <t>HKFRS Accounting Standards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111616000</v>
      </c>
      <c r="CO35" s="64" t="n">
        <v>-36663000</v>
      </c>
      <c r="CP35" s="64" t="n">
        <v>-36649000</v>
      </c>
      <c r="CQ35" s="141" t="n">
        <v>46101</v>
      </c>
      <c r="CR35" s="141" t="n">
        <v>46106</v>
      </c>
      <c r="CS35" s="63" t="n">
        <v>88879200</v>
      </c>
      <c r="CT35" s="64" t="n">
        <v>84669000</v>
      </c>
      <c r="CU35" s="64" t="n">
        <v>6200000</v>
      </c>
      <c r="CV35" s="59" t="inlineStr">
        <is>
          <t>Unqualified opinion</t>
        </is>
      </c>
      <c r="CW35" s="64" t="n">
        <v>69800000</v>
      </c>
      <c r="CX35" s="51" t="inlineStr">
        <is>
          <t>NA</t>
        </is>
      </c>
      <c r="CY35" s="142" t="n">
        <v>0</v>
      </c>
      <c r="CZ35" s="136" t="inlineStr">
        <is>
          <t>NA</t>
        </is>
      </c>
      <c r="DA35" s="143" t="n">
        <v>1073.37</v>
      </c>
      <c r="DB35" s="63" t="n">
        <v>115017</v>
      </c>
      <c r="DC35" s="63" t="n">
        <v>858643350</v>
      </c>
      <c r="DD35" s="59" t="inlineStr">
        <is>
          <t>Subscription level 1,073.37 times</t>
        </is>
      </c>
      <c r="DE35" s="141" t="n">
        <v>46107</v>
      </c>
      <c r="DF35" s="141" t="n">
        <v>46108</v>
      </c>
      <c r="DG35" s="63" t="n">
        <v>7999200</v>
      </c>
      <c r="DH35" s="63" t="n">
        <v>799950</v>
      </c>
      <c r="DI35" s="63" t="n">
        <v>7199250</v>
      </c>
      <c r="DJ35" s="63" t="n">
        <v>0</v>
      </c>
      <c r="DK35" s="169" t="n">
        <v>0</v>
      </c>
      <c r="DL35" s="59" t="inlineStr">
        <is>
          <t>Reallocation: No; No. of Offer Shares reallocated from the International Offering: 0</t>
        </is>
      </c>
      <c r="DM35" s="144" t="n">
        <v>719800000</v>
      </c>
      <c r="DN35" s="142" t="n">
        <v>0.5263</v>
      </c>
      <c r="DO35" s="51" t="n">
        <v>88879200</v>
      </c>
      <c r="DP35" s="142" t="n">
        <v>0.09</v>
      </c>
      <c r="DQ35" s="59" t="inlineStr">
        <is>
          <t>Free float denominator = total number of issued Shares upon Listing (88,879,200 Shares); all existing Shareholders (80,880,000 Shares) are subject to a 12-month lock-up under the PRC Company Law and there are no cornerstone investors, so the free float consists of the 7,999,200 H Shares under the Global Offering.</t>
        </is>
      </c>
      <c r="DR35" s="63" t="n">
        <v>88879200</v>
      </c>
      <c r="DS35" s="142" t="n">
        <v>-0.04513453</v>
      </c>
      <c r="DT35" s="80" t="n">
        <v>40</v>
      </c>
      <c r="DU35" s="142" t="n">
        <v>0.0205446</v>
      </c>
      <c r="DV35" s="144" t="n">
        <v>53770000000</v>
      </c>
      <c r="DW35" s="145" t="n">
        <v>209.6</v>
      </c>
      <c r="DX35" s="169" t="n">
        <v>1.117172</v>
      </c>
      <c r="DY35" s="172" t="n">
        <v>884711520</v>
      </c>
      <c r="DZ35" s="146" t="n">
        <v>219</v>
      </c>
      <c r="EA35" s="146" t="n">
        <v>226</v>
      </c>
      <c r="EB35" s="146" t="n">
        <v>191</v>
      </c>
      <c r="EC35" s="63" t="n">
        <v>2240320</v>
      </c>
      <c r="ED35" s="169" t="n">
        <v>0.280068</v>
      </c>
      <c r="EE35" s="64" t="n">
        <v>446524500</v>
      </c>
      <c r="EF35" s="60" t="inlineStr">
        <is>
          <t>Mechanism B</t>
        </is>
      </c>
      <c r="EG35" s="59" t="inlineStr">
        <is>
          <t>FINI (from 22/11/2023); 2025-08-04 pricing reform (Mechanism A/B; six-month cornerstone lock-up retained); this IPO: Mechanism B</t>
        </is>
      </c>
      <c r="EH35" t="inlineStr">
        <is>
          <t>杭州德适生物科技股份有限公司</t>
        </is>
      </c>
      <c r="EI35" s="174" t="inlineStr">
        <is>
          <t>Active</t>
        </is>
      </c>
      <c r="EJ35" s="175" t="n">
        <v>271</v>
      </c>
      <c r="EK35" s="176" t="n">
        <v>0.292939</v>
      </c>
      <c r="EL35" s="176" t="n">
        <v>1.737374</v>
      </c>
      <c r="EM35" s="176" t="n">
        <v>0.05499</v>
      </c>
      <c r="EN35" s="176" t="n">
        <v>0.046895</v>
      </c>
      <c r="EO35" s="179" t="n">
        <v>1.2255</v>
      </c>
      <c r="EP35" s="179" t="n">
        <v>1.235</v>
      </c>
      <c r="EQ35" s="178" t="n">
        <v>101206090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18A (Biotech / B-tag)</t>
        </is>
      </c>
      <c r="FF35" s="181" t="inlineStr">
        <is>
          <t>China International Capital Corporation / Sponsor-OC</t>
        </is>
      </c>
      <c r="FG35" s="185" t="inlineStr">
        <is>
          <t>2026-04-29</t>
        </is>
      </c>
      <c r="FH35" s="183" t="n">
        <v>0</v>
      </c>
      <c r="FI35" s="178" t="n">
        <v>0</v>
      </c>
      <c r="FJ35" s="176" t="n">
        <v>0.15</v>
      </c>
      <c r="FK35" s="185" t="inlineStr">
        <is>
          <t>2026-03-30</t>
        </is>
      </c>
      <c r="FL35" s="178" t="n">
        <v>0</v>
      </c>
      <c r="FM35" s="176" t="n">
        <v>0</v>
      </c>
      <c r="FN35" s="176" t="n">
        <v>0.088459</v>
      </c>
      <c r="FO35" s="176" t="n">
        <v>0.309963</v>
      </c>
      <c r="FP35" s="176" t="n">
        <v>0.564035</v>
      </c>
      <c r="FQ35" s="176" t="n">
        <v>0.302481</v>
      </c>
      <c r="FR35" s="179" t="n">
        <v>1.245</v>
      </c>
      <c r="FS35" s="176" t="n">
        <v>0.292939</v>
      </c>
      <c r="FT35" s="179" t="n">
        <v>1.2255</v>
      </c>
      <c r="FU35" s="176" t="n">
        <v>0.479008</v>
      </c>
      <c r="FV35" s="179" t="n">
        <v>1.5677</v>
      </c>
      <c r="FW35" s="179" t="n">
        <v>1.5418</v>
      </c>
      <c r="FX35" s="178" t="n">
        <v>57255946.03</v>
      </c>
      <c r="FY35" s="186" t="n">
        <v>0.002345633333333333</v>
      </c>
      <c r="FZ35" s="183" t="n">
        <v>0</v>
      </c>
      <c r="GA35" s="176" t="n">
        <v>0.1352744016430744</v>
      </c>
      <c r="GB35" s="176" t="n">
        <v>0.493661</v>
      </c>
      <c r="GC35" s="185" t="inlineStr">
        <is>
          <t>2026-09-30</t>
        </is>
      </c>
      <c r="GD35" s="185" t="inlineStr">
        <is>
          <t>2027-03-30</t>
        </is>
      </c>
      <c r="GE35" s="176" t="n"/>
      <c r="GF35" s="176" t="n"/>
      <c r="GG35" s="179" t="n"/>
      <c r="GH35" s="181" t="inlineStr">
        <is>
          <t>China International Capital Corporation / Sponsor-OC</t>
        </is>
      </c>
      <c r="GI35" s="183" t="n">
        <v>0</v>
      </c>
      <c r="GJ35" s="183" t="n">
        <v>0</v>
      </c>
      <c r="GK35" s="176" t="n">
        <v>0.0003</v>
      </c>
      <c r="GL35" s="176" t="n">
        <v>0.01</v>
      </c>
      <c r="GM35" s="176" t="n">
        <v>0.0103</v>
      </c>
      <c r="GN35" s="183" t="n">
        <v>0</v>
      </c>
      <c r="GO35" s="183" t="n">
        <v>0</v>
      </c>
      <c r="GP35" s="183" t="n">
        <v>0</v>
      </c>
      <c r="GQ35" s="183" t="n">
        <v>3</v>
      </c>
      <c r="GR35" s="183" t="n">
        <v>1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36</v>
      </c>
      <c r="B36" s="47" t="inlineStr">
        <is>
          <t>2726.HK</t>
        </is>
      </c>
      <c r="C36" s="44" t="inlineStr">
        <is>
          <t>Epiworld International Co., Ltd. - H Shares</t>
        </is>
      </c>
      <c r="D36" s="130" t="n">
        <v>46101</v>
      </c>
      <c r="E36" s="48" t="n">
        <v>46111</v>
      </c>
      <c r="F36" s="43" t="inlineStr">
        <is>
          <t>China International Capital Corporation Hong Kong Securities Limited</t>
        </is>
      </c>
      <c r="G36" s="43" t="inlineStr">
        <is>
          <t>BDO Limited</t>
        </is>
      </c>
      <c r="H36" s="43" t="inlineStr">
        <is>
          <t>N/A</t>
        </is>
      </c>
      <c r="I36" s="131" t="n">
        <v>163901805</v>
      </c>
      <c r="J36" s="148" t="n">
        <v>1475081928</v>
      </c>
      <c r="K36" s="133" t="n">
        <v>76.26000000000001</v>
      </c>
      <c r="L36" t="n">
        <v>425584810</v>
      </c>
      <c r="M36" s="67" t="n">
        <v>21492050</v>
      </c>
      <c r="N36" t="n">
        <v>404092760</v>
      </c>
      <c r="O36" t="n">
        <v>404092760</v>
      </c>
      <c r="P36" t="n">
        <v>0</v>
      </c>
      <c r="Q36" t="n">
        <v>21492050</v>
      </c>
      <c r="R36" s="67" t="n">
        <v>19342800</v>
      </c>
      <c r="S36" s="67" t="n">
        <v>2149250</v>
      </c>
      <c r="T36" s="147" t="n">
        <v>76.26000000000001</v>
      </c>
      <c r="U36" s="147" t="n">
        <v>76.26000000000001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3073598000</v>
      </c>
      <c r="AA36" s="137" t="n">
        <v>4502944000</v>
      </c>
      <c r="AB36" s="137" t="n">
        <v>4366624000</v>
      </c>
      <c r="AC36" s="137" t="n">
        <v>1464167000</v>
      </c>
      <c r="AD36" s="137" t="n">
        <v>2813484000</v>
      </c>
      <c r="AE36" s="137" t="n">
        <v>2977464000</v>
      </c>
      <c r="AF36" s="137" t="n">
        <v>1609431000</v>
      </c>
      <c r="AG36" s="137" t="n">
        <v>1689460000</v>
      </c>
      <c r="AH36" s="137" t="n">
        <v>1389160000</v>
      </c>
      <c r="AI36" s="137" t="n">
        <v>1142502000</v>
      </c>
      <c r="AJ36" s="137" t="n">
        <v>974316000</v>
      </c>
      <c r="AK36" s="137" t="n">
        <v>713417333.3333334</v>
      </c>
      <c r="AL36" s="137" t="n">
        <v>163153000</v>
      </c>
      <c r="AM36" s="137" t="n">
        <v>208181000</v>
      </c>
      <c r="AN36" s="137" t="n">
        <v>58968000</v>
      </c>
      <c r="AO36" s="137" t="n">
        <v>107505000</v>
      </c>
      <c r="AP36" s="137" t="n">
        <v>165067000</v>
      </c>
      <c r="AQ36" s="137" t="n">
        <v>28193333.33333333</v>
      </c>
      <c r="AR36" s="142" t="n">
        <v>0.025</v>
      </c>
      <c r="AS36" s="142" t="n">
        <v>0.025</v>
      </c>
      <c r="AT36" s="84" t="n">
        <v>0</v>
      </c>
      <c r="AU36" s="51" t="inlineStr">
        <is>
          <t>Silicon carbide (SiC) epitaxy industry; research and development, mass production and sales of SiC epitaxial wafers</t>
        </is>
      </c>
      <c r="AV36" s="51" t="inlineStr">
        <is>
          <t>Main Board (Chapter 19A PRC issuer)</t>
        </is>
      </c>
      <c r="AW36" s="136" t="n">
        <v>45930</v>
      </c>
      <c r="AX36" s="137" t="n">
        <v>176241000</v>
      </c>
      <c r="AY36" s="117" t="n">
        <v>1832787000</v>
      </c>
      <c r="AZ36" s="117" t="n">
        <v>50374000</v>
      </c>
      <c r="BA36" s="117" t="n">
        <v>0</v>
      </c>
      <c r="BB36" s="138" t="n">
        <v>0.619</v>
      </c>
      <c r="BC36" s="139" t="n">
        <v>0.75</v>
      </c>
      <c r="BD36" s="80" t="n">
        <v>1</v>
      </c>
      <c r="BE36" s="161" t="n">
        <v>0</v>
      </c>
      <c r="BF36" s="161" t="n">
        <v>0</v>
      </c>
      <c r="BG36" s="161" t="n">
        <v>1</v>
      </c>
      <c r="BH36" s="161" t="n">
        <v>1</v>
      </c>
      <c r="BI36" s="161" t="n">
        <v>1</v>
      </c>
      <c r="BJ36" s="162" t="inlineStr">
        <is>
          <t>Huawei Hubble; BYD; SAIC; Guangdong Semiconductor Fund</t>
        </is>
      </c>
      <c r="BK36" s="163" t="n">
        <v>0.368</v>
      </c>
      <c r="BL36" s="161" t="n">
        <v>1</v>
      </c>
      <c r="BM36" s="164" t="inlineStr">
        <is>
          <t>Series A</t>
        </is>
      </c>
      <c r="BN36" s="165" t="n">
        <v>6.5</v>
      </c>
      <c r="BO36" s="51" t="inlineStr">
        <is>
          <t>自然人</t>
        </is>
      </c>
      <c r="BP36" s="135" t="n">
        <v>0.2739</v>
      </c>
      <c r="BQ36" s="135" t="n">
        <v>0.2739</v>
      </c>
      <c r="BR36" s="137" t="n">
        <v>769604000</v>
      </c>
      <c r="BS36" s="51" t="inlineStr">
        <is>
          <t>已量产/规模商业化——全球最大碳化硅外延代工厂，SiC 外延片已实现大规模商业化供应（含 8 英寸）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703020</t>
        </is>
      </c>
      <c r="CB36" s="76" t="inlineStr">
        <is>
          <t>HSICS (Hang Seng Industry Classification System) 2026</t>
        </is>
      </c>
      <c r="CC36" s="140" t="n">
        <v>40633</v>
      </c>
      <c r="CD36" s="171" t="n">
        <v>15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 Accounting Standards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535063000</v>
      </c>
      <c r="CO36" s="64" t="n">
        <v>44226000</v>
      </c>
      <c r="CP36" s="64" t="n">
        <v>21145000</v>
      </c>
      <c r="CQ36" s="141" t="n">
        <v>46101</v>
      </c>
      <c r="CR36" s="141" t="n">
        <v>46106</v>
      </c>
      <c r="CS36" s="63" t="n">
        <v>425584810</v>
      </c>
      <c r="CT36" s="64" t="n">
        <v>137081000</v>
      </c>
      <c r="CU36" s="64" t="n">
        <v>69806000</v>
      </c>
      <c r="CV36" s="59" t="inlineStr">
        <is>
          <t>无保留意见 (Unqualified opinion)</t>
        </is>
      </c>
      <c r="CW36" s="64" t="n">
        <v>78900000</v>
      </c>
      <c r="CX36" s="51" t="inlineStr">
        <is>
          <t>Xiamen Advanced Intelligent Manufacturing Industry Investment Limited</t>
        </is>
      </c>
      <c r="CY36" s="142" t="n">
        <v>0.468</v>
      </c>
      <c r="CZ36" s="136" t="n">
        <v>46295</v>
      </c>
      <c r="DA36" s="143" t="n">
        <v>50.66</v>
      </c>
      <c r="DB36" s="63" t="n">
        <v>45084</v>
      </c>
      <c r="DC36" s="63" t="n">
        <v>108882750</v>
      </c>
      <c r="DD36" s="59" t="inlineStr">
        <is>
          <t>Subscription level 50.66 times</t>
        </is>
      </c>
      <c r="DE36" s="141" t="inlineStr">
        <is>
          <t>NA</t>
        </is>
      </c>
      <c r="DF36" s="141" t="n">
        <v>46108</v>
      </c>
      <c r="DG36" s="63" t="n">
        <v>21492050</v>
      </c>
      <c r="DH36" s="63" t="n">
        <v>2149250</v>
      </c>
      <c r="DI36" s="63" t="n">
        <v>19342800</v>
      </c>
      <c r="DJ36" s="63" t="n">
        <v>0</v>
      </c>
      <c r="DK36" s="169" t="n">
        <v>0</v>
      </c>
      <c r="DL36" s="59" t="inlineStr">
        <is>
          <t>0 Offer Shares reallocated from the International Offering to the Hong Kong Public Offering</t>
        </is>
      </c>
      <c r="DM36" s="144" t="n">
        <v>1559500000</v>
      </c>
      <c r="DN36" s="142" t="n">
        <v>0.1506</v>
      </c>
      <c r="DO36" s="51" t="n">
        <v>425584810</v>
      </c>
      <c r="DP36" s="142" t="n">
        <v>0.0268655</v>
      </c>
      <c r="DQ36" s="59" t="inlineStr">
        <is>
          <t>Existing Shareholders' Shares (subject to a one-year lock-up under the PRC Company Law) and the Cornerstone Investor's H Shares are excluded from the free float; denominator is the issued share capital upon Listing</t>
        </is>
      </c>
      <c r="DR36" s="63" t="n">
        <v>425584810</v>
      </c>
      <c r="DS36" s="142" t="n">
        <v>-0.04513453</v>
      </c>
      <c r="DT36" s="80" t="n">
        <v>40</v>
      </c>
      <c r="DU36" s="142" t="n">
        <v>0.0205446</v>
      </c>
      <c r="DV36" s="144" t="n">
        <v>53770000000</v>
      </c>
      <c r="DW36" s="145" t="n">
        <v>103</v>
      </c>
      <c r="DX36" s="169" t="n">
        <v>0.350643</v>
      </c>
      <c r="DY36" s="172" t="n">
        <v>574697417</v>
      </c>
      <c r="DZ36" s="146" t="n">
        <v>110</v>
      </c>
      <c r="EA36" s="146" t="n">
        <v>116</v>
      </c>
      <c r="EB36" s="146" t="n">
        <v>92.3</v>
      </c>
      <c r="EC36" s="63" t="n">
        <v>2471710</v>
      </c>
      <c r="ED36" s="169" t="n">
        <v>0.115006</v>
      </c>
      <c r="EE36" s="64" t="n">
        <v>258528900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瀚天天成电子科技（厦门）股份有限公司</t>
        </is>
      </c>
      <c r="EI36" s="174" t="inlineStr">
        <is>
          <t>Active</t>
        </is>
      </c>
      <c r="EJ36" s="175" t="n">
        <v>104.2</v>
      </c>
      <c r="EK36" s="176" t="n">
        <v>0.01165</v>
      </c>
      <c r="EL36" s="176" t="n">
        <v>0.366378</v>
      </c>
      <c r="EM36" s="176" t="n">
        <v>0.05499</v>
      </c>
      <c r="EN36" s="176" t="n">
        <v>0.046895</v>
      </c>
      <c r="EO36" s="179" t="n">
        <v>0.9589</v>
      </c>
      <c r="EP36" s="179" t="n">
        <v>0.9663</v>
      </c>
      <c r="EQ36" s="178" t="n">
        <v>36502105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2026-04-29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2026-03-30</t>
        </is>
      </c>
      <c r="FL36" s="178" t="n">
        <v>0</v>
      </c>
      <c r="FM36" s="176" t="n">
        <v>0</v>
      </c>
      <c r="FN36" s="176" t="n">
        <v>0.08078</v>
      </c>
      <c r="FO36" s="176" t="n">
        <v>0.012476</v>
      </c>
      <c r="FP36" s="176" t="n">
        <v>0.766114</v>
      </c>
      <c r="FQ36" s="176" t="n">
        <v>0.07767</v>
      </c>
      <c r="FR36" s="179" t="n">
        <v>1.0301</v>
      </c>
      <c r="FS36" s="176" t="n">
        <v>0.01165</v>
      </c>
      <c r="FT36" s="179" t="n">
        <v>0.9589</v>
      </c>
      <c r="FU36" s="176" t="n">
        <v>0.012621</v>
      </c>
      <c r="FV36" s="179" t="n">
        <v>1.0734</v>
      </c>
      <c r="FW36" s="179" t="n">
        <v>1.0556</v>
      </c>
      <c r="FX36" s="178" t="n">
        <v>30202249.21</v>
      </c>
      <c r="FY36" s="186" t="n">
        <v>0.001319616666666667</v>
      </c>
      <c r="FZ36" s="183" t="n">
        <v>0</v>
      </c>
      <c r="GA36" s="176" t="n">
        <v>0.0586440249458861</v>
      </c>
      <c r="GB36" s="176" t="n">
        <v>0.421986</v>
      </c>
      <c r="GC36" s="185" t="inlineStr">
        <is>
          <t>2026-09-30</t>
        </is>
      </c>
      <c r="GD36" s="185" t="inlineStr">
        <is>
          <t>2027-03-30</t>
        </is>
      </c>
      <c r="GE36" s="176" t="n"/>
      <c r="GF36" s="176" t="n"/>
      <c r="GG36" s="179" t="n"/>
      <c r="GH36" s="181" t="inlineStr">
        <is>
          <t>China International Capital Corporation / Sponsor-OC</t>
        </is>
      </c>
      <c r="GI36" s="183" t="n">
        <v>0</v>
      </c>
      <c r="GJ36" s="183" t="n">
        <v>0</v>
      </c>
      <c r="GK36" s="176" t="n">
        <v>0.00025</v>
      </c>
      <c r="GL36" s="176" t="n">
        <v>0.01</v>
      </c>
      <c r="GM36" s="176" t="n">
        <v>0.01025</v>
      </c>
      <c r="GN36" s="183" t="n">
        <v>1</v>
      </c>
      <c r="GO36" s="183" t="n">
        <v>1</v>
      </c>
      <c r="GP36" s="183" t="n">
        <v>0</v>
      </c>
      <c r="GQ36" s="183" t="n">
        <v>4</v>
      </c>
      <c r="GR36" s="183" t="n">
        <v>1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37</v>
      </c>
      <c r="B37" s="47" t="inlineStr">
        <is>
          <t>6636.HK</t>
        </is>
      </c>
      <c r="C37" s="44" t="inlineStr">
        <is>
          <t>Shandong Extreme Vision Technology Co., Ltd. - H Shares</t>
        </is>
      </c>
      <c r="D37" s="130" t="n">
        <v>46101</v>
      </c>
      <c r="E37" s="48" t="n">
        <v>46111</v>
      </c>
      <c r="F37" s="43" t="inlineStr">
        <is>
          <t>CITIC Securities (Hong Kong) Limited</t>
        </is>
      </c>
      <c r="G37" s="43" t="inlineStr">
        <is>
          <t>Ernst &amp; Young</t>
        </is>
      </c>
      <c r="H37" s="43" t="inlineStr">
        <is>
          <t>N/A</t>
        </is>
      </c>
      <c r="I37" s="131" t="n">
        <v>99840000</v>
      </c>
      <c r="J37" s="148" t="n">
        <v>399360000</v>
      </c>
      <c r="K37" s="133" t="n">
        <v>40</v>
      </c>
      <c r="L37" t="n">
        <v>112914783</v>
      </c>
      <c r="M37" s="67" t="n">
        <v>12480000</v>
      </c>
      <c r="N37" t="n">
        <v>100434783</v>
      </c>
      <c r="O37" t="n">
        <v>100434783</v>
      </c>
      <c r="P37" t="n">
        <v>0</v>
      </c>
      <c r="Q37" t="n">
        <v>12480000</v>
      </c>
      <c r="R37" s="67" t="n">
        <v>11856000</v>
      </c>
      <c r="S37" s="67" t="n">
        <v>624000</v>
      </c>
      <c r="T37" s="147" t="n">
        <v>40</v>
      </c>
      <c r="U37" s="147" t="n">
        <v>40</v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335225000</v>
      </c>
      <c r="AA37" s="137" t="n">
        <v>470796000</v>
      </c>
      <c r="AB37" s="137" t="n">
        <v>474647000</v>
      </c>
      <c r="AC37" s="137" t="n">
        <v>212488000</v>
      </c>
      <c r="AD37" s="137" t="n">
        <v>242982000</v>
      </c>
      <c r="AE37" s="137" t="n">
        <v>215974000</v>
      </c>
      <c r="AF37" s="137" t="n">
        <v>122737000</v>
      </c>
      <c r="AG37" s="137" t="n">
        <v>227814000</v>
      </c>
      <c r="AH37" s="137" t="n">
        <v>258673000</v>
      </c>
      <c r="AI37" s="137" t="n">
        <v>127681000</v>
      </c>
      <c r="AJ37" s="137" t="n">
        <v>257296000</v>
      </c>
      <c r="AK37" s="137" t="n">
        <v>181738666.6666667</v>
      </c>
      <c r="AL37" s="137" t="n">
        <v>-56025000</v>
      </c>
      <c r="AM37" s="137" t="n">
        <v>4925000</v>
      </c>
      <c r="AN37" s="137" t="n">
        <v>-49232000</v>
      </c>
      <c r="AO37" s="137" t="n">
        <v>-56246000</v>
      </c>
      <c r="AP37" s="137" t="n">
        <v>8708000</v>
      </c>
      <c r="AQ37" s="137" t="n">
        <v>-48394666.66666666</v>
      </c>
      <c r="AR37" s="142" t="n">
        <v>0.03</v>
      </c>
      <c r="AS37" s="142" t="n">
        <v>0.03</v>
      </c>
      <c r="AT37" s="84" t="n">
        <v>0</v>
      </c>
      <c r="AU37" s="51" t="inlineStr">
        <is>
          <t>AI computer vision solution provider delivering end-to-end solution development, deployment and management services</t>
        </is>
      </c>
      <c r="AV37" s="51" t="inlineStr">
        <is>
          <t>Chapter 18C Specialist Technology Company (Commercial Company)</t>
        </is>
      </c>
      <c r="AW37" s="136" t="n">
        <v>45930</v>
      </c>
      <c r="AX37" s="137" t="n">
        <v>-21373000</v>
      </c>
      <c r="AY37" s="117" t="n">
        <v>19684000</v>
      </c>
      <c r="AZ37" s="117" t="n">
        <v>46860000</v>
      </c>
      <c r="BA37" s="117" t="n">
        <v>0</v>
      </c>
      <c r="BB37" s="138" t="n">
        <v>0.305</v>
      </c>
      <c r="BC37" s="139" t="n">
        <v>0.75</v>
      </c>
      <c r="BD37" s="80" t="n">
        <v>1</v>
      </c>
      <c r="BE37" s="161" t="n">
        <v>1</v>
      </c>
      <c r="BF37" s="161" t="n">
        <v>0</v>
      </c>
      <c r="BG37" s="161" t="n">
        <v>1</v>
      </c>
      <c r="BH37" s="161" t="n">
        <v>1</v>
      </c>
      <c r="BI37" s="161" t="n">
        <v>1</v>
      </c>
      <c r="BJ37" s="162" t="inlineStr">
        <is>
          <t>Qualcomm Ventures; China Resources Capital; Shandong Development Fund</t>
        </is>
      </c>
      <c r="BK37" s="163" t="n">
        <v>0.412</v>
      </c>
      <c r="BL37" s="161" t="n">
        <v>1</v>
      </c>
      <c r="BM37" s="164" t="inlineStr">
        <is>
          <t>Series Angel</t>
        </is>
      </c>
      <c r="BN37" s="165" t="n">
        <v>9.33</v>
      </c>
      <c r="BO37" s="51" t="inlineStr">
        <is>
          <t>自然人</t>
        </is>
      </c>
      <c r="BP37" s="135" t="n">
        <v>0.2654</v>
      </c>
      <c r="BQ37" s="135" t="n">
        <v>0.2654</v>
      </c>
      <c r="BR37" s="137" t="n">
        <v>81962000</v>
      </c>
      <c r="BS37" s="51" t="inlineStr">
        <is>
          <t>商业化阶段：以项目制模式交付（project-based business model），累计交付逾6,000个项目、服务逾3,000名客户，产品复购率超80%；大型模型解决方案自2024年起推向市场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1</v>
      </c>
      <c r="CA37" s="60" t="inlineStr">
        <is>
          <t>702015</t>
        </is>
      </c>
      <c r="CB37" s="76" t="inlineStr">
        <is>
          <t>HSICS (Hang Seng Industry Classification System) 2026</t>
        </is>
      </c>
      <c r="CC37" s="140" t="n">
        <v>42170</v>
      </c>
      <c r="CD37" s="171" t="n">
        <v>10.79</v>
      </c>
      <c r="CE37" s="76" t="inlineStr">
        <is>
          <t>PRC</t>
        </is>
      </c>
      <c r="CF37" s="89" t="inlineStr">
        <is>
          <t>Qingdao, Shandong Province, PRC</t>
        </is>
      </c>
      <c r="CG37" s="91" t="n">
        <v>1000</v>
      </c>
      <c r="CH37" s="60" t="inlineStr">
        <is>
          <t>IFRS Accounting Standards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136304000</v>
      </c>
      <c r="CO37" s="64" t="n">
        <v>-36924000</v>
      </c>
      <c r="CP37" s="64" t="n">
        <v>-36296000</v>
      </c>
      <c r="CQ37" s="141" t="n">
        <v>46101</v>
      </c>
      <c r="CR37" s="141" t="n">
        <v>46106</v>
      </c>
      <c r="CS37" s="63" t="n">
        <v>112352436</v>
      </c>
      <c r="CT37" s="64" t="n">
        <v>61144000</v>
      </c>
      <c r="CU37" s="64" t="n">
        <v>1021000</v>
      </c>
      <c r="CV37" s="59" t="inlineStr">
        <is>
          <t>无保留意见（Unqualified opinion）</t>
        </is>
      </c>
      <c r="CW37" s="64" t="n">
        <v>64200000</v>
      </c>
      <c r="CX37" s="51" t="inlineStr">
        <is>
          <t>Zhengjin International; GKI</t>
        </is>
      </c>
      <c r="CY37" s="142" t="n">
        <v>0.0946</v>
      </c>
      <c r="CZ37" s="136" t="n">
        <v>46295</v>
      </c>
      <c r="DA37" s="143" t="n">
        <v>4591.37</v>
      </c>
      <c r="DB37" s="63" t="n">
        <v>159089</v>
      </c>
      <c r="DC37" s="63" t="n">
        <v>2865013350</v>
      </c>
      <c r="DD37" s="59" t="inlineStr">
        <is>
          <t>Subscription level 4,591.37 times</t>
        </is>
      </c>
      <c r="DE37" s="141" t="inlineStr">
        <is>
          <t>NA</t>
        </is>
      </c>
      <c r="DF37" s="141" t="n">
        <v>46108</v>
      </c>
      <c r="DG37" s="63" t="n">
        <v>12480000</v>
      </c>
      <c r="DH37" s="63" t="n">
        <v>2496000</v>
      </c>
      <c r="DI37" s="63" t="n">
        <v>9984000</v>
      </c>
      <c r="DJ37" s="63" t="n">
        <v>0</v>
      </c>
      <c r="DK37" s="169" t="n">
        <v>0</v>
      </c>
      <c r="DL37" s="59" t="inlineStr">
        <is>
          <t>Claw-back triggered: Yes; 1,872,000 Offer Shares reallocated from the International Offering to the Hong Kong Public Offering (Hong Kong Public Offering increased from 624,000 to 2,496,000 Offer Shares, i.e. 20% of the Global Offering).</t>
        </is>
      </c>
      <c r="DM37" s="144" t="n">
        <v>434400000</v>
      </c>
      <c r="DN37" s="142" t="n">
        <v>0.6038</v>
      </c>
      <c r="DO37" s="51" t="n">
        <v>112914783</v>
      </c>
      <c r="DP37" s="142" t="n">
        <v>0.1001</v>
      </c>
      <c r="DQ37" s="59" t="inlineStr">
        <is>
          <t>Free float denominator = total number of issued Shares upon Listing = 112,914,783 Shares. Free float comprises H Shares held by the public and not subject to any disposal restrictions: the 12,480,000 Global Offering H Shares less the 1,180,000 H Shares allocated to Cornerstone Investors; all existing Shareholders are subject to a 12-month lock-up under applicable PRC law.</t>
        </is>
      </c>
      <c r="DR37" s="63" t="n">
        <v>112914783</v>
      </c>
      <c r="DS37" s="142" t="n">
        <v>-0.04513453</v>
      </c>
      <c r="DT37" s="80" t="n">
        <v>40</v>
      </c>
      <c r="DU37" s="142" t="n">
        <v>0.0205446</v>
      </c>
      <c r="DV37" s="144" t="n">
        <v>53770000000</v>
      </c>
      <c r="DW37" s="145" t="n">
        <v>100</v>
      </c>
      <c r="DX37" s="169" t="n">
        <v>1.5</v>
      </c>
      <c r="DY37" s="172" t="n">
        <v>748800000</v>
      </c>
      <c r="DZ37" s="146" t="n">
        <v>59.95</v>
      </c>
      <c r="EA37" s="146" t="n">
        <v>100</v>
      </c>
      <c r="EB37" s="146" t="n">
        <v>56</v>
      </c>
      <c r="EC37" s="63" t="n">
        <v>8025925</v>
      </c>
      <c r="ED37" s="169" t="n">
        <v>0.643103</v>
      </c>
      <c r="EE37" s="64" t="n">
        <v>579463300</v>
      </c>
      <c r="EF37" s="60" t="inlineStr">
        <is>
          <t>Mechanism A</t>
        </is>
      </c>
      <c r="EG37" s="59" t="inlineStr">
        <is>
          <t>FINI (from 22/11/2023); 2025-08-04 pricing reform (Mechanism A/B; six-month cornerstone lock-up retained); this IPO: Mechanism A</t>
        </is>
      </c>
      <c r="EH37" t="inlineStr">
        <is>
          <t>山东极视角科技股份有限公司</t>
        </is>
      </c>
      <c r="EI37" s="174" t="inlineStr">
        <is>
          <t>Active</t>
        </is>
      </c>
      <c r="EJ37" s="175" t="n">
        <v>100.5</v>
      </c>
      <c r="EK37" s="176" t="n">
        <v>0.005</v>
      </c>
      <c r="EL37" s="176" t="n">
        <v>1.5125</v>
      </c>
      <c r="EM37" s="176" t="n">
        <v>0.05499</v>
      </c>
      <c r="EN37" s="176" t="n">
        <v>0.046895</v>
      </c>
      <c r="EO37" s="179" t="n">
        <v>0.9526</v>
      </c>
      <c r="EP37" s="179" t="n">
        <v>0.96</v>
      </c>
      <c r="EQ37" s="178" t="n">
        <v>149804695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18C (Specialist Tech)</t>
        </is>
      </c>
      <c r="FF37" s="181" t="inlineStr">
        <is>
          <t>China International Capital Corporation / Sponsor-OC</t>
        </is>
      </c>
      <c r="FG37" s="185" t="inlineStr">
        <is>
          <t>2026-04-29</t>
        </is>
      </c>
      <c r="FH37" s="183" t="n">
        <v>0</v>
      </c>
      <c r="FI37" s="178" t="n">
        <v>0</v>
      </c>
      <c r="FJ37" s="176" t="n">
        <v>0.15</v>
      </c>
      <c r="FK37" s="185" t="inlineStr">
        <is>
          <t>2026-03-30</t>
        </is>
      </c>
      <c r="FL37" s="178" t="n">
        <v>0</v>
      </c>
      <c r="FM37" s="176" t="n">
        <v>0</v>
      </c>
      <c r="FN37" s="176" t="n">
        <v>-0.189542</v>
      </c>
      <c r="FO37" s="176" t="n">
        <v>-0.046269</v>
      </c>
      <c r="FP37" s="176" t="n">
        <v>0.247678</v>
      </c>
      <c r="FQ37" s="176" t="n">
        <v>0.01</v>
      </c>
      <c r="FR37" s="179" t="n">
        <v>0.9654</v>
      </c>
      <c r="FS37" s="176" t="n">
        <v>0.005</v>
      </c>
      <c r="FT37" s="179" t="n">
        <v>0.9526</v>
      </c>
      <c r="FU37" s="176" t="n">
        <v>-0.1615</v>
      </c>
      <c r="FV37" s="179" t="n">
        <v>0.8888</v>
      </c>
      <c r="FW37" s="179" t="n">
        <v>0.8741</v>
      </c>
      <c r="FX37" s="178" t="n">
        <v>66215463.49</v>
      </c>
      <c r="FY37" s="186" t="n">
        <v>0.002358683333333333</v>
      </c>
      <c r="FZ37" s="183" t="n">
        <v>0</v>
      </c>
      <c r="GA37" s="176" t="n">
        <v>0.1494575481816924</v>
      </c>
      <c r="GB37" s="176" t="n">
        <v>0.478642</v>
      </c>
      <c r="GC37" s="185" t="inlineStr">
        <is>
          <t>2026-09-30</t>
        </is>
      </c>
      <c r="GD37" s="185" t="inlineStr">
        <is>
          <t>2027-03-30</t>
        </is>
      </c>
      <c r="GE37" s="176" t="n"/>
      <c r="GF37" s="176" t="n"/>
      <c r="GG37" s="179" t="n"/>
      <c r="GH37" s="181" t="inlineStr">
        <is>
          <t>China International Capital Corporation / Sponsor-OC</t>
        </is>
      </c>
      <c r="GI37" s="183" t="n">
        <v>0</v>
      </c>
      <c r="GJ37" s="183" t="n">
        <v>0</v>
      </c>
      <c r="GK37" s="176" t="n">
        <v>0.0003</v>
      </c>
      <c r="GL37" s="176" t="n">
        <v>0.01</v>
      </c>
      <c r="GM37" s="176" t="n">
        <v>0.0103</v>
      </c>
      <c r="GN37" s="183" t="n">
        <v>2</v>
      </c>
      <c r="GO37" s="183" t="n">
        <v>0</v>
      </c>
      <c r="GP37" s="183" t="n">
        <v>0</v>
      </c>
      <c r="GQ37" s="183" t="n">
        <v>3</v>
      </c>
      <c r="GR37" s="183" t="n">
        <v>1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38</v>
      </c>
      <c r="B38" s="47" t="inlineStr">
        <is>
          <t>0664.HK</t>
        </is>
      </c>
      <c r="C38" s="44" t="inlineStr">
        <is>
          <t>Hangzhou Tongshifu Cultural and Creative (Group) Co., Ltd. - H Shares</t>
        </is>
      </c>
      <c r="D38" s="130" t="n">
        <v>46104</v>
      </c>
      <c r="E38" s="48" t="n">
        <v>46112</v>
      </c>
      <c r="F38" s="43" t="inlineStr">
        <is>
          <t>CMB International Capital Limited</t>
        </is>
      </c>
      <c r="G38" s="43" t="inlineStr">
        <is>
          <t>Deloitte Touche Tohmatsu</t>
        </is>
      </c>
      <c r="H38" s="43" t="inlineStr">
        <is>
          <t>Cushman &amp; Wakefield Limited</t>
        </is>
      </c>
      <c r="I38" s="131" t="n">
        <v>66660000</v>
      </c>
      <c r="J38" s="148" t="n">
        <v>377748000</v>
      </c>
      <c r="K38" s="133" t="n">
        <v>60</v>
      </c>
      <c r="L38" t="n">
        <v>64406800</v>
      </c>
      <c r="M38" s="67" t="n">
        <v>7406800</v>
      </c>
      <c r="N38" t="n">
        <v>57000000</v>
      </c>
      <c r="O38" t="n">
        <v>57000000</v>
      </c>
      <c r="P38" t="n">
        <v>0</v>
      </c>
      <c r="Q38" t="n">
        <v>7406800</v>
      </c>
      <c r="R38" s="67" t="n">
        <v>6666100</v>
      </c>
      <c r="S38" s="67" t="n">
        <v>740700</v>
      </c>
      <c r="T38" s="147" t="n">
        <v>68</v>
      </c>
      <c r="U38" s="147" t="n">
        <v>60</v>
      </c>
      <c r="V38" s="169" t="n">
        <v>-0.0625</v>
      </c>
      <c r="W38" s="169" t="n">
        <v>0.125</v>
      </c>
      <c r="X38" s="170" t="inlineStr">
        <is>
          <t>At low</t>
        </is>
      </c>
      <c r="Y38" s="26" t="inlineStr">
        <is>
          <t>RMB</t>
        </is>
      </c>
      <c r="Z38" s="137" t="n">
        <v>417479000</v>
      </c>
      <c r="AA38" s="137" t="n">
        <v>489024000</v>
      </c>
      <c r="AB38" s="137" t="n">
        <v>536587000</v>
      </c>
      <c r="AC38" s="137" t="n">
        <v>330159000</v>
      </c>
      <c r="AD38" s="137" t="n">
        <v>409141000</v>
      </c>
      <c r="AE38" s="137" t="n">
        <v>450694000</v>
      </c>
      <c r="AF38" s="137" t="n">
        <v>87320000</v>
      </c>
      <c r="AG38" s="137" t="n">
        <v>79883000</v>
      </c>
      <c r="AH38" s="137" t="n">
        <v>85893000</v>
      </c>
      <c r="AI38" s="137" t="n">
        <v>506383000</v>
      </c>
      <c r="AJ38" s="137" t="n">
        <v>571188000</v>
      </c>
      <c r="AK38" s="137" t="n">
        <v>596896000</v>
      </c>
      <c r="AL38" s="137" t="n">
        <v>46841000</v>
      </c>
      <c r="AM38" s="137" t="n">
        <v>88066000</v>
      </c>
      <c r="AN38" s="137" t="n">
        <v>58893333.33333334</v>
      </c>
      <c r="AO38" s="137" t="n">
        <v>44131000</v>
      </c>
      <c r="AP38" s="137" t="n">
        <v>78982000</v>
      </c>
      <c r="AQ38" s="137" t="n">
        <v>55404000</v>
      </c>
      <c r="AR38" s="142" t="n">
        <v>0.03</v>
      </c>
      <c r="AS38" s="142" t="n">
        <v>0.03</v>
      </c>
      <c r="AT38" s="84" t="n">
        <v>0.15</v>
      </c>
      <c r="AU38" s="51" t="inlineStr">
        <is>
          <t>Developing copper-based cultural and creative products by integrating traditional techniques with modern design and usage scenarios</t>
        </is>
      </c>
      <c r="AV38" s="51" t="inlineStr">
        <is>
          <t>Main Board (Chapter 19A PRC issuer)</t>
        </is>
      </c>
      <c r="AW38" s="136" t="n">
        <v>45930</v>
      </c>
      <c r="AX38" s="137" t="n">
        <v>34673000</v>
      </c>
      <c r="AY38" s="117" t="n">
        <v>91940000</v>
      </c>
      <c r="AZ38" s="117" t="n">
        <v>24703000</v>
      </c>
      <c r="BA38" s="117" t="n">
        <v>0</v>
      </c>
      <c r="BB38" s="138" t="n">
        <v>0.096</v>
      </c>
      <c r="BC38" s="139" t="n">
        <v>0.75</v>
      </c>
      <c r="BD38" s="80" t="n">
        <v>1</v>
      </c>
      <c r="BE38" s="161" t="n">
        <v>1</v>
      </c>
      <c r="BF38" s="161" t="n">
        <v>1</v>
      </c>
      <c r="BG38" s="161" t="n">
        <v>1</v>
      </c>
      <c r="BH38" s="161" t="n">
        <v>0</v>
      </c>
      <c r="BI38" s="161" t="n">
        <v>1</v>
      </c>
      <c r="BJ38" s="162" t="inlineStr">
        <is>
          <t>Shunwei Capital; Xiaomi; Tiantu Capital</t>
        </is>
      </c>
      <c r="BK38" s="163" t="n">
        <v>0.294</v>
      </c>
      <c r="BL38" s="161" t="n">
        <v>1</v>
      </c>
      <c r="BM38" s="164" t="inlineStr">
        <is>
          <t>Series A</t>
        </is>
      </c>
      <c r="BN38" s="165" t="n">
        <v>8.5</v>
      </c>
      <c r="BO38" s="51" t="inlineStr">
        <is>
          <t>自然人</t>
        </is>
      </c>
      <c r="BP38" s="135" t="n">
        <v>0.2324</v>
      </c>
      <c r="BQ38" s="135" t="n">
        <v>0.2324</v>
      </c>
      <c r="BR38" s="137" t="n">
        <v>5851000</v>
      </c>
      <c r="BS38" s="51" t="inlineStr">
        <is>
          <t>商业化初期 - 铜文化创意产品持续规模化销售并拓展至金/银/塑料材质；研发聚焦原创设计、打样与工艺改进，而非基础技术</t>
        </is>
      </c>
      <c r="BT38" s="142" t="n">
        <v>0</v>
      </c>
      <c r="BU38" s="60" t="inlineStr">
        <is>
          <t>Main Board</t>
        </is>
      </c>
      <c r="BV38" s="89" t="inlineStr">
        <is>
          <t>H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232030</t>
        </is>
      </c>
      <c r="CB38" s="76" t="inlineStr">
        <is>
          <t>HSICS (Hang Seng Industry Classification System) 2026</t>
        </is>
      </c>
      <c r="CC38" s="140" t="n">
        <v>41359</v>
      </c>
      <c r="CD38" s="171" t="n">
        <v>13.01</v>
      </c>
      <c r="CE38" s="76" t="inlineStr">
        <is>
          <t>PRC</t>
        </is>
      </c>
      <c r="CF38" s="89" t="inlineStr">
        <is>
          <t>Jiande City, Zhejiang Province, PRC</t>
        </is>
      </c>
      <c r="CG38" s="91" t="n">
        <v>1000</v>
      </c>
      <c r="CH38" s="60" t="inlineStr">
        <is>
          <t>IFRS Accounting Standards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447672000</v>
      </c>
      <c r="CO38" s="64" t="n">
        <v>44170000</v>
      </c>
      <c r="CP38" s="64" t="n">
        <v>41553000</v>
      </c>
      <c r="CQ38" s="141" t="n">
        <v>46104</v>
      </c>
      <c r="CR38" s="141" t="n">
        <v>46107</v>
      </c>
      <c r="CS38" s="63" t="n">
        <v>62227201</v>
      </c>
      <c r="CT38" s="64" t="n">
        <v>153607000</v>
      </c>
      <c r="CU38" s="64" t="n">
        <v>23100000</v>
      </c>
      <c r="CV38" s="59" t="inlineStr">
        <is>
          <t>Unqualified opinion (无保留意见)</t>
        </is>
      </c>
      <c r="CW38" s="64" t="n">
        <v>56100000</v>
      </c>
      <c r="CX38" s="51" t="inlineStr">
        <is>
          <t>Jiantou International</t>
        </is>
      </c>
      <c r="CY38" s="142" t="n">
        <v>0.0675</v>
      </c>
      <c r="CZ38" s="136" t="n">
        <v>46295</v>
      </c>
      <c r="DA38" s="143" t="n">
        <v>59.55</v>
      </c>
      <c r="DB38" s="63" t="n">
        <v>26280</v>
      </c>
      <c r="DC38" s="63" t="n">
        <v>44111400</v>
      </c>
      <c r="DD38" s="59" t="inlineStr">
        <is>
          <t>Subscription level 59.55 times</t>
        </is>
      </c>
      <c r="DE38" s="141" t="n">
        <v>46108</v>
      </c>
      <c r="DF38" s="141" t="n">
        <v>46111</v>
      </c>
      <c r="DG38" s="63" t="n">
        <v>7406800</v>
      </c>
      <c r="DH38" s="63" t="n">
        <v>1111000</v>
      </c>
      <c r="DI38" s="63" t="n">
        <v>6295800</v>
      </c>
      <c r="DJ38" s="63" t="n">
        <v>0</v>
      </c>
      <c r="DK38" s="169" t="n">
        <v>0</v>
      </c>
      <c r="DL38" s="59" t="inlineStr">
        <is>
          <t>370,300 H Shares reallocated from the International Offering to the Hong Kong Public Offering</t>
        </is>
      </c>
      <c r="DM38" s="144" t="n">
        <v>390160000</v>
      </c>
      <c r="DN38" s="142" t="n">
        <v>0.583</v>
      </c>
      <c r="DO38" s="51" t="n">
        <v>64406800</v>
      </c>
      <c r="DP38" s="142" t="n">
        <v>0.1072</v>
      </c>
      <c r="DQ38" s="59" t="inlineStr">
        <is>
          <t>Free float denominator = number of issued Shares upon Listing (before exercise of the Over-allotment Option) = 64,406,800 Shares; 500,000 H Shares held by the Cornerstone Investor upon Listing (six-month lock-up) are excluded from the free float</t>
        </is>
      </c>
      <c r="DR38" s="63" t="n">
        <v>64406800</v>
      </c>
      <c r="DS38" s="142" t="n">
        <v>-0.04300969</v>
      </c>
      <c r="DT38" s="80" t="n">
        <v>37</v>
      </c>
      <c r="DU38" s="142" t="n">
        <v>0.0202375</v>
      </c>
      <c r="DV38" s="144" t="n">
        <v>53770000000</v>
      </c>
      <c r="DW38" s="145" t="n">
        <v>30.5</v>
      </c>
      <c r="DX38" s="169" t="n">
        <v>-0.491667</v>
      </c>
      <c r="DY38" s="172" t="n">
        <v>-218500600</v>
      </c>
      <c r="DZ38" s="146" t="n">
        <v>35.42</v>
      </c>
      <c r="EA38" s="146" t="n">
        <v>42</v>
      </c>
      <c r="EB38" s="146" t="n">
        <v>30.26</v>
      </c>
      <c r="EC38" s="63" t="n">
        <v>2897000</v>
      </c>
      <c r="ED38" s="169" t="n">
        <v>0.391127</v>
      </c>
      <c r="EE38" s="64" t="n">
        <v>111474300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杭州铜师傅文创（集团）股份有限公司</t>
        </is>
      </c>
      <c r="EI38" s="174" t="inlineStr">
        <is>
          <t>Active</t>
        </is>
      </c>
      <c r="EJ38" s="175" t="n">
        <v>22.48</v>
      </c>
      <c r="EK38" s="176" t="n">
        <v>-0.262951</v>
      </c>
      <c r="EL38" s="176" t="n">
        <v>-0.625333</v>
      </c>
      <c r="EM38" s="176" t="n">
        <v>0.039873</v>
      </c>
      <c r="EN38" s="176" t="n">
        <v>0.047636</v>
      </c>
      <c r="EO38" s="179" t="n">
        <v>0.7088</v>
      </c>
      <c r="EP38" s="179" t="n">
        <v>0.7035</v>
      </c>
      <c r="EQ38" s="178" t="n">
        <v>13271480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China International Capital Corporation / Sponsor-OC</t>
        </is>
      </c>
      <c r="FG38" s="185" t="inlineStr">
        <is>
          <t>2026-04-30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2026-03-31</t>
        </is>
      </c>
      <c r="FL38" s="178" t="n">
        <v>0</v>
      </c>
      <c r="FM38" s="176" t="n">
        <v>0</v>
      </c>
      <c r="FN38" s="176" t="n">
        <v>-0.07692300000000001</v>
      </c>
      <c r="FO38" s="176" t="n">
        <v>0.071174</v>
      </c>
      <c r="FP38" s="176" t="n">
        <v>0.17582</v>
      </c>
      <c r="FQ38" s="176" t="n">
        <v>-0.127869</v>
      </c>
      <c r="FR38" s="179" t="n">
        <v>0.8395</v>
      </c>
      <c r="FS38" s="176" t="n">
        <v>-0.262951</v>
      </c>
      <c r="FT38" s="179" t="n">
        <v>0.7088</v>
      </c>
      <c r="FU38" s="176" t="n">
        <v>-0.5016389999999999</v>
      </c>
      <c r="FV38" s="179" t="n">
        <v>0.5231</v>
      </c>
      <c r="FW38" s="179" t="n">
        <v>0.5103</v>
      </c>
      <c r="FX38" s="178" t="n">
        <v>5369220.63</v>
      </c>
      <c r="FY38" s="186" t="n">
        <v>0.2999499831932773</v>
      </c>
      <c r="FZ38" s="183" t="n">
        <v>0</v>
      </c>
      <c r="GA38" s="176" t="n">
        <v>0.06426626102882431</v>
      </c>
      <c r="GB38" s="176" t="n">
        <v>0.7166670000000001</v>
      </c>
      <c r="GC38" s="185" t="inlineStr">
        <is>
          <t>2026-09-30</t>
        </is>
      </c>
      <c r="GD38" s="185" t="inlineStr">
        <is>
          <t>2027-03-31</t>
        </is>
      </c>
      <c r="GE38" s="176" t="n"/>
      <c r="GF38" s="176" t="n"/>
      <c r="GG38" s="179" t="n"/>
      <c r="GH38" s="181" t="inlineStr">
        <is>
          <t>China International Capital Corporation / Sponsor-OC</t>
        </is>
      </c>
      <c r="GI38" s="183" t="n">
        <v>0</v>
      </c>
      <c r="GJ38" s="183" t="n">
        <v>0</v>
      </c>
      <c r="GK38" s="176" t="n">
        <v>0.0003</v>
      </c>
      <c r="GL38" s="176" t="n">
        <v>0.01</v>
      </c>
      <c r="GM38" s="176" t="n">
        <v>0.0103</v>
      </c>
      <c r="GN38" s="183" t="n">
        <v>1</v>
      </c>
      <c r="GO38" s="183" t="n">
        <v>0</v>
      </c>
      <c r="GP38" s="183" t="n">
        <v>0</v>
      </c>
      <c r="GQ38" s="183" t="n">
        <v>3</v>
      </c>
      <c r="GR38" s="183" t="n">
        <v>1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39</v>
      </c>
      <c r="B39" s="47" t="inlineStr">
        <is>
          <t>3625.HK</t>
        </is>
      </c>
      <c r="C39" s="44" t="inlineStr">
        <is>
          <t>Shanghai FourSemi Semiconductor Co., Ltd. - H Shares</t>
        </is>
      </c>
      <c r="D39" s="130" t="n">
        <v>46104</v>
      </c>
      <c r="E39" s="48" t="n">
        <v>46112</v>
      </c>
      <c r="F39" s="43" t="inlineStr">
        <is>
          <t>Guotai Junan Capital Limited / Orient Capital (Hong Kong) Limited</t>
        </is>
      </c>
      <c r="G39" s="43" t="inlineStr">
        <is>
          <t>Ernst &amp; Young</t>
        </is>
      </c>
      <c r="H39" s="43" t="inlineStr">
        <is>
          <t>N/A</t>
        </is>
      </c>
      <c r="I39" s="131" t="n">
        <v>96000000</v>
      </c>
      <c r="J39" s="148" t="n">
        <v>384000000</v>
      </c>
      <c r="K39" s="133" t="n">
        <v>40</v>
      </c>
      <c r="L39" t="n">
        <v>112000000</v>
      </c>
      <c r="M39" s="67" t="n">
        <v>12000000</v>
      </c>
      <c r="N39" t="n">
        <v>100000000</v>
      </c>
      <c r="O39" t="n">
        <v>100000000</v>
      </c>
      <c r="P39" t="n">
        <v>0</v>
      </c>
      <c r="Q39" t="n">
        <v>12000000</v>
      </c>
      <c r="R39" s="67" t="n">
        <v>11400000</v>
      </c>
      <c r="S39" s="67" t="n">
        <v>600000</v>
      </c>
      <c r="T39" s="147" t="n">
        <v>50</v>
      </c>
      <c r="U39" s="147" t="n">
        <v>40</v>
      </c>
      <c r="V39" s="169" t="n">
        <v>-0.111111</v>
      </c>
      <c r="W39" s="169" t="n">
        <v>0.222222</v>
      </c>
      <c r="X39" s="170" t="inlineStr">
        <is>
          <t>At low</t>
        </is>
      </c>
      <c r="Y39" s="26" t="inlineStr">
        <is>
          <t>RMB</t>
        </is>
      </c>
      <c r="Z39" s="137" t="n">
        <v>321686000</v>
      </c>
      <c r="AA39" s="137" t="n">
        <v>321427000</v>
      </c>
      <c r="AB39" s="137" t="n">
        <v>302784000</v>
      </c>
      <c r="AC39" s="137" t="n">
        <v>211454000</v>
      </c>
      <c r="AD39" s="137" t="n">
        <v>161873000</v>
      </c>
      <c r="AE39" s="137" t="n">
        <v>116361000</v>
      </c>
      <c r="AF39" s="137" t="n">
        <v>110232000</v>
      </c>
      <c r="AG39" s="137" t="n">
        <v>159554000</v>
      </c>
      <c r="AH39" s="137" t="n">
        <v>186423000</v>
      </c>
      <c r="AI39" s="137" t="n">
        <v>150291000</v>
      </c>
      <c r="AJ39" s="137" t="n">
        <v>355195000</v>
      </c>
      <c r="AK39" s="137" t="n">
        <v>336933600</v>
      </c>
      <c r="AL39" s="137" t="n">
        <v>-94130000</v>
      </c>
      <c r="AM39" s="137" t="n">
        <v>-56844000</v>
      </c>
      <c r="AN39" s="137" t="n">
        <v>-62131200</v>
      </c>
      <c r="AO39" s="137" t="n">
        <v>-94130000</v>
      </c>
      <c r="AP39" s="137" t="n">
        <v>-56844000</v>
      </c>
      <c r="AQ39" s="137" t="n">
        <v>-62131200</v>
      </c>
      <c r="AR39" s="142" t="n">
        <v>0.025</v>
      </c>
      <c r="AS39" s="142" t="n">
        <v>0.025</v>
      </c>
      <c r="AT39" s="84" t="n">
        <v>0.15</v>
      </c>
      <c r="AU39" s="51" t="inlineStr">
        <is>
          <t>Provider of power amplifier audio chips and haptic drivers (fabless semiconductor design)</t>
        </is>
      </c>
      <c r="AV39" s="51" t="inlineStr">
        <is>
          <t>Chapter 18C Specialist Technology Company (Commercial Company)</t>
        </is>
      </c>
      <c r="AW39" s="136" t="n">
        <v>45961</v>
      </c>
      <c r="AX39" s="137" t="n">
        <v>-57267000</v>
      </c>
      <c r="AY39" s="117" t="n">
        <v>73463000</v>
      </c>
      <c r="AZ39" s="117" t="n">
        <v>55690000</v>
      </c>
      <c r="BA39" s="117" t="n">
        <v>0</v>
      </c>
      <c r="BB39" s="138" t="n">
        <v>0.882</v>
      </c>
      <c r="BC39" s="139" t="n">
        <v>0.8333333333333334</v>
      </c>
      <c r="BD39" s="80" t="n">
        <v>1</v>
      </c>
      <c r="BE39" s="161" t="n">
        <v>1</v>
      </c>
      <c r="BF39" s="161" t="n">
        <v>0</v>
      </c>
      <c r="BG39" s="161" t="n">
        <v>1</v>
      </c>
      <c r="BH39" s="161" t="n">
        <v>1</v>
      </c>
      <c r="BI39" s="161" t="n">
        <v>1</v>
      </c>
      <c r="BJ39" s="162" t="inlineStr">
        <is>
          <t>Tencent; Didi; NIO Capital; NavInfo; Hefei High-Tech Fund</t>
        </is>
      </c>
      <c r="BK39" s="163" t="n">
        <v>0.513</v>
      </c>
      <c r="BL39" s="161" t="n">
        <v>1</v>
      </c>
      <c r="BM39" s="164" t="inlineStr">
        <is>
          <t>Pre-Series A</t>
        </is>
      </c>
      <c r="BN39" s="165" t="n">
        <v>7.5</v>
      </c>
      <c r="BO39" s="51" t="inlineStr">
        <is>
          <t>自然人（Mr. Xu Xiaolin 与 Mr. Liu Baoliang 为一致行动人，共同构成控股股东）</t>
        </is>
      </c>
      <c r="BP39" s="135" t="n">
        <v>0.315</v>
      </c>
      <c r="BQ39" s="135" t="n">
        <v>0.315</v>
      </c>
      <c r="BR39" s="137" t="n">
        <v>101451000</v>
      </c>
      <c r="BS39" s="51" t="inlineStr">
        <is>
          <t>商业化阶段：芯片设计企业，产品已商业化并实现量产（多处表述 achieved mass production / successfully launched and commercialized）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1</v>
      </c>
      <c r="CA39" s="60" t="inlineStr">
        <is>
          <t>703010</t>
        </is>
      </c>
      <c r="CB39" s="76" t="inlineStr">
        <is>
          <t>HSICS (Hang Seng Industry Classification System) 2026</t>
        </is>
      </c>
      <c r="CC39" s="140" t="n">
        <v>42507</v>
      </c>
      <c r="CD39" s="171" t="n">
        <v>9.869999999999999</v>
      </c>
      <c r="CE39" s="76" t="inlineStr">
        <is>
          <t>PRC</t>
        </is>
      </c>
      <c r="CF39" s="89" t="inlineStr">
        <is>
          <t>Lin-gang Special Area, China (Shanghai) Free Trade Pilot Zone,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280778000</v>
      </c>
      <c r="CO39" s="64" t="n">
        <v>-51776000</v>
      </c>
      <c r="CP39" s="64" t="n">
        <v>-51776000</v>
      </c>
      <c r="CQ39" s="141" t="n">
        <v>46104</v>
      </c>
      <c r="CR39" s="141" t="n">
        <v>46107</v>
      </c>
      <c r="CS39" s="63" t="n">
        <v>110889800</v>
      </c>
      <c r="CT39" s="64" t="n">
        <v>56057000</v>
      </c>
      <c r="CU39" s="64" t="n">
        <v>882000</v>
      </c>
      <c r="CV39" s="59" t="inlineStr">
        <is>
          <t>无保留意见 (unqualified opinion)</t>
        </is>
      </c>
      <c r="CW39" s="64" t="n">
        <v>59700000</v>
      </c>
      <c r="CX39" s="51" t="inlineStr">
        <is>
          <t>NA</t>
        </is>
      </c>
      <c r="CY39" s="142" t="n">
        <v>0</v>
      </c>
      <c r="CZ39" s="136" t="inlineStr">
        <is>
          <t>NA</t>
        </is>
      </c>
      <c r="DA39" s="143" t="n">
        <v>3118.43</v>
      </c>
      <c r="DB39" s="63" t="n">
        <v>118537</v>
      </c>
      <c r="DC39" s="63" t="n">
        <v>1871057300</v>
      </c>
      <c r="DD39" s="59" t="inlineStr">
        <is>
          <t>Subscription level 3,118.43 times</t>
        </is>
      </c>
      <c r="DE39" s="141" t="n">
        <v>46108</v>
      </c>
      <c r="DF39" s="141" t="n">
        <v>46111</v>
      </c>
      <c r="DG39" s="63" t="n">
        <v>12000000</v>
      </c>
      <c r="DH39" s="63" t="n">
        <v>2400000</v>
      </c>
      <c r="DI39" s="63" t="n">
        <v>9600000</v>
      </c>
      <c r="DJ39" s="63" t="n">
        <v>0</v>
      </c>
      <c r="DK39" s="169" t="n">
        <v>0</v>
      </c>
      <c r="DL39" s="59" t="inlineStr">
        <is>
          <t>1,800,000 H Shares reallocated from the International Offer to the Hong Kong Public Offering (clawback); final Public Offer 2,400,000 H Shares (20.00% of the Global Offering), claw-back triggered</t>
        </is>
      </c>
      <c r="DM39" s="144" t="n">
        <v>422700000</v>
      </c>
      <c r="DN39" s="142" t="n">
        <v>0.6751</v>
      </c>
      <c r="DO39" s="51" t="n">
        <v>112000000</v>
      </c>
      <c r="DP39" s="142" t="n">
        <v>0.1071</v>
      </c>
      <c r="DQ39" s="59" t="inlineStr">
        <is>
          <t>Free float denominator = total issued Shares upon Listing (112,000,000 Shares); free float = Global Offering Shares before over-allotment (12,000,000) less cornerstone allocation (0) = 12,000,000 H Shares (approximately 10.71%). Existing Shareholders' Shares subject to lock-up undertakings upon Listing are excluded from free float.</t>
        </is>
      </c>
      <c r="DR39" s="63" t="n">
        <v>112000000</v>
      </c>
      <c r="DS39" s="142" t="n">
        <v>-0.04300969</v>
      </c>
      <c r="DT39" s="80" t="n">
        <v>37</v>
      </c>
      <c r="DU39" s="142" t="n">
        <v>0.0202375</v>
      </c>
      <c r="DV39" s="144" t="n">
        <v>53770000000</v>
      </c>
      <c r="DW39" s="145" t="n">
        <v>80</v>
      </c>
      <c r="DX39" s="169" t="n">
        <v>1</v>
      </c>
      <c r="DY39" s="172" t="n">
        <v>480000000</v>
      </c>
      <c r="DZ39" s="146" t="n">
        <v>85.05</v>
      </c>
      <c r="EA39" s="146" t="n">
        <v>87</v>
      </c>
      <c r="EB39" s="146" t="n">
        <v>78</v>
      </c>
      <c r="EC39" s="63" t="n">
        <v>4894400</v>
      </c>
      <c r="ED39" s="169" t="n">
        <v>0.407867</v>
      </c>
      <c r="EE39" s="64" t="n">
        <v>400733900</v>
      </c>
      <c r="EF39" s="60" t="inlineStr">
        <is>
          <t>Mechanism A</t>
        </is>
      </c>
      <c r="EG39" s="59" t="inlineStr">
        <is>
          <t>FINI (from 22/11/2023); 2025-08-04 pricing reform (Mechanism A/B; six-month cornerstone lock-up retained); this IPO: Mechanism A</t>
        </is>
      </c>
      <c r="EH39" t="inlineStr">
        <is>
          <t>上海傅里叶半导体股份有限公司</t>
        </is>
      </c>
      <c r="EI39" s="174" t="inlineStr">
        <is>
          <t>Active</t>
        </is>
      </c>
      <c r="EJ39" s="175" t="n">
        <v>125.9</v>
      </c>
      <c r="EK39" s="176" t="n">
        <v>0.57375</v>
      </c>
      <c r="EL39" s="176" t="n">
        <v>2.1475</v>
      </c>
      <c r="EM39" s="176" t="n">
        <v>0.039873</v>
      </c>
      <c r="EN39" s="176" t="n">
        <v>0.047636</v>
      </c>
      <c r="EO39" s="179" t="n">
        <v>1.5134</v>
      </c>
      <c r="EP39" s="179" t="n">
        <v>1.5022</v>
      </c>
      <c r="EQ39" s="178" t="n">
        <v>67841610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18C (Specialist Tech)</t>
        </is>
      </c>
      <c r="FF39" s="181" t="inlineStr">
        <is>
          <t>China International Capital Corporation / Sponsor-OC</t>
        </is>
      </c>
      <c r="FG39" s="185" t="inlineStr">
        <is>
          <t>2026-04-30</t>
        </is>
      </c>
      <c r="FH39" s="183" t="n">
        <v>0</v>
      </c>
      <c r="FI39" s="178" t="n">
        <v>0</v>
      </c>
      <c r="FJ39" s="176" t="n">
        <v>0.05</v>
      </c>
      <c r="FK39" s="185" t="inlineStr">
        <is>
          <t>2026-03-23</t>
        </is>
      </c>
      <c r="FL39" s="178" t="n">
        <v>0</v>
      </c>
      <c r="FM39" s="176" t="n">
        <v>0</v>
      </c>
      <c r="FN39" s="176" t="n">
        <v>0.046699</v>
      </c>
      <c r="FO39" s="176" t="n">
        <v>-0.135028</v>
      </c>
      <c r="FP39" s="176" t="n">
        <v>0.320603</v>
      </c>
      <c r="FQ39" s="176" t="n">
        <v>0.41125</v>
      </c>
      <c r="FR39" s="179" t="n">
        <v>1.3584</v>
      </c>
      <c r="FS39" s="176" t="n">
        <v>0.57375</v>
      </c>
      <c r="FT39" s="179" t="n">
        <v>1.5134</v>
      </c>
      <c r="FU39" s="176" t="n">
        <v>0.154375</v>
      </c>
      <c r="FV39" s="179" t="n">
        <v>1.2117</v>
      </c>
      <c r="FW39" s="179" t="n">
        <v>1.182</v>
      </c>
      <c r="FX39" s="178" t="n">
        <v>33517071.43</v>
      </c>
      <c r="FY39" s="186" t="n">
        <v>0.003204084033613446</v>
      </c>
      <c r="FZ39" s="183" t="n">
        <v>0</v>
      </c>
      <c r="GA39" s="176" t="n">
        <v>0.1049226266068962</v>
      </c>
      <c r="GB39" s="176" t="n">
        <v>0.601307</v>
      </c>
      <c r="GC39" s="185" t="inlineStr">
        <is>
          <t>2026-09-30</t>
        </is>
      </c>
      <c r="GD39" s="185" t="inlineStr">
        <is>
          <t>2027-03-31</t>
        </is>
      </c>
      <c r="GE39" s="176" t="n"/>
      <c r="GF39" s="176" t="n"/>
      <c r="GG39" s="179" t="n"/>
      <c r="GH39" s="181" t="inlineStr">
        <is>
          <t>China International Capital Corporation / Sponsor-OC</t>
        </is>
      </c>
      <c r="GI39" s="183" t="n">
        <v>0</v>
      </c>
      <c r="GJ39" s="183" t="n">
        <v>0</v>
      </c>
      <c r="GK39" s="176" t="n">
        <v>0.00025</v>
      </c>
      <c r="GL39" s="176" t="n">
        <v>0.01</v>
      </c>
      <c r="GM39" s="176" t="n">
        <v>0.01025</v>
      </c>
      <c r="GN39" s="183" t="n">
        <v>0</v>
      </c>
      <c r="GO39" s="183" t="n">
        <v>0</v>
      </c>
      <c r="GP39" s="183" t="n">
        <v>0</v>
      </c>
      <c r="GQ39" s="183" t="n">
        <v>5</v>
      </c>
      <c r="GR39" s="183" t="n">
        <v>1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2026-09-29T13:40:11Z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