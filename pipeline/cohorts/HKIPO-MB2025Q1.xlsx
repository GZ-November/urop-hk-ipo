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4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7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87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27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1</v>
      </c>
      <c r="B2" s="47" t="inlineStr">
        <is>
          <t>6681.HK</t>
        </is>
      </c>
      <c r="C2" s="44" t="inlineStr">
        <is>
          <t>BrainAurora Medical Technology Limited - B</t>
        </is>
      </c>
      <c r="D2" s="130" t="n">
        <v>45656</v>
      </c>
      <c r="E2" s="48" t="n">
        <v>45665</v>
      </c>
      <c r="F2" s="43" t="inlineStr">
        <is>
          <t>China International Capital Corporation
Hong Kong Securities Limited/
SPDB International Capital Limited</t>
        </is>
      </c>
      <c r="G2" s="43" t="inlineStr">
        <is>
          <t>Deloitte Touche Tohmatsu</t>
        </is>
      </c>
      <c r="H2" s="43" t="n"/>
      <c r="I2" s="131" t="n">
        <v>58320640</v>
      </c>
      <c r="J2" s="132" t="n">
        <v>524860000.0000001</v>
      </c>
      <c r="K2" s="133" t="n">
        <v>3.22</v>
      </c>
      <c r="L2" t="n">
        <v>1266278000</v>
      </c>
      <c r="M2" s="67" t="n">
        <v>181112000</v>
      </c>
      <c r="N2" t="n">
        <v>1085166000</v>
      </c>
      <c r="O2" t="n">
        <v>1085166000</v>
      </c>
      <c r="P2" t="n">
        <v>0</v>
      </c>
      <c r="Q2" t="n">
        <v>181112000</v>
      </c>
      <c r="R2" s="67" t="n">
        <v>163000000</v>
      </c>
      <c r="S2" s="67" t="n">
        <v>18112000</v>
      </c>
      <c r="T2" s="134" t="n">
        <v>3.22</v>
      </c>
      <c r="U2" s="134" t="n">
        <v>3.22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418088000</v>
      </c>
      <c r="AA2" s="117" t="n">
        <v>394854000</v>
      </c>
      <c r="AB2" s="117" t="n">
        <v>318927000</v>
      </c>
      <c r="AC2" s="117" t="n">
        <v>-1094243000</v>
      </c>
      <c r="AD2" s="117" t="n">
        <v>-332181000</v>
      </c>
      <c r="AE2" s="117" t="n">
        <v>-411266000</v>
      </c>
      <c r="AF2" s="117" t="n">
        <v>1512331000</v>
      </c>
      <c r="AG2" s="117" t="n">
        <v>727035000</v>
      </c>
      <c r="AH2" s="117" t="n">
        <v>730193000</v>
      </c>
      <c r="AI2" s="117" t="n">
        <v>11291000</v>
      </c>
      <c r="AJ2" s="117" t="n">
        <v>67200000</v>
      </c>
      <c r="AK2" s="117" t="n">
        <v>103774000</v>
      </c>
      <c r="AL2" s="117" t="n">
        <v>-502461000</v>
      </c>
      <c r="AM2" s="117" t="n">
        <v>-359116000</v>
      </c>
      <c r="AN2" s="117" t="n">
        <v>-228778000</v>
      </c>
      <c r="AO2" s="117" t="n">
        <v>-502461000</v>
      </c>
      <c r="AP2" s="117" t="n">
        <v>-359116000</v>
      </c>
      <c r="AQ2" s="117" t="n">
        <v>-228778000</v>
      </c>
      <c r="AR2" s="135" t="n">
        <v>0.025</v>
      </c>
      <c r="AS2" s="135" t="n">
        <v>0.025</v>
      </c>
      <c r="AT2" s="70" t="n">
        <v>0.15</v>
      </c>
      <c r="AU2" s="51" t="inlineStr">
        <is>
          <t>Cognitive impairment digital therapeutics (DTx) integral software solutions / medical devices</t>
        </is>
      </c>
      <c r="AV2" s="51" t="inlineStr">
        <is>
          <t>Main Board Chapter 18A of the Listing Rules</t>
        </is>
      </c>
      <c r="AW2" s="136" t="n">
        <v>45473</v>
      </c>
      <c r="AX2" s="137" t="n">
        <v>-75527000</v>
      </c>
      <c r="AY2" s="117" t="n">
        <v>55906000</v>
      </c>
      <c r="AZ2" s="117" t="n">
        <v>64231000</v>
      </c>
      <c r="BA2" s="117" t="n">
        <v>0</v>
      </c>
      <c r="BB2" s="138" t="n">
        <v>0.556</v>
      </c>
      <c r="BC2" s="139" t="n">
        <v>0.5</v>
      </c>
      <c r="BD2" s="80" t="n">
        <v>1</v>
      </c>
      <c r="BE2" s="161" t="n">
        <v>1</v>
      </c>
      <c r="BF2" s="161" t="n">
        <v>1</v>
      </c>
      <c r="BG2" s="161" t="n">
        <v>0</v>
      </c>
      <c r="BH2" s="161" t="n">
        <v>0</v>
      </c>
      <c r="BI2" s="161" t="inlineStr">
        <is>
          <t>NaN</t>
        </is>
      </c>
      <c r="BJ2" s="162" t="inlineStr">
        <is>
          <t>Northern Light Venture Capital funds (NLSF/NLVF/NLPF via IMMENSE VANTAGE), Zhongwei Growth, Shanghai Pegasus, Tianjin Kangsheng, Tianjin Tianjian, Tianjin Chengye, Anji Shundian, Hainan Synthesis, CICC Healthcare Fund, Mr. Tan</t>
        </is>
      </c>
      <c r="BK2" s="163" t="inlineStr">
        <is>
          <t>NaN</t>
        </is>
      </c>
      <c r="BL2" s="161" t="n">
        <v>1</v>
      </c>
      <c r="BM2" s="164" t="inlineStr">
        <is>
          <t>Series Angel</t>
        </is>
      </c>
      <c r="BN2" s="165" t="n">
        <v>9.800000000000001</v>
      </c>
      <c r="BO2" s="51" t="inlineStr">
        <is>
          <t>Individuals (Mr. Tan Zheng and Dr. Wang Xiaoyi)</t>
        </is>
      </c>
      <c r="BP2" s="135" t="n">
        <v>0.3628</v>
      </c>
      <c r="BQ2" s="135" t="n">
        <v>0.4411</v>
      </c>
      <c r="BR2" s="137" t="n">
        <v>676213000</v>
      </c>
      <c r="BS2" s="73" t="inlineStr">
        <is>
          <t>Commercial stage</t>
        </is>
      </c>
      <c r="BT2" s="138" t="n">
        <v>0</v>
      </c>
      <c r="BU2" s="60" t="inlineStr">
        <is>
          <t>Main Board</t>
        </is>
      </c>
      <c r="BV2" s="89" t="inlineStr">
        <is>
          <t>Ordinary Shares</t>
        </is>
      </c>
      <c r="BW2" s="61" t="n">
        <v>0</v>
      </c>
      <c r="BX2" s="77" t="n">
        <v>0</v>
      </c>
      <c r="BY2" s="77" t="n">
        <v>1</v>
      </c>
      <c r="BZ2" s="78" t="n">
        <v>0</v>
      </c>
      <c r="CA2" s="60" t="inlineStr">
        <is>
          <t>282020</t>
        </is>
      </c>
      <c r="CB2" s="76" t="inlineStr">
        <is>
          <t>HSICS (Hang Seng Industry Classification System) 2026</t>
        </is>
      </c>
      <c r="CC2" s="140" t="n">
        <v>45041</v>
      </c>
      <c r="CD2" s="171" t="n">
        <v>1.71</v>
      </c>
      <c r="CE2" s="76" t="inlineStr">
        <is>
          <t>Cayman Islands</t>
        </is>
      </c>
      <c r="CF2" s="89" t="inlineStr">
        <is>
          <t>PRC (Beijing)</t>
        </is>
      </c>
      <c r="CG2" s="91" t="n"/>
      <c r="CH2" s="60" t="inlineStr">
        <is>
          <t>IFRS</t>
        </is>
      </c>
      <c r="CI2" s="141" t="n">
        <v>44562</v>
      </c>
      <c r="CJ2" s="141" t="n">
        <v>44926</v>
      </c>
      <c r="CK2" s="141" t="n">
        <v>44927</v>
      </c>
      <c r="CL2" s="141" t="n">
        <v>45291</v>
      </c>
      <c r="CM2" s="141" t="n">
        <v>45292</v>
      </c>
      <c r="CN2" s="92" t="n">
        <v>51887000</v>
      </c>
      <c r="CO2" s="64" t="n">
        <v>-114389000</v>
      </c>
      <c r="CP2" s="64" t="n">
        <v>-114389000</v>
      </c>
      <c r="CQ2" s="141" t="n">
        <v>45656</v>
      </c>
      <c r="CR2" s="141" t="n">
        <v>45660</v>
      </c>
      <c r="CS2" s="63" t="inlineStr">
        <is>
          <t>NaN</t>
        </is>
      </c>
      <c r="CT2" s="64" t="n">
        <v>24520000</v>
      </c>
      <c r="CU2" s="64" t="n">
        <v>10269000</v>
      </c>
      <c r="CV2" s="59" t="inlineStr">
        <is>
          <t>Unaudited</t>
        </is>
      </c>
      <c r="CW2" s="64" t="n">
        <v>81857000</v>
      </c>
      <c r="CX2" s="51" t="inlineStr">
        <is>
          <t>Tasly (Hong Kong) Pharmaceutical Investment Limited; Tasly (International) Healthcare Investment&amp;Development Company Limited; Huang Guangwei; Suzhou Ceyuan Fuhai Enterprise Management Partnership (Limited Partnership)</t>
        </is>
      </c>
      <c r="CY2" s="142" t="n">
        <v>0.6427</v>
      </c>
      <c r="CZ2" s="136" t="n">
        <v>45846</v>
      </c>
      <c r="DA2" s="143" t="n">
        <v>11.39</v>
      </c>
      <c r="DB2" s="63" t="n">
        <v>10891</v>
      </c>
      <c r="DC2" s="63" t="n">
        <v>206386000</v>
      </c>
      <c r="DD2" s="59" t="inlineStr">
        <is>
          <t>Subscription level 11.39 times</t>
        </is>
      </c>
      <c r="DE2" s="141" t="inlineStr">
        <is>
          <t>NA</t>
        </is>
      </c>
      <c r="DF2" s="141" t="n">
        <v>45664</v>
      </c>
      <c r="DG2" s="63" t="n">
        <v>181112000</v>
      </c>
      <c r="DH2" s="63" t="n">
        <v>18112000</v>
      </c>
      <c r="DI2" s="63" t="n">
        <v>163000000</v>
      </c>
      <c r="DJ2" s="63" t="n">
        <v>0</v>
      </c>
      <c r="DK2" s="169" t="n">
        <v>0</v>
      </c>
      <c r="DL2" s="59" t="inlineStr">
        <is>
          <t>Claw-back triggered: No; final no. of Offer Shares under the Hong Kong Public Offering remained at the initial 18,112,000 (no clawback from the International Offering)</t>
        </is>
      </c>
      <c r="DM2" s="144" t="n">
        <v>501320000</v>
      </c>
      <c r="DN2" s="142" t="n">
        <v>0.2939</v>
      </c>
      <c r="DO2" s="51" t="n">
        <v>1266278000</v>
      </c>
      <c r="DP2" s="142" t="n">
        <v>0.0511</v>
      </c>
      <c r="DQ2" s="59" t="inlineStr">
        <is>
          <t>Total issued share capital of the Company immediately following the completion of the Global Offering (Number of issued Shares upon Listing, before exercise of the Over-allotment Option; the Over-allotment Option was not exercised)</t>
        </is>
      </c>
      <c r="DR2" s="63" t="n">
        <v>1266278000</v>
      </c>
      <c r="DS2" s="142" t="n">
        <v>0.0248598</v>
      </c>
      <c r="DT2" s="80" t="n">
        <v>22</v>
      </c>
      <c r="DU2" s="142" t="n">
        <v>0.0458435</v>
      </c>
      <c r="DV2" s="144" t="n">
        <v>45746000000</v>
      </c>
      <c r="DW2" s="145" t="n">
        <v>3.33</v>
      </c>
      <c r="DX2" s="169" t="n">
        <v>0.034161</v>
      </c>
      <c r="DY2" s="172" t="n">
        <v>19922320</v>
      </c>
      <c r="DZ2" s="146" t="n">
        <v>3.22</v>
      </c>
      <c r="EA2" s="146" t="n">
        <v>3.49</v>
      </c>
      <c r="EB2" s="146" t="n">
        <v>3.13</v>
      </c>
      <c r="EC2" s="63" t="n">
        <v>18896100</v>
      </c>
      <c r="ED2" s="169" t="n">
        <v>0.104334</v>
      </c>
      <c r="EE2" s="64" t="n">
        <v>61637900</v>
      </c>
      <c r="EF2" s="60" t="inlineStr">
        <is>
          <t>PN18 statutory clawback</t>
        </is>
      </c>
      <c r="EG2" s="59" t="inlineStr">
        <is>
          <t>FINI (from 22/11/2023)</t>
        </is>
      </c>
      <c r="EH2" t="inlineStr">
        <is>
          <t>脑动极光医疗科技有限公司</t>
        </is>
      </c>
      <c r="EI2" s="174" t="inlineStr">
        <is>
          <t>Active</t>
        </is>
      </c>
      <c r="EJ2" s="175" t="n">
        <v>5.63</v>
      </c>
      <c r="EK2" s="176" t="n">
        <v>0.6906910000000001</v>
      </c>
      <c r="EL2" s="176" t="n">
        <v>0.748447</v>
      </c>
      <c r="EM2" s="176" t="n">
        <v>0.096147</v>
      </c>
      <c r="EN2" s="176" t="n">
        <v>0.195698</v>
      </c>
      <c r="EO2" s="179" t="n">
        <v>1.5424</v>
      </c>
      <c r="EP2" s="179" t="n">
        <v>1.414</v>
      </c>
      <c r="EQ2" s="178" t="n">
        <v>11750145</v>
      </c>
      <c r="ER2" s="175" t="n">
        <v>5.71</v>
      </c>
      <c r="ES2" s="176" t="n">
        <v>0.714715</v>
      </c>
      <c r="ET2" s="176" t="n">
        <v>0.773292</v>
      </c>
      <c r="EU2" s="176" t="n">
        <v>0.252504</v>
      </c>
      <c r="EV2" s="176" t="n">
        <v>0.236465</v>
      </c>
      <c r="EW2" s="179" t="n">
        <v>1.369</v>
      </c>
      <c r="EX2" s="179" t="n">
        <v>1.3868</v>
      </c>
      <c r="EY2" s="178" t="n">
        <v>5200620</v>
      </c>
      <c r="EZ2" s="176" t="n">
        <v>0.084374</v>
      </c>
      <c r="FA2" s="176" t="n"/>
      <c r="FB2" s="179" t="n"/>
      <c r="FC2" s="176" t="n"/>
      <c r="FD2" s="179" t="n"/>
      <c r="FE2" s="174" t="inlineStr">
        <is>
          <t>18A (Biotech / B-tag)</t>
        </is>
      </c>
      <c r="FF2" s="181" t="inlineStr">
        <is>
          <t>China International Capital Corporation / Sponsor-OC</t>
        </is>
      </c>
      <c r="FG2" s="185" t="inlineStr">
        <is>
          <t>2025-02-07</t>
        </is>
      </c>
      <c r="FH2" s="183" t="n">
        <v>0</v>
      </c>
      <c r="FI2" s="178" t="n">
        <v>0</v>
      </c>
      <c r="FJ2" s="176" t="n">
        <v>0.15</v>
      </c>
      <c r="FK2" s="185" t="inlineStr">
        <is>
          <t>2025-02-07</t>
        </is>
      </c>
      <c r="FL2" s="178" t="n">
        <v>0</v>
      </c>
      <c r="FM2" s="176" t="n">
        <v>0</v>
      </c>
      <c r="FN2" s="176" t="n">
        <v>0.336364</v>
      </c>
      <c r="FO2" s="176" t="n">
        <v>0.049734</v>
      </c>
      <c r="FP2" s="176" t="n">
        <v>0.458637</v>
      </c>
      <c r="FQ2" s="176" t="n">
        <v>0.07807799999999999</v>
      </c>
      <c r="FR2" s="179" t="n">
        <v>1.0814</v>
      </c>
      <c r="FS2" s="176" t="n">
        <v>0.6906910000000001</v>
      </c>
      <c r="FT2" s="179" t="n">
        <v>1.5424</v>
      </c>
      <c r="FU2" s="176" t="n">
        <v>0.867868</v>
      </c>
      <c r="FV2" s="179" t="n">
        <v>1.7413</v>
      </c>
      <c r="FW2" s="179" t="n">
        <v>1.6714</v>
      </c>
      <c r="FX2" s="178" t="n">
        <v>8572966.67</v>
      </c>
      <c r="FY2" s="186" t="n">
        <v>0.004369428571428572</v>
      </c>
      <c r="FZ2" s="183" t="n">
        <v>0</v>
      </c>
      <c r="GA2" s="176" t="n">
        <v>0.04788001531553043</v>
      </c>
      <c r="GB2" s="176" t="n">
        <v>0.285531</v>
      </c>
      <c r="GC2" s="185" t="inlineStr">
        <is>
          <t>2025-07-08</t>
        </is>
      </c>
      <c r="GD2" s="185" t="inlineStr">
        <is>
          <t>2026-01-08</t>
        </is>
      </c>
      <c r="GE2" s="176" t="n">
        <v>-0.162206</v>
      </c>
      <c r="GF2" s="176" t="n">
        <v>-0.290976</v>
      </c>
      <c r="GG2" s="179" t="n">
        <v>0.6264</v>
      </c>
      <c r="GH2" s="181" t="inlineStr">
        <is>
          <t>CICC</t>
        </is>
      </c>
      <c r="GI2" s="183" t="n">
        <v>2</v>
      </c>
      <c r="GJ2" s="183" t="n">
        <v>0</v>
      </c>
      <c r="GK2" s="176" t="n">
        <v>0.025</v>
      </c>
      <c r="GL2" s="176" t="n">
        <v>0.01</v>
      </c>
      <c r="GM2" s="176" t="n">
        <v>0.035</v>
      </c>
      <c r="GN2" s="183" t="n">
        <v>4</v>
      </c>
      <c r="GO2" s="183" t="n">
        <v>0</v>
      </c>
      <c r="GP2" s="183" t="n">
        <v>0</v>
      </c>
      <c r="GQ2" s="183" t="n">
        <v>6</v>
      </c>
      <c r="GR2" s="183" t="n">
        <v>0</v>
      </c>
      <c r="GS2" s="181" t="inlineStr">
        <is>
          <t>POST_FINI</t>
        </is>
      </c>
      <c r="GT2" s="181" t="inlineStr">
        <is>
          <t>PRE_2025_REFORM</t>
        </is>
      </c>
    </row>
    <row r="3" ht="51" customFormat="1" customHeight="1" s="12">
      <c r="A3" s="43" t="n">
        <v>2</v>
      </c>
      <c r="B3" s="47" t="inlineStr">
        <is>
          <t>2560.HK</t>
        </is>
      </c>
      <c r="C3" s="44" t="inlineStr">
        <is>
          <t>Anhui Conch Material Technology Co., Ltd. 
- H shares</t>
        </is>
      </c>
      <c r="D3" s="130" t="n">
        <v>45657</v>
      </c>
      <c r="E3" s="48" t="n">
        <v>45666</v>
      </c>
      <c r="F3" s="43" t="inlineStr">
        <is>
          <t>China Securities (International)
Corporate Finance Company Limited</t>
        </is>
      </c>
      <c r="G3" s="43" t="inlineStr">
        <is>
          <t>KPMG</t>
        </is>
      </c>
      <c r="H3" s="43" t="n"/>
      <c r="I3" s="131" t="n">
        <v>130479000</v>
      </c>
      <c r="J3" s="132" t="n">
        <v>304443000</v>
      </c>
      <c r="K3" s="133" t="n">
        <v>3</v>
      </c>
      <c r="L3" t="n">
        <v>579894000</v>
      </c>
      <c r="M3" s="67" t="n">
        <v>144974000</v>
      </c>
      <c r="N3" t="n">
        <v>434920000</v>
      </c>
      <c r="O3" t="n">
        <v>434920000</v>
      </c>
      <c r="P3" t="n">
        <v>0</v>
      </c>
      <c r="Q3" t="n">
        <v>144974000</v>
      </c>
      <c r="R3" s="67" t="n">
        <v>130476000</v>
      </c>
      <c r="S3" s="67" t="n">
        <v>14498000</v>
      </c>
      <c r="T3" s="134" t="n">
        <v>3.3</v>
      </c>
      <c r="U3" s="134" t="n">
        <v>3</v>
      </c>
      <c r="V3" s="169" t="n">
        <v>-0.047619</v>
      </c>
      <c r="W3" s="169" t="n">
        <v>0.095238</v>
      </c>
      <c r="X3" s="170" t="inlineStr">
        <is>
          <t>At low</t>
        </is>
      </c>
      <c r="Y3" s="26" t="inlineStr">
        <is>
          <t>RMB</t>
        </is>
      </c>
      <c r="Z3" s="137" t="n">
        <v>2139100000</v>
      </c>
      <c r="AA3" s="137" t="n">
        <v>2345500000</v>
      </c>
      <c r="AB3" s="137" t="n">
        <v>2415600000</v>
      </c>
      <c r="AC3" s="137" t="n">
        <v>646500000</v>
      </c>
      <c r="AD3" s="137" t="n">
        <v>948500000</v>
      </c>
      <c r="AE3" s="137" t="n">
        <v>1008700000</v>
      </c>
      <c r="AF3" s="137" t="n">
        <v>1492600000</v>
      </c>
      <c r="AG3" s="137" t="n">
        <v>1397000000</v>
      </c>
      <c r="AH3" s="137" t="n">
        <v>1406900000</v>
      </c>
      <c r="AI3" s="137" t="n">
        <v>1839600000</v>
      </c>
      <c r="AJ3" s="137" t="n">
        <v>2395500000</v>
      </c>
      <c r="AK3" s="137" t="n">
        <v>2206800000</v>
      </c>
      <c r="AL3" s="137" t="n">
        <v>109644000</v>
      </c>
      <c r="AM3" s="137" t="n">
        <v>170029000</v>
      </c>
      <c r="AN3" s="137" t="n">
        <v>141622000</v>
      </c>
      <c r="AO3" s="137" t="n">
        <v>92400000</v>
      </c>
      <c r="AP3" s="137" t="n">
        <v>143900000</v>
      </c>
      <c r="AQ3" s="137" t="n">
        <v>120400000</v>
      </c>
      <c r="AR3" s="135" t="n">
        <v>0.013</v>
      </c>
      <c r="AS3" s="135" t="n">
        <v>0.013</v>
      </c>
      <c r="AT3" s="70" t="n">
        <v>0.15</v>
      </c>
      <c r="AU3" s="51" t="inlineStr">
        <is>
          <t>Cement and concrete admixtures and their in-process intermediaries (fine chemical materials)</t>
        </is>
      </c>
      <c r="AV3" s="51" t="inlineStr">
        <is>
          <t>Main Board of The Stock Exchange of Hong Kong Limited (H Shares)</t>
        </is>
      </c>
      <c r="AW3" s="136" t="n">
        <v>45473</v>
      </c>
      <c r="AX3" s="137" t="n">
        <v>30600000</v>
      </c>
      <c r="AY3" s="117" t="n">
        <v>143500000</v>
      </c>
      <c r="AZ3" s="117" t="n">
        <v>29400000</v>
      </c>
      <c r="BA3" s="117" t="n">
        <v>0</v>
      </c>
      <c r="BB3" s="138" t="n">
        <v>0.444</v>
      </c>
      <c r="BC3" s="139" t="n">
        <v>0.5</v>
      </c>
      <c r="BD3" s="80" t="n">
        <v>1</v>
      </c>
      <c r="BE3" s="161" t="n">
        <v>0</v>
      </c>
      <c r="BF3" s="161" t="n">
        <v>1</v>
      </c>
      <c r="BG3" s="161" t="n">
        <v>0</v>
      </c>
      <c r="BH3" s="161" t="n">
        <v>1</v>
      </c>
      <c r="BI3" s="161" t="n">
        <v>0</v>
      </c>
      <c r="BJ3" s="162" t="inlineStr">
        <is>
          <t>CCB Financial Asset Investment; Anhui Huiyuan LP; Wuhu Longmen LP; Wuhu Industrial Fund (Kegai Ceyuan LP and Anhui Zhongan LP exited in 2023)</t>
        </is>
      </c>
      <c r="BK3" s="163" t="n">
        <v>0.0781</v>
      </c>
      <c r="BL3" s="161" t="n">
        <v>1</v>
      </c>
      <c r="BM3" s="164" t="inlineStr">
        <is>
          <t>Pre-IPO Investment (January 2023)</t>
        </is>
      </c>
      <c r="BN3" s="165" t="n">
        <v>1.98</v>
      </c>
      <c r="BO3" s="51" t="inlineStr">
        <is>
          <t>国资委 (SASAC of Anhui Provincial Government)</t>
        </is>
      </c>
      <c r="BP3" s="135" t="n">
        <v>0.3647</v>
      </c>
      <c r="BQ3" s="135" t="n">
        <v>0.3647</v>
      </c>
      <c r="BR3" s="137" t="n">
        <v>969000000</v>
      </c>
      <c r="BS3" s="73" t="inlineStr">
        <is>
          <t>Commercialized at scale (mass production and sale)</t>
        </is>
      </c>
      <c r="BT3" s="142" t="n">
        <v>0.15</v>
      </c>
      <c r="BU3" s="60" t="inlineStr">
        <is>
          <t>Main Board</t>
        </is>
      </c>
      <c r="BV3" s="89" t="inlineStr">
        <is>
          <t>H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053040</t>
        </is>
      </c>
      <c r="CB3" s="76" t="inlineStr">
        <is>
          <t>HSICS (Hang Seng Industry Classification System) 2026</t>
        </is>
      </c>
      <c r="CC3" s="140" t="n">
        <v>43248</v>
      </c>
      <c r="CD3" s="171" t="n">
        <v>6.62</v>
      </c>
      <c r="CE3" s="76" t="inlineStr">
        <is>
          <t>PRC</t>
        </is>
      </c>
      <c r="CF3" s="89" t="inlineStr">
        <is>
          <t>Wuhu City, Anhui Province, China</t>
        </is>
      </c>
      <c r="CG3" s="91" t="n"/>
      <c r="CH3" s="60" t="inlineStr">
        <is>
          <t>IFRSs</t>
        </is>
      </c>
      <c r="CI3" s="141" t="n">
        <v>44562</v>
      </c>
      <c r="CJ3" s="141" t="n">
        <v>44926</v>
      </c>
      <c r="CK3" s="141" t="n">
        <v>44927</v>
      </c>
      <c r="CL3" s="141" t="n">
        <v>45291</v>
      </c>
      <c r="CM3" s="141" t="n">
        <v>45292</v>
      </c>
      <c r="CN3" s="92" t="n">
        <v>1103400000</v>
      </c>
      <c r="CO3" s="64" t="n">
        <v>70811000</v>
      </c>
      <c r="CP3" s="64" t="n">
        <v>60200000</v>
      </c>
      <c r="CQ3" s="141" t="n">
        <v>45657</v>
      </c>
      <c r="CR3" s="141" t="n">
        <v>45663</v>
      </c>
      <c r="CS3" s="63" t="n">
        <v>185370800</v>
      </c>
      <c r="CT3" s="64" t="n">
        <v>209100000</v>
      </c>
      <c r="CU3" s="64" t="n">
        <v>43200000</v>
      </c>
      <c r="CV3" s="59" t="inlineStr">
        <is>
          <t>Unqualified opinion</t>
        </is>
      </c>
      <c r="CW3" s="64" t="n">
        <v>39000000</v>
      </c>
      <c r="CX3" s="51" t="inlineStr">
        <is>
          <t>国轩高科股份有限公司(Gotion High-tech); 安徽盛昌化工有限公司(Anhui Shengchang); 芜湖阿泰克生物科技有限公司(Wuhu Artec); SCGC Capital Holding Company Limited; 广东纵行科技有限公司(Guangdong Zongxing); 深圳高灯计算机科技有限公司(Shenzhen Gaodeng)</t>
        </is>
      </c>
      <c r="CY3" s="142" t="n">
        <v>0.6992</v>
      </c>
      <c r="CZ3" s="136" t="n">
        <v>45847</v>
      </c>
      <c r="DA3" s="143" t="n">
        <v>25.83</v>
      </c>
      <c r="DB3" s="63" t="n">
        <v>11856</v>
      </c>
      <c r="DC3" s="63" t="n">
        <v>374447000</v>
      </c>
      <c r="DD3" s="59" t="inlineStr">
        <is>
          <t>Subscription level 25.83 times</t>
        </is>
      </c>
      <c r="DE3" s="141" t="n">
        <v>45664</v>
      </c>
      <c r="DF3" s="141" t="n">
        <v>45665</v>
      </c>
      <c r="DG3" s="63" t="n">
        <v>144974000</v>
      </c>
      <c r="DH3" s="63" t="n">
        <v>43493000</v>
      </c>
      <c r="DI3" s="63" t="n">
        <v>101481000</v>
      </c>
      <c r="DJ3" s="63" t="n">
        <v>0</v>
      </c>
      <c r="DK3" s="169" t="n">
        <v>0</v>
      </c>
      <c r="DL3" s="59" t="inlineStr">
        <is>
          <t>No. of Offer Shares reallocated from the International Placing (claw-back) 28,995,000</t>
        </is>
      </c>
      <c r="DM3" s="144" t="n">
        <v>395900000</v>
      </c>
      <c r="DN3" s="142" t="inlineStr">
        <is>
          <t>NaN</t>
        </is>
      </c>
      <c r="DO3" s="51" t="n">
        <v>579894000</v>
      </c>
      <c r="DP3" s="142" t="n">
        <v>0.0752</v>
      </c>
      <c r="DQ3" s="59" t="inlineStr">
        <is>
          <t>% of total issued share capital upon Listing (579,894,000 shares, before exercise of the Over-allotment Option)</t>
        </is>
      </c>
      <c r="DR3" s="63" t="n">
        <v>579894000</v>
      </c>
      <c r="DS3" s="142" t="n">
        <v>0.03482524</v>
      </c>
      <c r="DT3" s="80" t="n">
        <v>25</v>
      </c>
      <c r="DU3" s="142" t="n">
        <v>0.0459286</v>
      </c>
      <c r="DV3" s="144" t="n">
        <v>45752000000</v>
      </c>
      <c r="DW3" s="145" t="n">
        <v>1.203</v>
      </c>
      <c r="DX3" s="169" t="n">
        <v>-0.599</v>
      </c>
      <c r="DY3" s="172" t="n">
        <v>-260518278</v>
      </c>
      <c r="DZ3" s="146" t="n">
        <v>1.433</v>
      </c>
      <c r="EA3" s="146" t="n">
        <v>1.563</v>
      </c>
      <c r="EB3" s="146" t="n">
        <v>1.203</v>
      </c>
      <c r="EC3" s="63" t="n">
        <v>49011000</v>
      </c>
      <c r="ED3" s="169" t="n">
        <v>0.338068</v>
      </c>
      <c r="EE3" s="64" t="n">
        <v>86807260</v>
      </c>
      <c r="EF3" s="60" t="inlineStr">
        <is>
          <t>PN18 statutory clawback</t>
        </is>
      </c>
      <c r="EG3" s="59" t="inlineStr">
        <is>
          <t>FINI (from 22/11/2023)</t>
        </is>
      </c>
      <c r="EH3" t="inlineStr">
        <is>
          <t>安徽海螺材料科技股份有限公司</t>
        </is>
      </c>
      <c r="EI3" s="174" t="inlineStr">
        <is>
          <t>Active</t>
        </is>
      </c>
      <c r="EJ3" s="175" t="n">
        <v>1.023</v>
      </c>
      <c r="EK3" s="176" t="n">
        <v>-0.149626</v>
      </c>
      <c r="EL3" s="176" t="n">
        <v>-0.659</v>
      </c>
      <c r="EM3" s="176" t="n">
        <v>0.118554</v>
      </c>
      <c r="EN3" s="176" t="n">
        <v>0.226165</v>
      </c>
      <c r="EO3" s="179" t="n">
        <v>0.7602</v>
      </c>
      <c r="EP3" s="179" t="n">
        <v>0.6935</v>
      </c>
      <c r="EQ3" s="178" t="n">
        <v>7153045.5</v>
      </c>
      <c r="ER3" s="175" t="n">
        <v>1.467</v>
      </c>
      <c r="ES3" s="176" t="n">
        <v>0.219451</v>
      </c>
      <c r="ET3" s="176" t="n">
        <v>-0.511</v>
      </c>
      <c r="EU3" s="176" t="n">
        <v>0.241747</v>
      </c>
      <c r="EV3" s="176" t="n">
        <v>0.213485</v>
      </c>
      <c r="EW3" s="179" t="n">
        <v>0.982</v>
      </c>
      <c r="EX3" s="179" t="n">
        <v>1.0049</v>
      </c>
      <c r="EY3" s="178" t="n">
        <v>841057.5</v>
      </c>
      <c r="EZ3" s="176" t="n">
        <v>0.009689</v>
      </c>
      <c r="FA3" s="176" t="n"/>
      <c r="FB3" s="179" t="n"/>
      <c r="FC3" s="176" t="n"/>
      <c r="FD3" s="179" t="n"/>
      <c r="FE3" s="174" t="inlineStr">
        <is>
          <t>Standard</t>
        </is>
      </c>
      <c r="FF3" s="181" t="inlineStr">
        <is>
          <t>China International Capital Corporation / Sponsor-OC</t>
        </is>
      </c>
      <c r="FG3" s="185" t="inlineStr">
        <is>
          <t>2025-02-08</t>
        </is>
      </c>
      <c r="FH3" s="183" t="n">
        <v>0</v>
      </c>
      <c r="FI3" s="178" t="n">
        <v>0</v>
      </c>
      <c r="FJ3" s="176" t="n">
        <v>0.15</v>
      </c>
      <c r="FK3" s="185" t="inlineStr">
        <is>
          <t>2025-02-08</t>
        </is>
      </c>
      <c r="FL3" s="178" t="n">
        <v>0</v>
      </c>
      <c r="FM3" s="176" t="n">
        <v>0</v>
      </c>
      <c r="FN3" s="176" t="n">
        <v>0.030211</v>
      </c>
      <c r="FO3" s="176" t="n">
        <v>0.117302</v>
      </c>
      <c r="FP3" s="176" t="n">
        <v>0.287518</v>
      </c>
      <c r="FQ3" s="176" t="n">
        <v>-0.09975100000000001</v>
      </c>
      <c r="FR3" s="179" t="n">
        <v>0.8981</v>
      </c>
      <c r="FS3" s="176" t="n">
        <v>-0.149626</v>
      </c>
      <c r="FT3" s="179" t="n">
        <v>0.7602</v>
      </c>
      <c r="FU3" s="176" t="n">
        <v>0.149626</v>
      </c>
      <c r="FV3" s="179" t="n">
        <v>1.0576</v>
      </c>
      <c r="FW3" s="179" t="n">
        <v>1.0115</v>
      </c>
      <c r="FX3" s="178" t="n">
        <v>3894274.6</v>
      </c>
      <c r="FY3" s="186" t="n">
        <v>0.02285080952380952</v>
      </c>
      <c r="FZ3" s="183" t="n">
        <v>0</v>
      </c>
      <c r="GA3" s="176" t="n">
        <v>0.06736748272038424</v>
      </c>
      <c r="GB3" s="176" t="n">
        <v>0.383877</v>
      </c>
      <c r="GC3" s="185" t="inlineStr">
        <is>
          <t>2025-07-09</t>
        </is>
      </c>
      <c r="GD3" s="185" t="inlineStr">
        <is>
          <t>2026-01-09</t>
        </is>
      </c>
      <c r="GE3" s="176" t="n">
        <v>0.165335</v>
      </c>
      <c r="GF3" s="176" t="n">
        <v>0.310815</v>
      </c>
      <c r="GG3" s="179" t="n">
        <v>2.9779</v>
      </c>
      <c r="GH3" s="181" t="inlineStr">
        <is>
          <t>CICC</t>
        </is>
      </c>
      <c r="GI3" s="183" t="n">
        <v>2</v>
      </c>
      <c r="GJ3" s="183" t="n">
        <v>0</v>
      </c>
      <c r="GK3" s="176" t="n">
        <v>0.025</v>
      </c>
      <c r="GL3" s="176" t="n">
        <v>0.01</v>
      </c>
      <c r="GM3" s="176" t="n">
        <v>0.035</v>
      </c>
      <c r="GN3" s="183" t="n">
        <v>4</v>
      </c>
      <c r="GO3" s="183" t="n">
        <v>0</v>
      </c>
      <c r="GP3" s="183" t="n">
        <v>0</v>
      </c>
      <c r="GQ3" s="183" t="n">
        <v>6</v>
      </c>
      <c r="GR3" s="183" t="n">
        <v>0</v>
      </c>
      <c r="GS3" s="181" t="inlineStr">
        <is>
          <t>POST_FINI</t>
        </is>
      </c>
      <c r="GT3" s="181" t="inlineStr">
        <is>
          <t>PRE_2025_REFORM</t>
        </is>
      </c>
    </row>
    <row r="4" ht="34" customFormat="1" customHeight="1" s="12">
      <c r="A4" s="43" t="n">
        <v>3</v>
      </c>
      <c r="B4" s="47" t="inlineStr">
        <is>
          <t>2613.HK</t>
        </is>
      </c>
      <c r="C4" s="44" t="inlineStr">
        <is>
          <t>ContiOcean Environment Tech Group Co., Ltd.
- H shares</t>
        </is>
      </c>
      <c r="D4" s="130" t="n">
        <v>45657</v>
      </c>
      <c r="E4" s="48" t="n">
        <v>45666</v>
      </c>
      <c r="F4" s="43" t="inlineStr">
        <is>
          <t>CITIC Securities (Hong Kong) Limited/
China Galaxy International Securities 
(Hong Kong) Co., Limited</t>
        </is>
      </c>
      <c r="G4" s="43" t="inlineStr">
        <is>
          <t>Deloitte Touche Tohmatsu</t>
        </is>
      </c>
      <c r="H4" s="43" t="n"/>
      <c r="I4" s="131" t="n">
        <v>60235560</v>
      </c>
      <c r="J4" s="132" t="n">
        <v>257764440</v>
      </c>
      <c r="K4" s="133" t="n">
        <v>31.8</v>
      </c>
      <c r="L4" s="81" t="n">
        <v>40000000</v>
      </c>
      <c r="M4" s="82" t="n">
        <v>10000000</v>
      </c>
      <c r="N4" s="81" t="n">
        <v>30000000</v>
      </c>
      <c r="O4" s="81" t="n">
        <v>30000000</v>
      </c>
      <c r="P4" s="81" t="n">
        <v>0</v>
      </c>
      <c r="Q4" s="81" t="n">
        <v>10000000</v>
      </c>
      <c r="R4" s="82" t="n">
        <v>9000000</v>
      </c>
      <c r="S4" s="82" t="n">
        <v>1000000</v>
      </c>
      <c r="T4" s="147" t="n">
        <v>39.8</v>
      </c>
      <c r="U4" s="147" t="n">
        <v>31.8</v>
      </c>
      <c r="V4" s="169" t="n">
        <v>-0.111732</v>
      </c>
      <c r="W4" s="169" t="n">
        <v>0.223464</v>
      </c>
      <c r="X4" s="170" t="inlineStr">
        <is>
          <t>At low</t>
        </is>
      </c>
      <c r="Y4" s="26" t="inlineStr">
        <is>
          <t>RMB</t>
        </is>
      </c>
      <c r="Z4" s="137" t="n">
        <v>376716000</v>
      </c>
      <c r="AA4" s="137" t="n">
        <v>522500000</v>
      </c>
      <c r="AB4" s="137" t="n">
        <v>410723000</v>
      </c>
      <c r="AC4" s="137" t="n">
        <v>135903000</v>
      </c>
      <c r="AD4" s="137" t="n">
        <v>254791000</v>
      </c>
      <c r="AE4" s="137" t="n">
        <v>239409000</v>
      </c>
      <c r="AF4" s="137" t="n">
        <v>240813000</v>
      </c>
      <c r="AG4" s="137" t="n">
        <v>267709000</v>
      </c>
      <c r="AH4" s="137" t="n">
        <v>171314000</v>
      </c>
      <c r="AI4" s="137" t="n">
        <v>267233000</v>
      </c>
      <c r="AJ4" s="137" t="n">
        <v>510255000</v>
      </c>
      <c r="AK4" s="137" t="n">
        <v>672932000</v>
      </c>
      <c r="AL4" s="137" t="n">
        <v>42895000</v>
      </c>
      <c r="AM4" s="137" t="n">
        <v>140784000</v>
      </c>
      <c r="AN4" s="137" t="n">
        <v>191636000</v>
      </c>
      <c r="AO4" s="137" t="n">
        <v>36777000</v>
      </c>
      <c r="AP4" s="137" t="n">
        <v>120534000</v>
      </c>
      <c r="AQ4" s="137" t="n">
        <v>164164000</v>
      </c>
      <c r="AR4" s="135" t="n">
        <v>0.025</v>
      </c>
      <c r="AS4" s="135" t="n">
        <v>0.025</v>
      </c>
      <c r="AT4" s="84" t="n">
        <v>0</v>
      </c>
      <c r="AU4" s="51" t="inlineStr">
        <is>
          <t>marine exhaust gas cleaning systems, marine energy-saving devices, marine clean-energy supply systems and maritime services</t>
        </is>
      </c>
      <c r="AV4" s="51" t="inlineStr">
        <is>
          <t>Main Board</t>
        </is>
      </c>
      <c r="AW4" s="136" t="n">
        <v>45473</v>
      </c>
      <c r="AX4" s="137" t="n">
        <v>-14908000</v>
      </c>
      <c r="AY4" s="117" t="n">
        <v>155634000</v>
      </c>
      <c r="AZ4" s="117" t="n">
        <v>10148000</v>
      </c>
      <c r="BA4" s="117" t="n">
        <v>0</v>
      </c>
      <c r="BB4" s="138" t="n">
        <v>0.894</v>
      </c>
      <c r="BC4" s="139" t="n">
        <v>0.5</v>
      </c>
      <c r="BD4" s="80" t="n">
        <v>0</v>
      </c>
      <c r="BE4" s="161" t="n">
        <v>0</v>
      </c>
      <c r="BF4" s="161" t="n">
        <v>0</v>
      </c>
      <c r="BG4" s="161" t="n">
        <v>0</v>
      </c>
      <c r="BH4" s="161" t="n">
        <v>0</v>
      </c>
      <c r="BI4" s="161" t="n">
        <v>0</v>
      </c>
      <c r="BJ4" s="162" t="inlineStr">
        <is>
          <t>NA</t>
        </is>
      </c>
      <c r="BK4" s="163" t="n">
        <v>0</v>
      </c>
      <c r="BL4" s="161" t="n">
        <v>0</v>
      </c>
      <c r="BM4" s="164" t="inlineStr">
        <is>
          <t>NA</t>
        </is>
      </c>
      <c r="BN4" s="165" t="inlineStr">
        <is>
          <t>NaN</t>
        </is>
      </c>
      <c r="BO4" s="51" t="inlineStr">
        <is>
          <t>natural persons</t>
        </is>
      </c>
      <c r="BP4" s="135" t="n">
        <v>0.7125</v>
      </c>
      <c r="BQ4" s="135" t="n">
        <v>0.7125</v>
      </c>
      <c r="BR4" s="137" t="n">
        <v>29125000</v>
      </c>
      <c r="BS4" s="73" t="inlineStr">
        <is>
          <t>Commercialized at scale (mass production and sale)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101010</t>
        </is>
      </c>
      <c r="CB4" s="76" t="inlineStr">
        <is>
          <t>HSICS (Hang Seng Industry Classification System) 2026</t>
        </is>
      </c>
      <c r="CC4" s="140" t="n">
        <v>42886</v>
      </c>
      <c r="CD4" s="171" t="n">
        <v>7.61</v>
      </c>
      <c r="CE4" s="76" t="inlineStr">
        <is>
          <t>PRC</t>
        </is>
      </c>
      <c r="CF4" s="89" t="inlineStr">
        <is>
          <t>Shanghai, the PRC</t>
        </is>
      </c>
      <c r="CG4" s="91" t="n">
        <v>1000</v>
      </c>
      <c r="CH4" s="60" t="inlineStr">
        <is>
          <t>IFRS</t>
        </is>
      </c>
      <c r="CI4" s="141" t="n">
        <v>44562</v>
      </c>
      <c r="CJ4" s="141" t="n">
        <v>44926</v>
      </c>
      <c r="CK4" s="141" t="n">
        <v>44927</v>
      </c>
      <c r="CL4" s="141" t="n">
        <v>45291</v>
      </c>
      <c r="CM4" s="141" t="n">
        <v>45292</v>
      </c>
      <c r="CN4" s="64" t="n">
        <v>336466000</v>
      </c>
      <c r="CO4" s="64" t="n">
        <v>95818000</v>
      </c>
      <c r="CP4" s="64" t="n">
        <v>82082000</v>
      </c>
      <c r="CQ4" s="141" t="n">
        <v>45657</v>
      </c>
      <c r="CR4" s="141" t="n">
        <v>45663</v>
      </c>
      <c r="CS4" s="63" t="n">
        <v>10000000</v>
      </c>
      <c r="CT4" s="64" t="n">
        <v>142782000</v>
      </c>
      <c r="CU4" s="64" t="n">
        <v>1470000</v>
      </c>
      <c r="CV4" s="59" t="inlineStr">
        <is>
          <t>unqualified</t>
        </is>
      </c>
      <c r="CW4" s="64" t="n">
        <v>46000000</v>
      </c>
      <c r="CX4" s="51" t="inlineStr">
        <is>
          <t>Harvest International Premium Value (Secondary Market) Fund SPC on behalf of Harvest Oriental SP</t>
        </is>
      </c>
      <c r="CY4" s="142" t="n">
        <v>0.2443</v>
      </c>
      <c r="CZ4" s="136" t="n">
        <v>45847</v>
      </c>
      <c r="DA4" s="143" t="n">
        <v>55.33</v>
      </c>
      <c r="DB4" s="63" t="n">
        <v>12389</v>
      </c>
      <c r="DC4" s="63" t="n">
        <v>55332300</v>
      </c>
      <c r="DD4" s="59" t="inlineStr">
        <is>
          <t>Subscription level 55.33 times (Hong Kong Public Offering); International Offering subscription level 0.95 times</t>
        </is>
      </c>
      <c r="DE4" s="141" t="n">
        <v>45664</v>
      </c>
      <c r="DF4" s="141" t="n">
        <v>45665</v>
      </c>
      <c r="DG4" s="63" t="n">
        <v>10000000</v>
      </c>
      <c r="DH4" s="63" t="n">
        <v>1894200</v>
      </c>
      <c r="DI4" s="63" t="n">
        <v>8105800</v>
      </c>
      <c r="DJ4" s="63" t="n">
        <v>0</v>
      </c>
      <c r="DK4" s="169" t="n">
        <v>0</v>
      </c>
      <c r="DL4" s="59" t="inlineStr">
        <is>
          <t>894,200 Offer Shares reallocated from the International Offering to the Hong Kong Public Offering; final Hong Kong Public Offering increased from 1,000,000 to 1,894,200 H Shares (~18.94% of the Global Offering)</t>
        </is>
      </c>
      <c r="DM4" s="144" t="n">
        <v>273400000</v>
      </c>
      <c r="DN4" s="142" t="n">
        <v>0.25</v>
      </c>
      <c r="DO4" s="51" t="n">
        <v>40000000</v>
      </c>
      <c r="DP4" s="142" t="n">
        <v>0.188925</v>
      </c>
      <c r="DQ4" s="59" t="inlineStr">
        <is>
          <t>Total issued share capital of the Company upon Listing = 40,000,000 shares (30,000,000 domestic shares + 10,000,000 H Shares), assuming options under the Pre-IPO Share Option Scheme are not exercised</t>
        </is>
      </c>
      <c r="DR4" s="63" t="n">
        <v>40000000</v>
      </c>
      <c r="DS4" s="142" t="n">
        <v>0.03482524</v>
      </c>
      <c r="DT4" s="80" t="n">
        <v>25</v>
      </c>
      <c r="DU4" s="142" t="n">
        <v>0.0459286</v>
      </c>
      <c r="DV4" s="144" t="n">
        <v>45752000000</v>
      </c>
      <c r="DW4" s="145" t="n">
        <v>32.177</v>
      </c>
      <c r="DX4" s="169" t="n">
        <v>0.011855</v>
      </c>
      <c r="DY4" s="172" t="n">
        <v>3770000</v>
      </c>
      <c r="DZ4" s="146" t="n">
        <v>32.327</v>
      </c>
      <c r="EA4" s="146" t="n">
        <v>33.327</v>
      </c>
      <c r="EB4" s="146" t="n">
        <v>31.527</v>
      </c>
      <c r="EC4" s="63" t="n">
        <v>2054100</v>
      </c>
      <c r="ED4" s="169" t="n">
        <v>0.20541</v>
      </c>
      <c r="EE4" s="64" t="n">
        <v>69585090</v>
      </c>
      <c r="EF4" s="60" t="inlineStr">
        <is>
          <t>PN18 statutory clawback</t>
        </is>
      </c>
      <c r="EG4" s="59" t="inlineStr">
        <is>
          <t>FINI (from 22/11/2023)</t>
        </is>
      </c>
      <c r="EH4" t="inlineStr">
        <is>
          <t>上海汇舸环保科技集团股份有限公司</t>
        </is>
      </c>
      <c r="EI4" s="174" t="inlineStr">
        <is>
          <t>Active</t>
        </is>
      </c>
      <c r="EJ4" s="175" t="n">
        <v>28.977</v>
      </c>
      <c r="EK4" s="176" t="n">
        <v>-0.09945</v>
      </c>
      <c r="EL4" s="176" t="n">
        <v>-0.08877400000000001</v>
      </c>
      <c r="EM4" s="176" t="n">
        <v>0.118554</v>
      </c>
      <c r="EN4" s="176" t="n">
        <v>0.226165</v>
      </c>
      <c r="EO4" s="179" t="n">
        <v>0.8051</v>
      </c>
      <c r="EP4" s="179" t="n">
        <v>0.7344000000000001</v>
      </c>
      <c r="EQ4" s="178" t="n">
        <v>5771307</v>
      </c>
      <c r="ER4" s="175" t="n">
        <v>23.75</v>
      </c>
      <c r="ES4" s="176" t="n">
        <v>-0.261895</v>
      </c>
      <c r="ET4" s="176" t="n">
        <v>-0.253145</v>
      </c>
      <c r="EU4" s="176" t="n">
        <v>0.241747</v>
      </c>
      <c r="EV4" s="176" t="n">
        <v>0.213485</v>
      </c>
      <c r="EW4" s="179" t="n">
        <v>0.5944</v>
      </c>
      <c r="EX4" s="179" t="n">
        <v>0.6083</v>
      </c>
      <c r="EY4" s="178" t="n">
        <v>196176.5</v>
      </c>
      <c r="EZ4" s="176" t="n">
        <v>0.002819</v>
      </c>
      <c r="FA4" s="176" t="n"/>
      <c r="FB4" s="179" t="n"/>
      <c r="FC4" s="176" t="n"/>
      <c r="FD4" s="179" t="n"/>
      <c r="FE4" s="174" t="inlineStr">
        <is>
          <t>Standard</t>
        </is>
      </c>
      <c r="FF4" s="181" t="inlineStr">
        <is>
          <t>China International Capital Corporation / Sponsor-OC</t>
        </is>
      </c>
      <c r="FG4" s="185" t="inlineStr">
        <is>
          <t>2025-02-08</t>
        </is>
      </c>
      <c r="FH4" s="183" t="n">
        <v>0</v>
      </c>
      <c r="FI4" s="178" t="n">
        <v>0</v>
      </c>
      <c r="FJ4" s="176" t="n">
        <v>0.15</v>
      </c>
      <c r="FK4" s="185" t="inlineStr">
        <is>
          <t>2025-02-08</t>
        </is>
      </c>
      <c r="FL4" s="178" t="n">
        <v>0</v>
      </c>
      <c r="FM4" s="176" t="n">
        <v>0</v>
      </c>
      <c r="FN4" s="176" t="n">
        <v>-0.183518</v>
      </c>
      <c r="FO4" s="176" t="n">
        <v>0.039687</v>
      </c>
      <c r="FP4" s="176" t="n">
        <v>0.110718</v>
      </c>
      <c r="FQ4" s="176" t="n">
        <v>-0.111881</v>
      </c>
      <c r="FR4" s="179" t="n">
        <v>0.886</v>
      </c>
      <c r="FS4" s="176" t="n">
        <v>-0.09945</v>
      </c>
      <c r="FT4" s="179" t="n">
        <v>0.8051</v>
      </c>
      <c r="FU4" s="176" t="n">
        <v>-0.174037</v>
      </c>
      <c r="FV4" s="179" t="n">
        <v>0.7599</v>
      </c>
      <c r="FW4" s="179" t="n">
        <v>0.7267</v>
      </c>
      <c r="FX4" s="178" t="n">
        <v>2168580.48</v>
      </c>
      <c r="FY4" s="186" t="n">
        <v>0.16777088</v>
      </c>
      <c r="FZ4" s="183" t="n">
        <v>1</v>
      </c>
      <c r="GA4" s="176" t="n">
        <v>0.02873107759574793</v>
      </c>
      <c r="GB4" s="176" t="n">
        <v>0.294866</v>
      </c>
      <c r="GC4" s="185" t="inlineStr">
        <is>
          <t>2025-07-09</t>
        </is>
      </c>
      <c r="GD4" s="185" t="inlineStr">
        <is>
          <t>2026-01-09</t>
        </is>
      </c>
      <c r="GE4" s="176" t="n">
        <v>-0.001799</v>
      </c>
      <c r="GF4" s="176" t="n">
        <v>0.063224</v>
      </c>
      <c r="GG4" s="179" t="n">
        <v>0.9651999999999999</v>
      </c>
      <c r="GH4" s="181" t="inlineStr">
        <is>
          <t>CICC</t>
        </is>
      </c>
      <c r="GI4" s="183" t="n">
        <v>2</v>
      </c>
      <c r="GJ4" s="183" t="n">
        <v>0</v>
      </c>
      <c r="GK4" s="176" t="n">
        <v>0.025</v>
      </c>
      <c r="GL4" s="176" t="n">
        <v>0.01</v>
      </c>
      <c r="GM4" s="176" t="n">
        <v>0.035</v>
      </c>
      <c r="GN4" s="183" t="n">
        <v>4</v>
      </c>
      <c r="GO4" s="183" t="n">
        <v>0</v>
      </c>
      <c r="GP4" s="183" t="n">
        <v>0</v>
      </c>
      <c r="GQ4" s="183" t="n">
        <v>6</v>
      </c>
      <c r="GR4" s="183" t="n">
        <v>0</v>
      </c>
      <c r="GS4" s="181" t="inlineStr">
        <is>
          <t>POST_FINI</t>
        </is>
      </c>
      <c r="GT4" s="181" t="inlineStr">
        <is>
          <t>PRE_2025_REFORM</t>
        </is>
      </c>
    </row>
    <row r="5" ht="51" customFormat="1" customHeight="1" s="12">
      <c r="A5" s="43" t="n">
        <v>4</v>
      </c>
      <c r="B5" s="47" t="inlineStr">
        <is>
          <t>0325.HK</t>
        </is>
      </c>
      <c r="C5" s="44" t="inlineStr">
        <is>
          <t>Bloks Group Limited</t>
        </is>
      </c>
      <c r="D5" s="130" t="n">
        <v>45657</v>
      </c>
      <c r="E5" s="48" t="n">
        <v>45667</v>
      </c>
      <c r="F5" s="43" t="inlineStr">
        <is>
          <t>Goldman Sachs (Asia) L.L.C./
Huatai Financial Holdings (Hong Kong) Limited</t>
        </is>
      </c>
      <c r="G5" s="43" t="inlineStr">
        <is>
          <t>Ernst &amp; Young</t>
        </is>
      </c>
      <c r="H5" s="43" t="n"/>
      <c r="I5" s="131" t="n">
        <v>727839105</v>
      </c>
      <c r="J5" s="132" t="n">
        <v>1197265545</v>
      </c>
      <c r="K5" s="133" t="n">
        <v>60.35</v>
      </c>
      <c r="L5" s="81" t="n">
        <v>24120300</v>
      </c>
      <c r="M5" s="82" t="n">
        <v>24120300</v>
      </c>
      <c r="N5" s="81" t="n">
        <v>0</v>
      </c>
      <c r="O5" s="81" t="n">
        <v>0</v>
      </c>
      <c r="P5" s="81" t="n">
        <v>0</v>
      </c>
      <c r="Q5" s="81" t="n">
        <v>24120300</v>
      </c>
      <c r="R5" s="82" t="n">
        <v>21708000</v>
      </c>
      <c r="S5" s="82" t="n">
        <v>2412300</v>
      </c>
      <c r="T5" s="147" t="n">
        <v>60.35</v>
      </c>
      <c r="U5" s="147" t="n">
        <v>55.65</v>
      </c>
      <c r="V5" s="169" t="n">
        <v>0.040517</v>
      </c>
      <c r="W5" s="169" t="n">
        <v>0.08103399999999999</v>
      </c>
      <c r="X5" s="170" t="inlineStr">
        <is>
          <t>At high</t>
        </is>
      </c>
      <c r="Y5" s="26" t="inlineStr">
        <is>
          <t>RMB</t>
        </is>
      </c>
      <c r="Z5" s="137" t="n">
        <v>1945851000</v>
      </c>
      <c r="AA5" s="137" t="n">
        <v>1012656000</v>
      </c>
      <c r="AB5" s="137" t="n">
        <v>1125533000</v>
      </c>
      <c r="AC5" s="137" t="n">
        <v>-1377115000</v>
      </c>
      <c r="AD5" s="137" t="n">
        <v>-1608294000</v>
      </c>
      <c r="AE5" s="137" t="n">
        <v>-1492462000</v>
      </c>
      <c r="AF5" s="137" t="n">
        <v>3322966000</v>
      </c>
      <c r="AG5" s="137" t="n">
        <v>2620950000</v>
      </c>
      <c r="AH5" s="137" t="n">
        <v>2617995000</v>
      </c>
      <c r="AI5" s="137" t="n">
        <v>325574000</v>
      </c>
      <c r="AJ5" s="137" t="n">
        <v>876686000</v>
      </c>
      <c r="AK5" s="137" t="n">
        <v>2092406000</v>
      </c>
      <c r="AL5" s="137" t="n">
        <v>-456771000</v>
      </c>
      <c r="AM5" s="137" t="n">
        <v>-189839000</v>
      </c>
      <c r="AN5" s="137" t="n">
        <v>-405512000</v>
      </c>
      <c r="AO5" s="137" t="n">
        <v>-422705000</v>
      </c>
      <c r="AP5" s="137" t="n">
        <v>-207481000</v>
      </c>
      <c r="AQ5" s="137" t="n">
        <v>-509782000</v>
      </c>
      <c r="AR5" s="135" t="n">
        <v>0.027625</v>
      </c>
      <c r="AS5" s="135" t="n">
        <v>0.027625</v>
      </c>
      <c r="AT5" s="84" t="n">
        <v>0.15</v>
      </c>
      <c r="AU5" s="51" t="inlineStr">
        <is>
          <t>Design, R&amp;D and sales of assembly character toys (toy industry)</t>
        </is>
      </c>
      <c r="AV5" s="51" t="inlineStr">
        <is>
          <t>Main Board (Listing Rule 8.05(3) market capitalisation/revenue test)</t>
        </is>
      </c>
      <c r="AW5" s="136" t="n">
        <v>45473</v>
      </c>
      <c r="AX5" s="137" t="n">
        <v>508032000</v>
      </c>
      <c r="AY5" s="117" t="n">
        <v>554092000</v>
      </c>
      <c r="AZ5" s="117" t="n">
        <v>76016000</v>
      </c>
      <c r="BA5" s="117" t="n">
        <v>0</v>
      </c>
      <c r="BB5" s="138" t="n">
        <v>0.121</v>
      </c>
      <c r="BC5" s="139" t="n">
        <v>0.5</v>
      </c>
      <c r="BD5" s="80" t="n">
        <v>1</v>
      </c>
      <c r="BE5" s="161" t="n">
        <v>1</v>
      </c>
      <c r="BF5" s="161" t="n">
        <v>1</v>
      </c>
      <c r="BG5" s="161" t="n">
        <v>0</v>
      </c>
      <c r="BH5" s="161" t="n">
        <v>1</v>
      </c>
      <c r="BI5" s="161" t="n">
        <v>1</v>
      </c>
      <c r="BJ5" s="162" t="inlineStr">
        <is>
          <t>Legend Capital (via Idea Great and LC Fund), Yunfeng Capital (Yunfeng Blocks/Tuoyuan), Gaorong (Gaorong BLK Holding), Gaintex, BlueCo (Mr. Charlie Cao), JYCP/JYMB Holding, SinoMedia (Asia Pacific), NAW, Way Elegance, Mr. Qi Daqing</t>
        </is>
      </c>
      <c r="BK5" s="163" t="inlineStr">
        <is>
          <t>NaN</t>
        </is>
      </c>
      <c r="BL5" s="161" t="n">
        <v>0</v>
      </c>
      <c r="BM5" s="164" t="inlineStr">
        <is>
          <t>Series Angel Investment (2018)</t>
        </is>
      </c>
      <c r="BN5" s="165" t="n">
        <v>6.9</v>
      </c>
      <c r="BO5" s="51" t="inlineStr">
        <is>
          <t>Individual/founder (Mr. Zhu Weisong, via Next Bloks/Smart Bloks and Wise Global Trust)</t>
        </is>
      </c>
      <c r="BP5" s="135" t="n">
        <v>0.4947</v>
      </c>
      <c r="BQ5" s="135" t="n">
        <v>0.4947</v>
      </c>
      <c r="BR5" s="137" t="n">
        <v>46266000</v>
      </c>
      <c r="BS5" s="73" t="inlineStr">
        <is>
          <t>Commercialised (products sold at scale)</t>
        </is>
      </c>
      <c r="BT5" s="142" t="n">
        <v>0</v>
      </c>
      <c r="BU5" s="60" t="inlineStr">
        <is>
          <t>Main Board</t>
        </is>
      </c>
      <c r="BV5" s="89" t="inlineStr">
        <is>
          <t>Ordinary Shares (US$0.0001 par value, single class)</t>
        </is>
      </c>
      <c r="BW5" s="61" t="n">
        <v>0</v>
      </c>
      <c r="BX5" s="77" t="n">
        <v>0</v>
      </c>
      <c r="BY5" s="77" t="n">
        <v>0</v>
      </c>
      <c r="BZ5" s="78" t="n">
        <v>0</v>
      </c>
      <c r="CA5" s="60" t="inlineStr">
        <is>
          <t>232030</t>
        </is>
      </c>
      <c r="CB5" s="76" t="inlineStr">
        <is>
          <t>HSICS (Hang Seng Industry Classification System) 2026</t>
        </is>
      </c>
      <c r="CC5" s="140" t="n">
        <v>44405</v>
      </c>
      <c r="CD5" s="171" t="n">
        <v>3.46</v>
      </c>
      <c r="CE5" s="76" t="inlineStr">
        <is>
          <t>Cayman Islands</t>
        </is>
      </c>
      <c r="CF5" s="89" t="inlineStr">
        <is>
          <t>PRC (Shanghai)</t>
        </is>
      </c>
      <c r="CG5" s="91" t="n">
        <v>1000</v>
      </c>
      <c r="CH5" s="60" t="inlineStr">
        <is>
          <t>IFRS</t>
        </is>
      </c>
      <c r="CI5" s="141" t="n">
        <v>44562</v>
      </c>
      <c r="CJ5" s="141" t="n">
        <v>44926</v>
      </c>
      <c r="CK5" s="141" t="n">
        <v>44927</v>
      </c>
      <c r="CL5" s="141" t="n">
        <v>45291</v>
      </c>
      <c r="CM5" s="141" t="n">
        <v>45292</v>
      </c>
      <c r="CN5" s="64" t="n">
        <v>1046203000</v>
      </c>
      <c r="CO5" s="64" t="n">
        <v>-202756000</v>
      </c>
      <c r="CP5" s="64" t="n">
        <v>-254891000</v>
      </c>
      <c r="CQ5" s="141" t="n">
        <v>45657</v>
      </c>
      <c r="CR5" s="141" t="n">
        <v>45664</v>
      </c>
      <c r="CS5" s="63" t="inlineStr">
        <is>
          <t>NaN</t>
        </is>
      </c>
      <c r="CT5" s="64" t="n">
        <v>553736000</v>
      </c>
      <c r="CU5" s="64" t="n">
        <v>22068000</v>
      </c>
      <c r="CV5" s="59" t="inlineStr">
        <is>
          <t>Unaudited (reviewed by Reporting Accountants)</t>
        </is>
      </c>
      <c r="CW5" s="64" t="n">
        <v>105200000</v>
      </c>
      <c r="CX5" s="51" t="inlineStr">
        <is>
          <t>Greenwoods Asset Management Hong Kong Limited;UBS Asset Management (Singapore) Ltd.;Fullgoal Fund Management Co., Ltd.;Fullgoal Asset Management (HK) Limited</t>
        </is>
      </c>
      <c r="CY5" s="142" t="n">
        <v>0.232</v>
      </c>
      <c r="CZ5" s="136" t="n">
        <v>45848</v>
      </c>
      <c r="DA5" s="143" t="n">
        <v>5999.96</v>
      </c>
      <c r="DB5" s="63" t="n">
        <v>126841</v>
      </c>
      <c r="DC5" s="63" t="n">
        <v>14473713600</v>
      </c>
      <c r="DD5" s="59" t="inlineStr">
        <is>
          <t>Subscription level 5,999.96 times</t>
        </is>
      </c>
      <c r="DE5" s="141" t="n">
        <v>45665</v>
      </c>
      <c r="DF5" s="141" t="n">
        <v>45666</v>
      </c>
      <c r="DG5" s="63" t="n">
        <v>27738300</v>
      </c>
      <c r="DH5" s="63" t="n">
        <v>12060300</v>
      </c>
      <c r="DI5" s="63" t="n">
        <v>15678000</v>
      </c>
      <c r="DJ5" s="63" t="n">
        <v>4160700</v>
      </c>
      <c r="DK5" s="169" t="n">
        <v>1</v>
      </c>
      <c r="DL5" s="59" t="inlineStr">
        <is>
          <t>Hong Kong Public Offering oversubscribed by more than 100 times triggered reallocation; final HK Public Offering shares adjusted from 2,412,300 to 12,060,300 (International adjusted to 15,678,000)</t>
        </is>
      </c>
      <c r="DM5" s="144" t="n">
        <v>1557000000</v>
      </c>
      <c r="DN5" s="142" t="n">
        <v>0.4893</v>
      </c>
      <c r="DO5" s="51" t="n">
        <v>245090245</v>
      </c>
      <c r="DP5" s="142" t="n">
        <v>0.08690000000000001</v>
      </c>
      <c r="DQ5" s="59" t="inlineStr">
        <is>
          <t>Total issued share capital upon Listing before any exercise of the Over-allotment Option (245,090,245 Shares); no separate free float denominator stated in the announcement</t>
        </is>
      </c>
      <c r="DR5" s="63" t="n">
        <v>245090245</v>
      </c>
      <c r="DS5" s="142" t="n">
        <v>0.03482524</v>
      </c>
      <c r="DT5" s="80" t="n">
        <v>25</v>
      </c>
      <c r="DU5" s="142" t="n">
        <v>0.0459286</v>
      </c>
      <c r="DV5" s="144" t="n">
        <v>45752000000</v>
      </c>
      <c r="DW5" s="145" t="n">
        <v>84.675</v>
      </c>
      <c r="DX5" s="169" t="n">
        <v>0.403065</v>
      </c>
      <c r="DY5" s="172" t="n">
        <v>674734147.5</v>
      </c>
      <c r="DZ5" s="146" t="n">
        <v>109.275</v>
      </c>
      <c r="EA5" s="146" t="n">
        <v>109.575</v>
      </c>
      <c r="EB5" s="146" t="n">
        <v>84.575</v>
      </c>
      <c r="EC5" s="63" t="n">
        <v>26806252</v>
      </c>
      <c r="ED5" s="169" t="n">
        <v>0.966399</v>
      </c>
      <c r="EE5" s="64" t="n">
        <v>2676233570</v>
      </c>
      <c r="EF5" s="60" t="inlineStr">
        <is>
          <t>PN18 statutory clawback</t>
        </is>
      </c>
      <c r="EG5" s="59" t="inlineStr">
        <is>
          <t>FINI (from 22/11/2023)</t>
        </is>
      </c>
      <c r="EH5" t="inlineStr">
        <is>
          <t>布鲁可集团有限公司</t>
        </is>
      </c>
      <c r="EI5" s="174" t="inlineStr">
        <is>
          <t>Active</t>
        </is>
      </c>
      <c r="EJ5" s="175" t="n">
        <v>91.325</v>
      </c>
      <c r="EK5" s="176" t="n">
        <v>0.07853599999999999</v>
      </c>
      <c r="EL5" s="176" t="n">
        <v>0.513256</v>
      </c>
      <c r="EM5" s="176" t="n">
        <v>0.117003</v>
      </c>
      <c r="EN5" s="176" t="n">
        <v>0.206883</v>
      </c>
      <c r="EO5" s="179" t="n">
        <v>0.9656</v>
      </c>
      <c r="EP5" s="179" t="n">
        <v>0.8937</v>
      </c>
      <c r="EQ5" s="178" t="n">
        <v>209639246</v>
      </c>
      <c r="ER5" s="175" t="n">
        <v>145.275</v>
      </c>
      <c r="ES5" s="176" t="n">
        <v>0.715678</v>
      </c>
      <c r="ET5" s="176" t="n">
        <v>1.407208</v>
      </c>
      <c r="EU5" s="176" t="n">
        <v>0.260386</v>
      </c>
      <c r="EV5" s="176" t="n">
        <v>0.224318</v>
      </c>
      <c r="EW5" s="179" t="n">
        <v>1.3612</v>
      </c>
      <c r="EX5" s="179" t="n">
        <v>1.4013</v>
      </c>
      <c r="EY5" s="178" t="n">
        <v>297675091.5</v>
      </c>
      <c r="EZ5" s="176" t="n">
        <v>0.111229</v>
      </c>
      <c r="FA5" s="176" t="n"/>
      <c r="FB5" s="179" t="n"/>
      <c r="FC5" s="176" t="n"/>
      <c r="FD5" s="179" t="n"/>
      <c r="FE5" s="174" t="inlineStr">
        <is>
          <t>Standard</t>
        </is>
      </c>
      <c r="FF5" s="181" t="inlineStr">
        <is>
          <t>China International Capital Corporation / Sponsor-OC</t>
        </is>
      </c>
      <c r="FG5" s="185" t="inlineStr">
        <is>
          <t>2025-02-09</t>
        </is>
      </c>
      <c r="FH5" s="183" t="n">
        <v>0</v>
      </c>
      <c r="FI5" s="178" t="n">
        <v>0</v>
      </c>
      <c r="FJ5" s="176" t="n">
        <v>0.15</v>
      </c>
      <c r="FK5" s="185" t="inlineStr">
        <is>
          <t>2025-02-09</t>
        </is>
      </c>
      <c r="FL5" s="178" t="n">
        <v>0</v>
      </c>
      <c r="FM5" s="176" t="n">
        <v>0</v>
      </c>
      <c r="FN5" s="176" t="n">
        <v>-0.128636</v>
      </c>
      <c r="FO5" s="176" t="n">
        <v>0.082541</v>
      </c>
      <c r="FP5" s="176" t="n">
        <v>0.28565</v>
      </c>
      <c r="FQ5" s="176" t="n">
        <v>0.027163</v>
      </c>
      <c r="FR5" s="179" t="n">
        <v>1.003</v>
      </c>
      <c r="FS5" s="176" t="n">
        <v>0.07853599999999999</v>
      </c>
      <c r="FT5" s="179" t="n">
        <v>0.9656</v>
      </c>
      <c r="FU5" s="176" t="n">
        <v>0.392087</v>
      </c>
      <c r="FV5" s="179" t="n">
        <v>1.2391</v>
      </c>
      <c r="FW5" s="179" t="n">
        <v>1.1827</v>
      </c>
      <c r="FX5" s="178" t="n">
        <v>140343496.83</v>
      </c>
      <c r="FY5" s="186" t="n">
        <v>0.0003457698412698413</v>
      </c>
      <c r="FZ5" s="183" t="n">
        <v>0</v>
      </c>
      <c r="GA5" s="176" t="n">
        <v>0.06646652795950565</v>
      </c>
      <c r="GB5" s="176" t="n">
        <v>0.356927</v>
      </c>
      <c r="GC5" s="185" t="inlineStr">
        <is>
          <t>2025-07-10</t>
        </is>
      </c>
      <c r="GD5" s="185" t="inlineStr">
        <is>
          <t>2026-01-10</t>
        </is>
      </c>
      <c r="GE5" s="176" t="n">
        <v>-0.057769</v>
      </c>
      <c r="GF5" s="176" t="n">
        <v>-0.399731</v>
      </c>
      <c r="GG5" s="179" t="n">
        <v>0.6178</v>
      </c>
      <c r="GH5" s="181" t="inlineStr">
        <is>
          <t>CICC</t>
        </is>
      </c>
      <c r="GI5" s="183" t="n">
        <v>2</v>
      </c>
      <c r="GJ5" s="183" t="n">
        <v>0</v>
      </c>
      <c r="GK5" s="176" t="n">
        <v>0.025</v>
      </c>
      <c r="GL5" s="176" t="n">
        <v>0.01</v>
      </c>
      <c r="GM5" s="176" t="n">
        <v>0.035</v>
      </c>
      <c r="GN5" s="183" t="n">
        <v>4</v>
      </c>
      <c r="GO5" s="183" t="n">
        <v>0</v>
      </c>
      <c r="GP5" s="183" t="n">
        <v>0</v>
      </c>
      <c r="GQ5" s="183" t="n">
        <v>6</v>
      </c>
      <c r="GR5" s="183" t="n">
        <v>0</v>
      </c>
      <c r="GS5" s="181" t="inlineStr">
        <is>
          <t>POST_FINI</t>
        </is>
      </c>
      <c r="GT5" s="181" t="inlineStr">
        <is>
          <t>PRE_2025_REFORM</t>
        </is>
      </c>
    </row>
    <row r="6" ht="68" customFormat="1" customHeight="1" s="12">
      <c r="A6" s="43" t="n">
        <v>5</v>
      </c>
      <c r="B6" s="47" t="inlineStr">
        <is>
          <t>2530.HK</t>
        </is>
      </c>
      <c r="C6" s="44" t="inlineStr">
        <is>
          <t>Numans Health Food Holdings Company Limited</t>
        </is>
      </c>
      <c r="D6" s="130" t="n">
        <v>45656</v>
      </c>
      <c r="E6" s="48" t="n">
        <v>45667</v>
      </c>
      <c r="F6" s="43" t="inlineStr">
        <is>
          <t>Caitong International Capital Co., Limited</t>
        </is>
      </c>
      <c r="G6" s="43" t="inlineStr">
        <is>
          <t>Forvis Mazars CPA Limited</t>
        </is>
      </c>
      <c r="H6" s="43" t="n"/>
      <c r="I6" s="131" t="n">
        <v>80000000</v>
      </c>
      <c r="J6" s="132" t="n">
        <v>120000000</v>
      </c>
      <c r="K6" s="133" t="n">
        <v>0.8</v>
      </c>
      <c r="L6" s="81" t="n">
        <v>1000000000</v>
      </c>
      <c r="M6" s="82" t="n">
        <v>250000000</v>
      </c>
      <c r="N6" s="81" t="n">
        <v>750000000</v>
      </c>
      <c r="O6" s="81" t="n">
        <v>750000000</v>
      </c>
      <c r="P6" s="81" t="n">
        <v>0</v>
      </c>
      <c r="Q6" s="81" t="n">
        <v>250000000</v>
      </c>
      <c r="R6" s="82" t="n">
        <v>225000000</v>
      </c>
      <c r="S6" s="82" t="n">
        <v>25000000</v>
      </c>
      <c r="T6" s="147" t="n">
        <v>1.09</v>
      </c>
      <c r="U6" s="147" t="n">
        <v>0.8</v>
      </c>
      <c r="V6" s="169" t="n">
        <v>-0.153439</v>
      </c>
      <c r="W6" s="169" t="n">
        <v>0.306878</v>
      </c>
      <c r="X6" s="170" t="inlineStr">
        <is>
          <t>At low</t>
        </is>
      </c>
      <c r="Y6" s="26" t="inlineStr">
        <is>
          <t>RMB</t>
        </is>
      </c>
      <c r="Z6" s="137" t="n">
        <v>403581000</v>
      </c>
      <c r="AA6" s="137" t="n">
        <v>470017000</v>
      </c>
      <c r="AB6" s="137" t="n">
        <v>502846000</v>
      </c>
      <c r="AC6" s="137" t="n">
        <v>247240000</v>
      </c>
      <c r="AD6" s="137" t="n">
        <v>410076000</v>
      </c>
      <c r="AE6" s="137" t="n">
        <v>458206000</v>
      </c>
      <c r="AF6" s="137" t="n">
        <v>156341000</v>
      </c>
      <c r="AG6" s="137" t="n">
        <v>59941000</v>
      </c>
      <c r="AH6" s="137" t="n">
        <v>44640000</v>
      </c>
      <c r="AI6" s="137" t="n">
        <v>367297000</v>
      </c>
      <c r="AJ6" s="137" t="n">
        <v>426545000</v>
      </c>
      <c r="AK6" s="137" t="n">
        <v>292172000</v>
      </c>
      <c r="AL6" s="137" t="n">
        <v>98413000</v>
      </c>
      <c r="AM6" s="137" t="n">
        <v>194621000</v>
      </c>
      <c r="AN6" s="137" t="n">
        <v>103398000</v>
      </c>
      <c r="AO6" s="137" t="n">
        <v>87522000</v>
      </c>
      <c r="AP6" s="137" t="n">
        <v>159344000</v>
      </c>
      <c r="AQ6" s="137" t="n">
        <v>90562000</v>
      </c>
      <c r="AR6" s="135" t="n">
        <v>0.035</v>
      </c>
      <c r="AS6" s="135" t="n">
        <v>0.035</v>
      </c>
      <c r="AT6" s="84" t="n">
        <v>0.15</v>
      </c>
      <c r="AU6" s="51" t="inlineStr">
        <is>
          <t>Marketing, sales and distribution of finished nutritional products in the PRC (algal oil DHA, probiotics, vitamins, multi-nutrients and algal calcium products)</t>
        </is>
      </c>
      <c r="AV6" s="51" t="inlineStr">
        <is>
          <t>Main Board</t>
        </is>
      </c>
      <c r="AW6" s="136" t="n">
        <v>45473</v>
      </c>
      <c r="AX6" s="137" t="n">
        <v>32193000</v>
      </c>
      <c r="AY6" s="117" t="n">
        <v>295607000</v>
      </c>
      <c r="AZ6" s="117" t="n">
        <v>0</v>
      </c>
      <c r="BA6" s="117" t="n">
        <v>0</v>
      </c>
      <c r="BB6" s="138" t="n">
        <v>0.744</v>
      </c>
      <c r="BC6" s="139" t="n">
        <v>0.5</v>
      </c>
      <c r="BD6" s="80" t="n">
        <v>0</v>
      </c>
      <c r="BE6" s="161" t="n">
        <v>0</v>
      </c>
      <c r="BF6" s="161" t="n">
        <v>0</v>
      </c>
      <c r="BG6" s="161" t="n">
        <v>0</v>
      </c>
      <c r="BH6" s="161" t="n">
        <v>0</v>
      </c>
      <c r="BI6" s="161" t="n">
        <v>0</v>
      </c>
      <c r="BJ6" s="162" t="inlineStr">
        <is>
          <t>NA</t>
        </is>
      </c>
      <c r="BK6" s="163" t="inlineStr">
        <is>
          <t>NaN</t>
        </is>
      </c>
      <c r="BL6" s="161" t="n">
        <v>0</v>
      </c>
      <c r="BM6" s="164" t="inlineStr">
        <is>
          <t>NA</t>
        </is>
      </c>
      <c r="BN6" s="165" t="inlineStr">
        <is>
          <t>NaN</t>
        </is>
      </c>
      <c r="BO6" s="51" t="inlineStr">
        <is>
          <t>individual</t>
        </is>
      </c>
      <c r="BP6" s="135" t="n">
        <v>0.75</v>
      </c>
      <c r="BQ6" s="135" t="n">
        <v>0.75</v>
      </c>
      <c r="BR6" s="137" t="n">
        <v>6041000</v>
      </c>
      <c r="BS6" s="73" t="inlineStr">
        <is>
          <t>NA</t>
        </is>
      </c>
      <c r="BT6" s="142" t="n">
        <v>0</v>
      </c>
      <c r="BU6" s="60" t="inlineStr">
        <is>
          <t>Main Board</t>
        </is>
      </c>
      <c r="BV6" s="89" t="inlineStr">
        <is>
          <t>ordinary shares</t>
        </is>
      </c>
      <c r="BW6" s="61" t="n">
        <v>0</v>
      </c>
      <c r="BX6" s="77" t="n">
        <v>0</v>
      </c>
      <c r="BY6" s="77" t="n">
        <v>0</v>
      </c>
      <c r="BZ6" s="78" t="n">
        <v>0</v>
      </c>
      <c r="CA6" s="60" t="inlineStr">
        <is>
          <t>282030</t>
        </is>
      </c>
      <c r="CB6" s="76" t="inlineStr">
        <is>
          <t>HSICS (Hang Seng Industry Classification System) 2026</t>
        </is>
      </c>
      <c r="CC6" s="140" t="n">
        <v>43486</v>
      </c>
      <c r="CD6" s="171" t="n">
        <v>5.97</v>
      </c>
      <c r="CE6" s="76" t="inlineStr">
        <is>
          <t>Cayman Islands</t>
        </is>
      </c>
      <c r="CF6" s="89" t="inlineStr">
        <is>
          <t>Hong Kong</t>
        </is>
      </c>
      <c r="CG6" s="91" t="n"/>
      <c r="CH6" s="60" t="inlineStr">
        <is>
          <t>HKFRS</t>
        </is>
      </c>
      <c r="CI6" s="141" t="n">
        <v>44562</v>
      </c>
      <c r="CJ6" s="141" t="n">
        <v>44926</v>
      </c>
      <c r="CK6" s="141" t="n">
        <v>44927</v>
      </c>
      <c r="CL6" s="141" t="n">
        <v>45291</v>
      </c>
      <c r="CM6" s="141" t="n">
        <v>45292</v>
      </c>
      <c r="CN6" s="64" t="n">
        <v>146086000</v>
      </c>
      <c r="CO6" s="64" t="n">
        <v>51699000</v>
      </c>
      <c r="CP6" s="64" t="n">
        <v>45281000</v>
      </c>
      <c r="CQ6" s="141" t="n">
        <v>45656</v>
      </c>
      <c r="CR6" s="141" t="n">
        <v>45664</v>
      </c>
      <c r="CS6" s="63" t="inlineStr">
        <is>
          <t>NaN</t>
        </is>
      </c>
      <c r="CT6" s="64" t="n">
        <v>104963000</v>
      </c>
      <c r="CU6" s="64" t="n">
        <v>1095000</v>
      </c>
      <c r="CV6" s="59" t="inlineStr">
        <is>
          <t>unqualified</t>
        </is>
      </c>
      <c r="CW6" s="64" t="n">
        <v>81200000</v>
      </c>
      <c r="CX6" s="51" t="inlineStr">
        <is>
          <t>NA</t>
        </is>
      </c>
      <c r="CY6" s="142" t="n">
        <v>0</v>
      </c>
      <c r="CZ6" s="136" t="inlineStr">
        <is>
          <t>NA</t>
        </is>
      </c>
      <c r="DA6" s="143" t="n">
        <v>65.17</v>
      </c>
      <c r="DB6" s="63" t="n">
        <v>9340</v>
      </c>
      <c r="DC6" s="63" t="n">
        <v>1629192000</v>
      </c>
      <c r="DD6" s="59" t="inlineStr">
        <is>
          <t>Subscription level 65.17 times</t>
        </is>
      </c>
      <c r="DE6" s="141" t="n">
        <v>45665</v>
      </c>
      <c r="DF6" s="141" t="n">
        <v>45666</v>
      </c>
      <c r="DG6" s="63" t="n">
        <v>250000000</v>
      </c>
      <c r="DH6" s="63" t="n">
        <v>100000000</v>
      </c>
      <c r="DI6" s="63" t="n">
        <v>150000000</v>
      </c>
      <c r="DJ6" s="63" t="n">
        <v>0</v>
      </c>
      <c r="DK6" s="169" t="n">
        <v>0</v>
      </c>
      <c r="DL6" s="59" t="inlineStr">
        <is>
          <t>75,000,000 Offer Shares reallocated from the International Placing to the Hong Kong Public Offering (claw-back)</t>
        </is>
      </c>
      <c r="DM6" s="144" t="n">
        <v>120500000</v>
      </c>
      <c r="DN6" s="142" t="n">
        <v>0.25</v>
      </c>
      <c r="DO6" s="51" t="n">
        <v>1000000000</v>
      </c>
      <c r="DP6" s="142" t="n">
        <v>0.25</v>
      </c>
      <c r="DQ6" s="59" t="inlineStr">
        <is>
          <t>Total number of issued Shares upon Listing (no over-allocation; Over-allotment Option not exercised)</t>
        </is>
      </c>
      <c r="DR6" s="63" t="n">
        <v>1000000000</v>
      </c>
      <c r="DS6" s="142" t="n">
        <v>0.0248598</v>
      </c>
      <c r="DT6" s="80" t="n">
        <v>22</v>
      </c>
      <c r="DU6" s="142" t="n">
        <v>0.0458435</v>
      </c>
      <c r="DV6" s="144" t="n">
        <v>45746000000</v>
      </c>
      <c r="DW6" s="145" t="n">
        <v>0.611</v>
      </c>
      <c r="DX6" s="169" t="n">
        <v>-0.23625</v>
      </c>
      <c r="DY6" s="172" t="n">
        <v>-47250000</v>
      </c>
      <c r="DZ6" s="146" t="n">
        <v>0.711</v>
      </c>
      <c r="EA6" s="146" t="n">
        <v>0.711</v>
      </c>
      <c r="EB6" s="146" t="n">
        <v>0.501</v>
      </c>
      <c r="EC6" s="63" t="n">
        <v>123024000</v>
      </c>
      <c r="ED6" s="169" t="n">
        <v>0.492096</v>
      </c>
      <c r="EE6" s="64" t="n">
        <v>89626200</v>
      </c>
      <c r="EF6" s="60" t="inlineStr">
        <is>
          <t>PN18 statutory clawback</t>
        </is>
      </c>
      <c r="EG6" s="59" t="inlineStr">
        <is>
          <t>FINI (from 22/11/2023)</t>
        </is>
      </c>
      <c r="EH6" t="inlineStr">
        <is>
          <t>纽曼思健康食品控股有限公司</t>
        </is>
      </c>
      <c r="EI6" s="174" t="inlineStr">
        <is>
          <t>Active</t>
        </is>
      </c>
      <c r="EJ6" s="175" t="n">
        <v>0.611</v>
      </c>
      <c r="EK6" s="176" t="n">
        <v>0</v>
      </c>
      <c r="EL6" s="176" t="n">
        <v>-0.23625</v>
      </c>
      <c r="EM6" s="176" t="n">
        <v>0.117003</v>
      </c>
      <c r="EN6" s="176" t="n">
        <v>0.206883</v>
      </c>
      <c r="EO6" s="179" t="n">
        <v>0.8953</v>
      </c>
      <c r="EP6" s="179" t="n">
        <v>0.8286</v>
      </c>
      <c r="EQ6" s="178" t="n">
        <v>8001954</v>
      </c>
      <c r="ER6" s="175" t="n">
        <v>0.625</v>
      </c>
      <c r="ES6" s="176" t="n">
        <v>0.022913</v>
      </c>
      <c r="ET6" s="176" t="n">
        <v>-0.21875</v>
      </c>
      <c r="EU6" s="176" t="n">
        <v>0.260386</v>
      </c>
      <c r="EV6" s="176" t="n">
        <v>0.224318</v>
      </c>
      <c r="EW6" s="179" t="n">
        <v>0.8116</v>
      </c>
      <c r="EX6" s="179" t="n">
        <v>0.8355</v>
      </c>
      <c r="EY6" s="178" t="n">
        <v>577684.5</v>
      </c>
      <c r="EZ6" s="176" t="n">
        <v>0.006445</v>
      </c>
      <c r="FA6" s="176" t="n"/>
      <c r="FB6" s="179" t="n"/>
      <c r="FC6" s="176" t="n"/>
      <c r="FD6" s="179" t="n"/>
      <c r="FE6" s="174" t="inlineStr">
        <is>
          <t>Standard</t>
        </is>
      </c>
      <c r="FF6" s="181" t="inlineStr">
        <is>
          <t>China International Capital Corporation / Sponsor-OC</t>
        </is>
      </c>
      <c r="FG6" s="185" t="inlineStr">
        <is>
          <t>2025-02-09</t>
        </is>
      </c>
      <c r="FH6" s="183" t="n">
        <v>0</v>
      </c>
      <c r="FI6" s="178" t="n">
        <v>0</v>
      </c>
      <c r="FJ6" s="176" t="n">
        <v>0.15</v>
      </c>
      <c r="FK6" s="185" t="inlineStr">
        <is>
          <t>2025-02-09</t>
        </is>
      </c>
      <c r="FL6" s="178" t="n">
        <v>0</v>
      </c>
      <c r="FM6" s="176" t="n">
        <v>0</v>
      </c>
      <c r="FN6" s="176" t="n">
        <v>0</v>
      </c>
      <c r="FO6" s="176" t="n">
        <v>0.124805</v>
      </c>
      <c r="FP6" s="176" t="n">
        <v>0.222541</v>
      </c>
      <c r="FQ6" s="176" t="n">
        <v>-0.0491</v>
      </c>
      <c r="FR6" s="179" t="n">
        <v>0.9286</v>
      </c>
      <c r="FS6" s="176" t="n">
        <v>0</v>
      </c>
      <c r="FT6" s="179" t="n">
        <v>0.8953</v>
      </c>
      <c r="FU6" s="176" t="n">
        <v>-0.032733</v>
      </c>
      <c r="FV6" s="179" t="n">
        <v>0.861</v>
      </c>
      <c r="FW6" s="179" t="n">
        <v>0.8218</v>
      </c>
      <c r="FX6" s="178" t="n">
        <v>3438647.62</v>
      </c>
      <c r="FY6" s="186" t="n">
        <v>0.1548013709677419</v>
      </c>
      <c r="FZ6" s="183" t="n">
        <v>2</v>
      </c>
      <c r="GA6" s="176" t="n">
        <v>0.06042495051992957</v>
      </c>
      <c r="GB6" s="176" t="n">
        <v>0.408627</v>
      </c>
      <c r="GC6" s="185" t="inlineStr">
        <is>
          <t>2025-07-10</t>
        </is>
      </c>
      <c r="GD6" s="185" t="inlineStr">
        <is>
          <t>2026-01-10</t>
        </is>
      </c>
      <c r="GE6" s="176" t="n"/>
      <c r="GF6" s="176" t="n"/>
      <c r="GG6" s="179" t="n"/>
      <c r="GH6" s="181" t="inlineStr">
        <is>
          <t>CICC</t>
        </is>
      </c>
      <c r="GI6" s="183" t="n">
        <v>2</v>
      </c>
      <c r="GJ6" s="183" t="n">
        <v>0</v>
      </c>
      <c r="GK6" s="176" t="n">
        <v>0.025</v>
      </c>
      <c r="GL6" s="176" t="n">
        <v>0.01</v>
      </c>
      <c r="GM6" s="176" t="n">
        <v>0.035</v>
      </c>
      <c r="GN6" s="183" t="n">
        <v>4</v>
      </c>
      <c r="GO6" s="183" t="n">
        <v>0</v>
      </c>
      <c r="GP6" s="183" t="n">
        <v>0</v>
      </c>
      <c r="GQ6" s="183" t="n">
        <v>6</v>
      </c>
      <c r="GR6" s="183" t="n">
        <v>0</v>
      </c>
      <c r="GS6" s="181" t="inlineStr">
        <is>
          <t>POST_FINI</t>
        </is>
      </c>
      <c r="GT6" s="181" t="inlineStr">
        <is>
          <t>PRE_2025_REFORM</t>
        </is>
      </c>
    </row>
    <row r="7" ht="68" customFormat="1" customHeight="1" s="12">
      <c r="A7" s="43" t="n">
        <v>6</v>
      </c>
      <c r="B7" s="47" t="inlineStr">
        <is>
          <t>0805.HK</t>
        </is>
      </c>
      <c r="C7" s="44" t="inlineStr">
        <is>
          <t>New Gonow Recreational Vehicles Inc.</t>
        </is>
      </c>
      <c r="D7" s="130" t="n">
        <v>45657</v>
      </c>
      <c r="E7" s="48" t="n">
        <v>45670</v>
      </c>
      <c r="F7" s="43" t="inlineStr">
        <is>
          <t>Huatai Financial Holdings (Hong Kong) Limited</t>
        </is>
      </c>
      <c r="G7" s="43" t="inlineStr">
        <is>
          <t>KPMG</t>
        </is>
      </c>
      <c r="H7" s="43" t="n"/>
      <c r="I7" s="131" t="n">
        <v>30480000</v>
      </c>
      <c r="J7" s="132" t="n">
        <v>274320000</v>
      </c>
      <c r="K7" s="133" t="n">
        <v>1.27</v>
      </c>
      <c r="L7" s="81" t="n">
        <v>960000000</v>
      </c>
      <c r="M7" s="82" t="n">
        <v>240000000</v>
      </c>
      <c r="N7" s="81" t="n">
        <v>720000000</v>
      </c>
      <c r="O7" s="81" t="n">
        <v>720000000</v>
      </c>
      <c r="P7" s="81" t="n">
        <v>0</v>
      </c>
      <c r="Q7" s="81" t="n">
        <v>240000000</v>
      </c>
      <c r="R7" s="82" t="n">
        <v>216000000</v>
      </c>
      <c r="S7" s="82" t="n">
        <v>24000000</v>
      </c>
      <c r="T7" s="147" t="n">
        <v>1.64</v>
      </c>
      <c r="U7" s="147" t="n">
        <v>1.24</v>
      </c>
      <c r="V7" s="169" t="n">
        <v>-0.118056</v>
      </c>
      <c r="W7" s="169" t="n">
        <v>0.277778</v>
      </c>
      <c r="X7" s="170" t="inlineStr">
        <is>
          <t>Within range</t>
        </is>
      </c>
      <c r="Y7" s="26" t="inlineStr">
        <is>
          <t>RMB</t>
        </is>
      </c>
      <c r="Z7" s="137" t="n">
        <v>300223000</v>
      </c>
      <c r="AA7" s="137" t="n">
        <v>398798000</v>
      </c>
      <c r="AB7" s="137" t="n">
        <v>525104000</v>
      </c>
      <c r="AC7" s="137" t="n">
        <v>56954000</v>
      </c>
      <c r="AD7" s="137" t="n">
        <v>27186000</v>
      </c>
      <c r="AE7" s="137" t="n">
        <v>35283000</v>
      </c>
      <c r="AF7" s="137" t="n">
        <v>243269000</v>
      </c>
      <c r="AG7" s="137" t="n">
        <v>371612000</v>
      </c>
      <c r="AH7" s="137" t="n">
        <v>489821000</v>
      </c>
      <c r="AI7" s="137" t="n">
        <v>498780000</v>
      </c>
      <c r="AJ7" s="137" t="n">
        <v>720303000</v>
      </c>
      <c r="AK7" s="137" t="n">
        <v>843946000</v>
      </c>
      <c r="AL7" s="137" t="n">
        <v>44261000</v>
      </c>
      <c r="AM7" s="137" t="n">
        <v>107676000</v>
      </c>
      <c r="AN7" s="137" t="n">
        <v>108010000</v>
      </c>
      <c r="AO7" s="137" t="n">
        <v>32956000</v>
      </c>
      <c r="AP7" s="137" t="n">
        <v>78768000</v>
      </c>
      <c r="AQ7" s="137" t="n">
        <v>80860000</v>
      </c>
      <c r="AR7" s="135" t="n">
        <v>0.03</v>
      </c>
      <c r="AS7" s="135" t="n">
        <v>0.03</v>
      </c>
      <c r="AT7" s="84" t="n">
        <v>0.15</v>
      </c>
      <c r="AU7" s="51" t="inlineStr">
        <is>
          <t>Recreational vehicles (RVs)</t>
        </is>
      </c>
      <c r="AV7" s="51" t="inlineStr">
        <is>
          <t>Main Board</t>
        </is>
      </c>
      <c r="AW7" s="136" t="n">
        <v>45473</v>
      </c>
      <c r="AX7" s="137" t="n">
        <v>35554000</v>
      </c>
      <c r="AY7" s="117" t="n">
        <v>43882000</v>
      </c>
      <c r="AZ7" s="117" t="n">
        <v>5625000</v>
      </c>
      <c r="BA7" s="117" t="n">
        <v>0</v>
      </c>
      <c r="BB7" s="138" t="n">
        <v>0.462</v>
      </c>
      <c r="BC7" s="139" t="n">
        <v>0.5</v>
      </c>
      <c r="BD7" s="80" t="n">
        <v>0</v>
      </c>
      <c r="BE7" s="161" t="n">
        <v>0</v>
      </c>
      <c r="BF7" s="161" t="n">
        <v>0</v>
      </c>
      <c r="BG7" s="161" t="n">
        <v>0</v>
      </c>
      <c r="BH7" s="161" t="n">
        <v>0</v>
      </c>
      <c r="BI7" s="161" t="n">
        <v>0</v>
      </c>
      <c r="BJ7" s="162" t="inlineStr">
        <is>
          <t>NA</t>
        </is>
      </c>
      <c r="BK7" s="163" t="inlineStr">
        <is>
          <t>NaN</t>
        </is>
      </c>
      <c r="BL7" s="161" t="n">
        <v>0</v>
      </c>
      <c r="BM7" s="164" t="inlineStr">
        <is>
          <t>NA</t>
        </is>
      </c>
      <c r="BN7" s="165" t="inlineStr">
        <is>
          <t>NaN</t>
        </is>
      </c>
      <c r="BO7" s="51" t="inlineStr">
        <is>
          <t>Family</t>
        </is>
      </c>
      <c r="BP7" s="135" t="n">
        <v>0.744</v>
      </c>
      <c r="BQ7" s="135" t="n">
        <v>0.744</v>
      </c>
      <c r="BR7" s="137" t="n">
        <v>191405000</v>
      </c>
      <c r="BS7" s="73" t="inlineStr">
        <is>
          <t>Mass production</t>
        </is>
      </c>
      <c r="BT7" s="142" t="n">
        <v>0</v>
      </c>
      <c r="BU7" s="60" t="inlineStr">
        <is>
          <t>Main Board</t>
        </is>
      </c>
      <c r="BV7" s="89" t="inlineStr">
        <is>
          <t>Ordinary Shares</t>
        </is>
      </c>
      <c r="BW7" s="61" t="n">
        <v>0</v>
      </c>
      <c r="BX7" s="77" t="n">
        <v>0</v>
      </c>
      <c r="BY7" s="77" t="n">
        <v>0</v>
      </c>
      <c r="BZ7" s="78" t="n">
        <v>0</v>
      </c>
      <c r="CA7" s="60" t="inlineStr">
        <is>
          <t>231010</t>
        </is>
      </c>
      <c r="CB7" s="76" t="inlineStr">
        <is>
          <t>HSICS (Hang Seng Industry Classification System) 2026</t>
        </is>
      </c>
      <c r="CC7" s="140" t="n">
        <v>44698</v>
      </c>
      <c r="CD7" s="171" t="n">
        <v>2.66</v>
      </c>
      <c r="CE7" s="76" t="inlineStr">
        <is>
          <t>Cayman Islands</t>
        </is>
      </c>
      <c r="CF7" s="89" t="inlineStr">
        <is>
          <t>Tongxiang, Zhejiang Province, PRC</t>
        </is>
      </c>
      <c r="CG7" s="91" t="n">
        <v>1000</v>
      </c>
      <c r="CH7" s="60" t="inlineStr">
        <is>
          <t>HKFRSs</t>
        </is>
      </c>
      <c r="CI7" s="141" t="n">
        <v>44562</v>
      </c>
      <c r="CJ7" s="141" t="n">
        <v>44926</v>
      </c>
      <c r="CK7" s="141" t="n">
        <v>44927</v>
      </c>
      <c r="CL7" s="141" t="n">
        <v>45291</v>
      </c>
      <c r="CM7" s="141" t="n">
        <v>45292</v>
      </c>
      <c r="CN7" s="64" t="n">
        <v>421973000</v>
      </c>
      <c r="CO7" s="64" t="n">
        <v>54005000</v>
      </c>
      <c r="CP7" s="64" t="n">
        <v>40430000</v>
      </c>
      <c r="CQ7" s="141" t="n">
        <v>45657</v>
      </c>
      <c r="CR7" s="141" t="n">
        <v>45665</v>
      </c>
      <c r="CS7" s="63" t="n">
        <v>960000000</v>
      </c>
      <c r="CT7" s="64" t="n">
        <v>134903000</v>
      </c>
      <c r="CU7" s="64" t="n">
        <v>3049000</v>
      </c>
      <c r="CV7" s="59" t="inlineStr">
        <is>
          <t>Unqualified opinion</t>
        </is>
      </c>
      <c r="CW7" s="64" t="n">
        <v>53000000</v>
      </c>
      <c r="CX7" s="51" t="inlineStr">
        <is>
          <t>NA</t>
        </is>
      </c>
      <c r="CY7" s="142" t="n">
        <v>0</v>
      </c>
      <c r="CZ7" s="136" t="inlineStr">
        <is>
          <t>NA</t>
        </is>
      </c>
      <c r="DA7" s="143" t="n">
        <v>2.52</v>
      </c>
      <c r="DB7" s="63" t="n">
        <v>2336</v>
      </c>
      <c r="DC7" s="63" t="n">
        <v>60428000</v>
      </c>
      <c r="DD7" s="59" t="inlineStr">
        <is>
          <t>Subscription level 2.52 times</t>
        </is>
      </c>
      <c r="DE7" s="141" t="n">
        <v>45666</v>
      </c>
      <c r="DF7" s="141" t="n">
        <v>45667</v>
      </c>
      <c r="DG7" s="63" t="n">
        <v>240000000</v>
      </c>
      <c r="DH7" s="63" t="n">
        <v>24000000</v>
      </c>
      <c r="DI7" s="63" t="n">
        <v>216000000</v>
      </c>
      <c r="DJ7" s="63" t="n">
        <v>0</v>
      </c>
      <c r="DK7" s="169" t="n">
        <v>0</v>
      </c>
      <c r="DL7" s="59" t="inlineStr">
        <is>
          <t>Claw-back triggered No</t>
        </is>
      </c>
      <c r="DM7" s="144" t="n">
        <v>253410000</v>
      </c>
      <c r="DN7" s="142" t="n">
        <v>0.25</v>
      </c>
      <c r="DO7" s="51" t="n">
        <v>960000000</v>
      </c>
      <c r="DP7" s="142" t="n">
        <v>0.25</v>
      </c>
      <c r="DQ7" s="59" t="inlineStr">
        <is>
          <t>issued share capital of the Company immediately following the completion of the Global Offering (960,000,000 Shares upon Listing); no exclusions</t>
        </is>
      </c>
      <c r="DR7" s="63" t="n">
        <v>960000000</v>
      </c>
      <c r="DS7" s="142" t="n">
        <v>0.03482524</v>
      </c>
      <c r="DT7" s="80" t="n">
        <v>25</v>
      </c>
      <c r="DU7" s="142" t="n">
        <v>0.0459286</v>
      </c>
      <c r="DV7" s="144" t="n">
        <v>45752000000</v>
      </c>
      <c r="DW7" s="145" t="n">
        <v>0.98</v>
      </c>
      <c r="DX7" s="169" t="n">
        <v>-0.228346</v>
      </c>
      <c r="DY7" s="172" t="n">
        <v>-69600000</v>
      </c>
      <c r="DZ7" s="146" t="n">
        <v>0.98</v>
      </c>
      <c r="EA7" s="146" t="n">
        <v>1.23</v>
      </c>
      <c r="EB7" s="146" t="n">
        <v>0.9</v>
      </c>
      <c r="EC7" s="63" t="n">
        <v>8738000</v>
      </c>
      <c r="ED7" s="169" t="n">
        <v>0.036408</v>
      </c>
      <c r="EE7" s="64" t="n">
        <v>9176480</v>
      </c>
      <c r="EF7" s="60" t="inlineStr">
        <is>
          <t>PN18 statutory clawback</t>
        </is>
      </c>
      <c r="EG7" s="59" t="inlineStr">
        <is>
          <t>FINI (from 22/11/2023)</t>
        </is>
      </c>
      <c r="EH7" t="inlineStr">
        <is>
          <t>新吉奥房车有限公司</t>
        </is>
      </c>
      <c r="EI7" s="174" t="inlineStr">
        <is>
          <t>Active</t>
        </is>
      </c>
      <c r="EJ7" s="175" t="n">
        <v>0.93</v>
      </c>
      <c r="EK7" s="176" t="n">
        <v>-0.05102</v>
      </c>
      <c r="EL7" s="176" t="n">
        <v>-0.267717</v>
      </c>
      <c r="EM7" s="176" t="n">
        <v>0.158088</v>
      </c>
      <c r="EN7" s="176" t="n">
        <v>0.250895</v>
      </c>
      <c r="EO7" s="179" t="n">
        <v>0.8194</v>
      </c>
      <c r="EP7" s="179" t="n">
        <v>0.7586000000000001</v>
      </c>
      <c r="EQ7" s="178" t="n">
        <v>6233702.5</v>
      </c>
      <c r="ER7" s="175" t="n">
        <v>1.15</v>
      </c>
      <c r="ES7" s="176" t="n">
        <v>0.173469</v>
      </c>
      <c r="ET7" s="176" t="n">
        <v>-0.094488</v>
      </c>
      <c r="EU7" s="176" t="n">
        <v>0.282353</v>
      </c>
      <c r="EV7" s="176" t="n">
        <v>0.251445</v>
      </c>
      <c r="EW7" s="179" t="n">
        <v>0.9151</v>
      </c>
      <c r="EX7" s="179" t="n">
        <v>0.9377</v>
      </c>
      <c r="EY7" s="178" t="n">
        <v>1358047</v>
      </c>
      <c r="EZ7" s="176" t="n">
        <v>0.147992</v>
      </c>
      <c r="FA7" s="176" t="n"/>
      <c r="FB7" s="179" t="n"/>
      <c r="FC7" s="176" t="n"/>
      <c r="FD7" s="179" t="n"/>
      <c r="FE7" s="174" t="inlineStr">
        <is>
          <t>Standard</t>
        </is>
      </c>
      <c r="FF7" s="181" t="inlineStr">
        <is>
          <t>China International Capital Corporation / Sponsor-OC</t>
        </is>
      </c>
      <c r="FG7" s="185" t="inlineStr">
        <is>
          <t>2025-02-12</t>
        </is>
      </c>
      <c r="FH7" s="183" t="n">
        <v>0</v>
      </c>
      <c r="FI7" s="178" t="n">
        <v>0</v>
      </c>
      <c r="FJ7" s="176" t="n">
        <v>0.15</v>
      </c>
      <c r="FK7" s="185" t="inlineStr">
        <is>
          <t>2025-02-12</t>
        </is>
      </c>
      <c r="FL7" s="178" t="n">
        <v>0</v>
      </c>
      <c r="FM7" s="176" t="n">
        <v>0</v>
      </c>
      <c r="FN7" s="176" t="n">
        <v>0.045455</v>
      </c>
      <c r="FO7" s="176" t="n">
        <v>0.236559</v>
      </c>
      <c r="FP7" s="176" t="n">
        <v>0.123217</v>
      </c>
      <c r="FQ7" s="176" t="n">
        <v>0.459184</v>
      </c>
      <c r="FR7" s="179" t="n">
        <v>1.4063</v>
      </c>
      <c r="FS7" s="176" t="n">
        <v>-0.05102</v>
      </c>
      <c r="FT7" s="179" t="n">
        <v>0.8194</v>
      </c>
      <c r="FU7" s="176" t="n">
        <v>0.22449</v>
      </c>
      <c r="FV7" s="179" t="n">
        <v>1.0766</v>
      </c>
      <c r="FW7" s="179" t="n">
        <v>1.0378</v>
      </c>
      <c r="FX7" s="178" t="n">
        <v>2785456.67</v>
      </c>
      <c r="FY7" s="186" t="n">
        <v>0.04983457142857143</v>
      </c>
      <c r="FZ7" s="183" t="n">
        <v>0</v>
      </c>
      <c r="GA7" s="176" t="n">
        <v>0.06671864597130489</v>
      </c>
      <c r="GB7" s="176" t="n">
        <v>0.482353</v>
      </c>
      <c r="GC7" s="185" t="inlineStr">
        <is>
          <t>2025-07-13</t>
        </is>
      </c>
      <c r="GD7" s="185" t="inlineStr">
        <is>
          <t>2026-01-13</t>
        </is>
      </c>
      <c r="GE7" s="176" t="n"/>
      <c r="GF7" s="176" t="n"/>
      <c r="GG7" s="179" t="n"/>
      <c r="GH7" s="181" t="inlineStr">
        <is>
          <t>CICC</t>
        </is>
      </c>
      <c r="GI7" s="183" t="n">
        <v>2</v>
      </c>
      <c r="GJ7" s="183" t="n">
        <v>0</v>
      </c>
      <c r="GK7" s="176" t="n">
        <v>0.025</v>
      </c>
      <c r="GL7" s="176" t="n">
        <v>0.01</v>
      </c>
      <c r="GM7" s="176" t="n">
        <v>0.035</v>
      </c>
      <c r="GN7" s="183" t="n">
        <v>4</v>
      </c>
      <c r="GO7" s="183" t="n">
        <v>0</v>
      </c>
      <c r="GP7" s="183" t="n">
        <v>0</v>
      </c>
      <c r="GQ7" s="183" t="n">
        <v>6</v>
      </c>
      <c r="GR7" s="183" t="n">
        <v>0</v>
      </c>
      <c r="GS7" s="181" t="inlineStr">
        <is>
          <t>POST_FINI</t>
        </is>
      </c>
      <c r="GT7" s="181" t="inlineStr">
        <is>
          <t>PRE_2025_REFORM</t>
        </is>
      </c>
    </row>
    <row r="8" ht="34" customFormat="1" customHeight="1" s="12">
      <c r="A8" s="43" t="n">
        <v>7</v>
      </c>
      <c r="B8" s="47" t="inlineStr">
        <is>
          <t>2596.HK</t>
        </is>
      </c>
      <c r="C8" s="44" t="inlineStr">
        <is>
          <t>Yibin City Commercial Bank Co., Ltd - H Shares</t>
        </is>
      </c>
      <c r="D8" s="130" t="n">
        <v>45656</v>
      </c>
      <c r="E8" s="48" t="n">
        <v>45670</v>
      </c>
      <c r="F8" s="43" t="inlineStr">
        <is>
          <t>CCB International Capital Limited/
ICBC International Capital Limited</t>
        </is>
      </c>
      <c r="G8" s="43" t="inlineStr">
        <is>
          <t>PricewaterhouseCoopers</t>
        </is>
      </c>
      <c r="H8" s="43" t="n"/>
      <c r="I8" s="131" t="n">
        <v>37653420</v>
      </c>
      <c r="J8" s="148" t="n">
        <v>1745302580</v>
      </c>
      <c r="K8" s="133" t="n">
        <v>2.59</v>
      </c>
      <c r="L8" t="n">
        <v>4588400000</v>
      </c>
      <c r="M8" s="67" t="n">
        <v>688400000</v>
      </c>
      <c r="N8" t="n">
        <v>3900000000</v>
      </c>
      <c r="O8" t="n">
        <v>3900000000</v>
      </c>
      <c r="P8" t="n">
        <v>0</v>
      </c>
      <c r="Q8" t="n">
        <v>688400000</v>
      </c>
      <c r="R8" s="67" t="n">
        <v>619560000</v>
      </c>
      <c r="S8" s="67" t="n">
        <v>68840000</v>
      </c>
      <c r="T8" s="147" t="n">
        <v>2.72</v>
      </c>
      <c r="U8" s="147" t="n">
        <v>2.59</v>
      </c>
      <c r="V8" s="169" t="n">
        <v>-0.024482</v>
      </c>
      <c r="W8" s="169" t="n">
        <v>0.048964</v>
      </c>
      <c r="X8" s="170" t="inlineStr">
        <is>
          <t>At low</t>
        </is>
      </c>
      <c r="Y8" s="26" t="inlineStr">
        <is>
          <t>RMB</t>
        </is>
      </c>
      <c r="Z8" s="137" t="n">
        <v>80413277000</v>
      </c>
      <c r="AA8" s="137" t="n">
        <v>93444044000</v>
      </c>
      <c r="AB8" s="137" t="n">
        <v>100192656000</v>
      </c>
      <c r="AC8" s="137" t="n">
        <v>8667952000</v>
      </c>
      <c r="AD8" s="137" t="n">
        <v>9286500000</v>
      </c>
      <c r="AE8" s="137" t="n">
        <v>9614197000</v>
      </c>
      <c r="AF8" s="137" t="n">
        <v>71745325000</v>
      </c>
      <c r="AG8" s="137" t="n">
        <v>84157544000</v>
      </c>
      <c r="AH8" s="137" t="n">
        <v>90578459000</v>
      </c>
      <c r="AI8" s="137" t="inlineStr">
        <is>
          <t>NaN</t>
        </is>
      </c>
      <c r="AJ8" s="137" t="inlineStr">
        <is>
          <t>NaN</t>
        </is>
      </c>
      <c r="AK8" s="137" t="inlineStr">
        <is>
          <t>NaN</t>
        </is>
      </c>
      <c r="AL8" s="137" t="n">
        <v>477529000</v>
      </c>
      <c r="AM8" s="137" t="n">
        <v>542567000</v>
      </c>
      <c r="AN8" s="137" t="n">
        <v>693964000</v>
      </c>
      <c r="AO8" s="137" t="n">
        <v>432532000</v>
      </c>
      <c r="AP8" s="137" t="n">
        <v>477416000</v>
      </c>
      <c r="AQ8" s="137" t="n">
        <v>523664000</v>
      </c>
      <c r="AR8" s="142" t="n">
        <v>0.015</v>
      </c>
      <c r="AS8" s="142" t="n">
        <v>0.015</v>
      </c>
      <c r="AT8" s="84" t="n">
        <v>0.15</v>
      </c>
      <c r="AU8" s="51" t="inlineStr">
        <is>
          <t>Banking - city commercial bank (corporate banking, retail banking, financial markets)</t>
        </is>
      </c>
      <c r="AV8" s="51" t="inlineStr">
        <is>
          <t>Hong Kong Main Board H-share listing (Listing Rules, PRC issuer, Stock Code 2596)</t>
        </is>
      </c>
      <c r="AW8" s="136" t="n">
        <v>45473</v>
      </c>
      <c r="AX8" s="137" t="n">
        <v>4964236000</v>
      </c>
      <c r="AY8" s="117" t="n">
        <v>7177645000</v>
      </c>
      <c r="AZ8" s="117" t="inlineStr">
        <is>
          <t>NaN</t>
        </is>
      </c>
      <c r="BA8" s="117" t="inlineStr">
        <is>
          <t>NaN</t>
        </is>
      </c>
      <c r="BB8" s="138" t="inlineStr">
        <is>
          <t>NaN</t>
        </is>
      </c>
      <c r="BC8" s="139" t="n">
        <v>0.5</v>
      </c>
      <c r="BD8" s="80" t="n">
        <v>0</v>
      </c>
      <c r="BE8" s="161" t="n">
        <v>0</v>
      </c>
      <c r="BF8" s="161" t="n">
        <v>0</v>
      </c>
      <c r="BG8" s="161" t="n">
        <v>0</v>
      </c>
      <c r="BH8" s="161" t="n">
        <v>1</v>
      </c>
      <c r="BI8" s="161" t="n">
        <v>0</v>
      </c>
      <c r="BJ8" s="162" t="inlineStr">
        <is>
          <t>主要上市前股东：Wuliangye Group(19.99%)、宜宾市财政局(19.987%)、宜宾市翠屏区财政局(19.98%)、宜宾市南溪区财政局(16.94%)；无 VC/PE</t>
        </is>
      </c>
      <c r="BK8" s="163" t="n">
        <v>0</v>
      </c>
      <c r="BL8" s="161" t="n">
        <v>0</v>
      </c>
      <c r="BM8" s="164" t="inlineStr">
        <is>
          <t>NA</t>
        </is>
      </c>
      <c r="BN8" s="165" t="inlineStr">
        <is>
          <t>NaN</t>
        </is>
      </c>
      <c r="BO8" s="51" t="inlineStr">
        <is>
          <t>State-owned (no single controlling shareholder; largest shareholder Wuliangye Group is state-owned, controlled by Yibin SASAC 90% / Sichuan Finance Dept 10% via Yibin Development Holding)</t>
        </is>
      </c>
      <c r="BP8" s="135" t="inlineStr">
        <is>
          <t>NaN</t>
        </is>
      </c>
      <c r="BQ8" s="135" t="inlineStr">
        <is>
          <t>NaN</t>
        </is>
      </c>
      <c r="BR8" s="137" t="inlineStr">
        <is>
          <t>NaN</t>
        </is>
      </c>
      <c r="BS8" s="51" t="inlineStr">
        <is>
          <t>NA</t>
        </is>
      </c>
      <c r="BT8" s="142" t="n">
        <v>0</v>
      </c>
      <c r="BU8" s="60" t="inlineStr">
        <is>
          <t>Main Board</t>
        </is>
      </c>
      <c r="BV8" s="89" t="inlineStr">
        <is>
          <t>H Shares (ordinary shares, RMB1.00 par)</t>
        </is>
      </c>
      <c r="BW8" s="61" t="n">
        <v>0</v>
      </c>
      <c r="BX8" s="77" t="n">
        <v>0</v>
      </c>
      <c r="BY8" s="77" t="n">
        <v>0</v>
      </c>
      <c r="BZ8" s="78" t="n">
        <v>0</v>
      </c>
      <c r="CA8" s="60" t="inlineStr">
        <is>
          <t>501010</t>
        </is>
      </c>
      <c r="CB8" s="76" t="inlineStr">
        <is>
          <t>HSICS (Hang Seng Industry Classification System) 2026</t>
        </is>
      </c>
      <c r="CC8" s="140" t="n">
        <v>39078</v>
      </c>
      <c r="CD8" s="171" t="n">
        <v>18.05</v>
      </c>
      <c r="CE8" s="76" t="inlineStr">
        <is>
          <t>PRC</t>
        </is>
      </c>
      <c r="CF8" s="89" t="inlineStr">
        <is>
          <t>Yibin, Sichuan Province, the PRC</t>
        </is>
      </c>
      <c r="CG8" s="91" t="n"/>
      <c r="CH8" s="60" t="inlineStr">
        <is>
          <t>IFRS Accounting Standards (as issued by the IASB)</t>
        </is>
      </c>
      <c r="CI8" s="141" t="n">
        <v>44562</v>
      </c>
      <c r="CJ8" s="141" t="n">
        <v>44926</v>
      </c>
      <c r="CK8" s="141" t="n">
        <v>44927</v>
      </c>
      <c r="CL8" s="141" t="n">
        <v>45291</v>
      </c>
      <c r="CM8" s="141" t="n">
        <v>45292</v>
      </c>
      <c r="CN8" s="64" t="n"/>
      <c r="CO8" s="64" t="n">
        <v>346982000</v>
      </c>
      <c r="CP8" s="64" t="n">
        <v>261832000</v>
      </c>
      <c r="CQ8" s="141" t="n">
        <v>45656</v>
      </c>
      <c r="CR8" s="141" t="n">
        <v>45665</v>
      </c>
      <c r="CS8" s="63" t="n">
        <v>688400000</v>
      </c>
      <c r="CT8" s="64" t="inlineStr">
        <is>
          <t>NaN</t>
        </is>
      </c>
      <c r="CU8" s="64" t="n">
        <v>14542000</v>
      </c>
      <c r="CV8" s="59" t="inlineStr">
        <is>
          <t>Unaudited (interim)</t>
        </is>
      </c>
      <c r="CW8" s="64" t="n">
        <v>74300000</v>
      </c>
      <c r="CX8" s="51" t="inlineStr">
        <is>
          <t>NA</t>
        </is>
      </c>
      <c r="CY8" s="142" t="n">
        <v>0</v>
      </c>
      <c r="CZ8" s="136" t="inlineStr">
        <is>
          <t>NA</t>
        </is>
      </c>
      <c r="DA8" s="143" t="n">
        <v>0.21</v>
      </c>
      <c r="DB8" s="63" t="n">
        <v>2352</v>
      </c>
      <c r="DC8" s="63" t="n">
        <v>14538000</v>
      </c>
      <c r="DD8" s="59" t="inlineStr">
        <is>
          <t>Subscription level 0.21 times</t>
        </is>
      </c>
      <c r="DE8" s="141" t="n">
        <v>45666</v>
      </c>
      <c r="DF8" s="141" t="n">
        <v>45667</v>
      </c>
      <c r="DG8" s="63" t="n">
        <v>688400000</v>
      </c>
      <c r="DH8" s="63" t="n">
        <v>14538000</v>
      </c>
      <c r="DI8" s="63" t="n">
        <v>673862000</v>
      </c>
      <c r="DJ8" s="63" t="n">
        <v>0</v>
      </c>
      <c r="DK8" s="169" t="n">
        <v>0</v>
      </c>
      <c r="DL8" s="59" t="inlineStr">
        <is>
          <t>Hong Kong Public Offering undersubscribed: 54,302,000 Offer Shares initially under the Hong Kong Public Offering reallocated to the International Offering (claw-forward); final Hong Kong Public Offering adjusted to 14,538,000 Shares</t>
        </is>
      </c>
      <c r="DM8" s="144" t="n">
        <v>1709280000</v>
      </c>
      <c r="DN8" s="142" t="n">
        <v>0.15</v>
      </c>
      <c r="DO8" s="51" t="n">
        <v>4588400000</v>
      </c>
      <c r="DP8" s="142" t="n">
        <v>0.15</v>
      </c>
      <c r="DQ8" s="59" t="inlineStr">
        <is>
          <t>Number of issued Shares upon Listing (assuming the Over-allotment Option is not exercised), i.e. total issued share capital of 4,588,400,000 Shares comprising H Shares and Domestic Unlisted Shares</t>
        </is>
      </c>
      <c r="DR8" s="63" t="n">
        <v>4588400000</v>
      </c>
      <c r="DS8" s="142" t="n">
        <v>0.0248598</v>
      </c>
      <c r="DT8" s="80" t="n">
        <v>22</v>
      </c>
      <c r="DU8" s="142" t="n">
        <v>0.0458435</v>
      </c>
      <c r="DV8" s="144" t="n">
        <v>45746000000</v>
      </c>
      <c r="DW8" s="145" t="n">
        <v>2.514</v>
      </c>
      <c r="DX8" s="169" t="n">
        <v>-0.029344</v>
      </c>
      <c r="DY8" s="172" t="n">
        <v>-52318400</v>
      </c>
      <c r="DZ8" s="146" t="n">
        <v>2.494</v>
      </c>
      <c r="EA8" s="146" t="n">
        <v>2.594</v>
      </c>
      <c r="EB8" s="146" t="n">
        <v>2.494</v>
      </c>
      <c r="EC8" s="63" t="n">
        <v>25689500</v>
      </c>
      <c r="ED8" s="169" t="n">
        <v>0.037318</v>
      </c>
      <c r="EE8" s="64" t="n">
        <v>66431310</v>
      </c>
      <c r="EF8" s="60" t="inlineStr">
        <is>
          <t>PN18 statutory clawback</t>
        </is>
      </c>
      <c r="EG8" s="59" t="inlineStr">
        <is>
          <t>FINI (from 22/11/2023)</t>
        </is>
      </c>
      <c r="EH8" t="inlineStr">
        <is>
          <t>宜宾市商业银行股份有限公司</t>
        </is>
      </c>
      <c r="EI8" s="174" t="inlineStr">
        <is>
          <t>Active</t>
        </is>
      </c>
      <c r="EJ8" s="175" t="n">
        <v>2.504</v>
      </c>
      <c r="EK8" s="176" t="n">
        <v>-0.003978</v>
      </c>
      <c r="EL8" s="176" t="n">
        <v>-0.033205</v>
      </c>
      <c r="EM8" s="176" t="n">
        <v>0.158088</v>
      </c>
      <c r="EN8" s="176" t="n">
        <v>0.250895</v>
      </c>
      <c r="EO8" s="179" t="n">
        <v>0.8601</v>
      </c>
      <c r="EP8" s="179" t="n">
        <v>0.7962</v>
      </c>
      <c r="EQ8" s="178" t="n">
        <v>5230722.5</v>
      </c>
      <c r="ER8" s="175" t="n">
        <v>2.559</v>
      </c>
      <c r="ES8" s="176" t="n">
        <v>0.0179</v>
      </c>
      <c r="ET8" s="176" t="n">
        <v>-0.011969</v>
      </c>
      <c r="EU8" s="176" t="n">
        <v>0.282353</v>
      </c>
      <c r="EV8" s="176" t="n">
        <v>0.251445</v>
      </c>
      <c r="EW8" s="179" t="n">
        <v>0.7938</v>
      </c>
      <c r="EX8" s="179" t="n">
        <v>0.8134</v>
      </c>
      <c r="EY8" s="178" t="n">
        <v>49525.5</v>
      </c>
      <c r="EZ8" s="176" t="n">
        <v>0.000746</v>
      </c>
      <c r="FA8" s="176" t="n"/>
      <c r="FB8" s="179" t="n"/>
      <c r="FC8" s="176" t="n"/>
      <c r="FD8" s="179" t="n"/>
      <c r="FE8" s="174" t="inlineStr">
        <is>
          <t>Standard</t>
        </is>
      </c>
      <c r="FF8" s="181" t="inlineStr">
        <is>
          <t>China International Capital Corporation / Sponsor-OC</t>
        </is>
      </c>
      <c r="FG8" s="185" t="inlineStr">
        <is>
          <t>2025-02-12</t>
        </is>
      </c>
      <c r="FH8" s="183" t="n">
        <v>0</v>
      </c>
      <c r="FI8" s="178" t="n">
        <v>0</v>
      </c>
      <c r="FJ8" s="176" t="n">
        <v>0.15</v>
      </c>
      <c r="FK8" s="185" t="inlineStr">
        <is>
          <t>2025-02-12</t>
        </is>
      </c>
      <c r="FL8" s="178" t="n">
        <v>0</v>
      </c>
      <c r="FM8" s="176" t="n">
        <v>0</v>
      </c>
      <c r="FN8" s="176" t="n">
        <v>0.00401</v>
      </c>
      <c r="FO8" s="176" t="n">
        <v>0.007986999999999999</v>
      </c>
      <c r="FP8" s="176" t="n">
        <v>0.027208</v>
      </c>
      <c r="FQ8" s="176" t="n">
        <v>-0.003978</v>
      </c>
      <c r="FR8" s="179" t="n">
        <v>0.9599</v>
      </c>
      <c r="FS8" s="176" t="n">
        <v>-0.003978</v>
      </c>
      <c r="FT8" s="179" t="n">
        <v>0.8601</v>
      </c>
      <c r="FU8" s="176" t="n">
        <v>0.003978</v>
      </c>
      <c r="FV8" s="179" t="n">
        <v>0.8827</v>
      </c>
      <c r="FW8" s="179" t="n">
        <v>0.8509</v>
      </c>
      <c r="FX8" s="178" t="n">
        <v>1744369.84</v>
      </c>
      <c r="FY8" s="186" t="n">
        <v>0.0624042972972973</v>
      </c>
      <c r="FZ8" s="183" t="n">
        <v>15</v>
      </c>
      <c r="GA8" s="176" t="n">
        <v>0.005174842908012105</v>
      </c>
      <c r="GB8" s="176" t="n">
        <v>0.038551</v>
      </c>
      <c r="GC8" s="185" t="inlineStr">
        <is>
          <t>2025-07-13</t>
        </is>
      </c>
      <c r="GD8" s="185" t="inlineStr">
        <is>
          <t>2026-01-13</t>
        </is>
      </c>
      <c r="GE8" s="176" t="n"/>
      <c r="GF8" s="176" t="n"/>
      <c r="GG8" s="179" t="n"/>
      <c r="GH8" s="181" t="inlineStr">
        <is>
          <t>CICC</t>
        </is>
      </c>
      <c r="GI8" s="183" t="n">
        <v>2</v>
      </c>
      <c r="GJ8" s="183" t="n">
        <v>0</v>
      </c>
      <c r="GK8" s="176" t="n">
        <v>0.025</v>
      </c>
      <c r="GL8" s="176" t="n">
        <v>0.01</v>
      </c>
      <c r="GM8" s="176" t="n">
        <v>0.035</v>
      </c>
      <c r="GN8" s="183" t="n">
        <v>4</v>
      </c>
      <c r="GO8" s="183" t="n">
        <v>0</v>
      </c>
      <c r="GP8" s="183" t="n">
        <v>0</v>
      </c>
      <c r="GQ8" s="183" t="n">
        <v>6</v>
      </c>
      <c r="GR8" s="183" t="n">
        <v>0</v>
      </c>
      <c r="GS8" s="181" t="inlineStr">
        <is>
          <t>POST_FINI</t>
        </is>
      </c>
      <c r="GT8" s="181" t="inlineStr">
        <is>
          <t>PRE_2025_REFORM</t>
        </is>
      </c>
    </row>
    <row r="9" ht="119" customFormat="1" customHeight="1" s="12">
      <c r="A9" s="43" t="n">
        <v>8</v>
      </c>
      <c r="B9" s="47" t="inlineStr">
        <is>
          <t>2571.HK</t>
        </is>
      </c>
      <c r="C9" s="44" t="inlineStr">
        <is>
          <t>Beijing Saimo Technology Co., Ltd. - H shares</t>
        </is>
      </c>
      <c r="D9" s="130" t="n">
        <v>45657</v>
      </c>
      <c r="E9" s="48" t="n">
        <v>45672</v>
      </c>
      <c r="F9" s="43" t="inlineStr">
        <is>
          <t>CEB International Capital Corporation Limited</t>
        </is>
      </c>
      <c r="G9" s="43" t="inlineStr">
        <is>
          <t>PricewaterhouseCoopers</t>
        </is>
      </c>
      <c r="H9" s="43" t="n"/>
      <c r="I9" s="131" t="n">
        <v>43300866</v>
      </c>
      <c r="J9" s="148" t="n">
        <v>389700000</v>
      </c>
      <c r="K9" s="133" t="n">
        <v>12.99</v>
      </c>
      <c r="L9" t="n">
        <v>133333400</v>
      </c>
      <c r="M9" s="67" t="n">
        <v>33333400</v>
      </c>
      <c r="N9" t="n">
        <v>100000000</v>
      </c>
      <c r="O9" t="n">
        <v>100000000</v>
      </c>
      <c r="P9" t="n">
        <v>0</v>
      </c>
      <c r="Q9" t="n">
        <v>33333400</v>
      </c>
      <c r="R9" s="67" t="n">
        <v>30000000</v>
      </c>
      <c r="S9" s="67" t="n">
        <v>3333400</v>
      </c>
      <c r="T9" s="147" t="n">
        <v>18</v>
      </c>
      <c r="U9" s="147" t="n">
        <v>12</v>
      </c>
      <c r="V9" s="169" t="n">
        <v>-0.134</v>
      </c>
      <c r="W9" s="169" t="n">
        <v>0.4</v>
      </c>
      <c r="X9" s="170" t="inlineStr">
        <is>
          <t>Within range</t>
        </is>
      </c>
      <c r="Y9" s="26" t="inlineStr">
        <is>
          <t>RMB</t>
        </is>
      </c>
      <c r="Z9" s="137" t="n">
        <v>544759000</v>
      </c>
      <c r="AA9" s="137" t="n">
        <v>600814000</v>
      </c>
      <c r="AB9" s="137" t="n">
        <v>565129000</v>
      </c>
      <c r="AC9" s="137" t="n">
        <v>446843000</v>
      </c>
      <c r="AD9" s="137" t="n">
        <v>501412000</v>
      </c>
      <c r="AE9" s="137" t="n">
        <v>497417000</v>
      </c>
      <c r="AF9" s="137" t="n">
        <v>97916000</v>
      </c>
      <c r="AG9" s="137" t="n">
        <v>99402000</v>
      </c>
      <c r="AH9" s="137" t="n">
        <v>67712000</v>
      </c>
      <c r="AI9" s="137" t="n">
        <v>145385000</v>
      </c>
      <c r="AJ9" s="137" t="n">
        <v>175703000</v>
      </c>
      <c r="AK9" s="137" t="n">
        <v>111120000</v>
      </c>
      <c r="AL9" s="137" t="n">
        <v>48686000</v>
      </c>
      <c r="AM9" s="137" t="n">
        <v>50755000</v>
      </c>
      <c r="AN9" s="137" t="n">
        <v>-13492000</v>
      </c>
      <c r="AO9" s="137" t="n">
        <v>48686000</v>
      </c>
      <c r="AP9" s="137" t="n">
        <v>53431000</v>
      </c>
      <c r="AQ9" s="137" t="n">
        <v>-9198000</v>
      </c>
      <c r="AR9" s="142" t="n">
        <v>0.03</v>
      </c>
      <c r="AS9" s="142" t="n">
        <v>0.03</v>
      </c>
      <c r="AT9" s="84" t="n">
        <v>0.15</v>
      </c>
      <c r="AU9" s="51" t="inlineStr">
        <is>
          <t>ICV simulation testing technologies; design and R&amp;D of ICV simulation testing products and provision of related testing, validation and evaluation solutions</t>
        </is>
      </c>
      <c r="AV9" s="51" t="inlineStr">
        <is>
          <t>Main Board</t>
        </is>
      </c>
      <c r="AW9" s="136" t="n">
        <v>45473</v>
      </c>
      <c r="AX9" s="137" t="n">
        <v>554000</v>
      </c>
      <c r="AY9" s="117" t="n">
        <v>34090000</v>
      </c>
      <c r="AZ9" s="117" t="n">
        <v>41106000</v>
      </c>
      <c r="BA9" s="117" t="n">
        <v>0</v>
      </c>
      <c r="BB9" s="138" t="n">
        <v>0.761</v>
      </c>
      <c r="BC9" s="139" t="n">
        <v>0.5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inlineStr">
        <is>
          <t>NaN</t>
        </is>
      </c>
      <c r="BJ9" s="162" t="inlineStr">
        <is>
          <t>GQC Zhiyuan, Beijing Shunyi, Hubble, Beijing Cornerstone, CITICS Investment, Jingwei Hengrun, GQC Junhe, Zhongguancun</t>
        </is>
      </c>
      <c r="BK9" s="163" t="n">
        <v>0.234</v>
      </c>
      <c r="BL9" s="161" t="n">
        <v>0</v>
      </c>
      <c r="BM9" s="164" t="inlineStr">
        <is>
          <t>2020 Financing</t>
        </is>
      </c>
      <c r="BN9" s="165" t="n">
        <v>5</v>
      </c>
      <c r="BO9" s="51" t="inlineStr">
        <is>
          <t>Natural person</t>
        </is>
      </c>
      <c r="BP9" s="135" t="n">
        <v>0.341</v>
      </c>
      <c r="BQ9" s="135" t="n">
        <v>0.341</v>
      </c>
      <c r="BR9" s="137" t="n">
        <v>27284000</v>
      </c>
      <c r="BS9" s="51" t="inlineStr">
        <is>
          <t>Commercialisation stage</t>
        </is>
      </c>
      <c r="BT9" s="142" t="n">
        <v>0</v>
      </c>
      <c r="BU9" s="60" t="inlineStr">
        <is>
          <t>Main Board</t>
        </is>
      </c>
      <c r="BV9" s="89" t="inlineStr">
        <is>
          <t>H Shares</t>
        </is>
      </c>
      <c r="BW9" s="61" t="n">
        <v>0</v>
      </c>
      <c r="BX9" s="77" t="n">
        <v>0</v>
      </c>
      <c r="BY9" s="77" t="n">
        <v>0</v>
      </c>
      <c r="BZ9" s="78" t="n">
        <v>0</v>
      </c>
      <c r="CA9" s="60" t="inlineStr">
        <is>
          <t>702030</t>
        </is>
      </c>
      <c r="CB9" s="76" t="inlineStr">
        <is>
          <t>HSICS (Hang Seng Industry Classification System) 2026</t>
        </is>
      </c>
      <c r="CC9" s="140" t="n">
        <v>41663</v>
      </c>
      <c r="CD9" s="171" t="n">
        <v>10.98</v>
      </c>
      <c r="CE9" s="76" t="inlineStr">
        <is>
          <t>PRC</t>
        </is>
      </c>
      <c r="CF9" s="89" t="inlineStr">
        <is>
          <t>Rooms 301, 304, 305, 306, 307 and 308, Zhongguancun International Innovation Building, No. 67 North Fourth Ring West Road, Haidian District, Beijing, the PRC</t>
        </is>
      </c>
      <c r="CG9" s="91" t="n">
        <v>1000</v>
      </c>
      <c r="CH9" s="60" t="inlineStr">
        <is>
          <t>IFRS Accounting Standards</t>
        </is>
      </c>
      <c r="CI9" s="141" t="n">
        <v>44562</v>
      </c>
      <c r="CJ9" s="141" t="n">
        <v>44926</v>
      </c>
      <c r="CK9" s="141" t="n">
        <v>44927</v>
      </c>
      <c r="CL9" s="141" t="n">
        <v>45291</v>
      </c>
      <c r="CM9" s="141" t="n">
        <v>45292</v>
      </c>
      <c r="CN9" s="64" t="n">
        <v>55560000</v>
      </c>
      <c r="CO9" s="64" t="n">
        <v>-6746000</v>
      </c>
      <c r="CP9" s="64" t="n">
        <v>-4599000</v>
      </c>
      <c r="CQ9" s="141" t="n">
        <v>45657</v>
      </c>
      <c r="CR9" s="141" t="n">
        <v>45667</v>
      </c>
      <c r="CS9" s="63" t="n">
        <v>33333400</v>
      </c>
      <c r="CT9" s="64" t="n">
        <v>39064000</v>
      </c>
      <c r="CU9" s="64" t="n">
        <v>12322000</v>
      </c>
      <c r="CV9" s="59" t="inlineStr">
        <is>
          <t>Unqualified</t>
        </is>
      </c>
      <c r="CW9" s="64" t="n">
        <v>72046733</v>
      </c>
      <c r="CX9" s="51" t="inlineStr">
        <is>
          <t>China Mobile International Holdings Limited</t>
        </is>
      </c>
      <c r="CY9" s="142" t="n">
        <v>0.343</v>
      </c>
      <c r="CZ9" s="136" t="n">
        <v>45853</v>
      </c>
      <c r="DA9" s="143" t="n">
        <v>2.66</v>
      </c>
      <c r="DB9" s="63" t="n">
        <v>4565</v>
      </c>
      <c r="DC9" s="63" t="n">
        <v>8855400</v>
      </c>
      <c r="DD9" s="59" t="inlineStr">
        <is>
          <t>No. of valid applications 4,565 No. of successful applications 4,565 Subscription level 2.66 times Claw-back triggered No</t>
        </is>
      </c>
      <c r="DE9" s="141" t="n">
        <v>45670</v>
      </c>
      <c r="DF9" s="141" t="n">
        <v>45671</v>
      </c>
      <c r="DG9" s="63" t="n">
        <v>33333400</v>
      </c>
      <c r="DH9" s="63" t="n">
        <v>3333400</v>
      </c>
      <c r="DI9" s="63" t="n">
        <v>30000000</v>
      </c>
      <c r="DJ9" s="63" t="n">
        <v>0</v>
      </c>
      <c r="DK9" s="169" t="n">
        <v>0</v>
      </c>
      <c r="DL9" s="59" t="inlineStr">
        <is>
          <t>Claw-back triggered No; no reallocation - Final no. of Offer Shares under the International Offer (after reallocation) 30,000,000, unchanged from initial 30,000,000</t>
        </is>
      </c>
      <c r="DM9" s="144" t="n">
        <v>358600000</v>
      </c>
      <c r="DN9" s="142" t="n">
        <v>0.25</v>
      </c>
      <c r="DO9" s="51" t="n">
        <v>133333400</v>
      </c>
      <c r="DP9" s="142" t="n">
        <v>0.16426</v>
      </c>
      <c r="DQ9" s="59" t="inlineStr">
        <is>
          <t>Total issued share capital upon Listing = Number of issued shares upon Listing 133,333,400 Shares (H Shares plus domestic shares), before exercise of the Over-allotment Option (No. of Offer Shares over-allocated: 0)</t>
        </is>
      </c>
      <c r="DR9" s="63" t="n">
        <v>133333400</v>
      </c>
      <c r="DS9" s="142" t="n">
        <v>0.03482524</v>
      </c>
      <c r="DT9" s="80" t="n">
        <v>25</v>
      </c>
      <c r="DU9" s="142" t="n">
        <v>0.0459286</v>
      </c>
      <c r="DV9" s="144" t="n">
        <v>45752000000</v>
      </c>
      <c r="DW9" s="145" t="n">
        <v>13.18</v>
      </c>
      <c r="DX9" s="169" t="n">
        <v>0.014627</v>
      </c>
      <c r="DY9" s="172" t="n">
        <v>6333346</v>
      </c>
      <c r="DZ9" s="146" t="n">
        <v>13.3</v>
      </c>
      <c r="EA9" s="146" t="n">
        <v>14.66</v>
      </c>
      <c r="EB9" s="146" t="n">
        <v>13.02</v>
      </c>
      <c r="EC9" s="63" t="n">
        <v>7720400</v>
      </c>
      <c r="ED9" s="169" t="n">
        <v>0.231612</v>
      </c>
      <c r="EE9" s="64" t="n">
        <v>101952200</v>
      </c>
      <c r="EF9" s="60" t="inlineStr">
        <is>
          <t>PN18 statutory clawback</t>
        </is>
      </c>
      <c r="EG9" s="59" t="inlineStr">
        <is>
          <t>FINI (from 22/11/2023)</t>
        </is>
      </c>
      <c r="EH9" t="inlineStr">
        <is>
          <t>北京赛目科技股份有限公司</t>
        </is>
      </c>
      <c r="EI9" s="174" t="inlineStr">
        <is>
          <t>Active</t>
        </is>
      </c>
      <c r="EJ9" s="175" t="n">
        <v>14.36</v>
      </c>
      <c r="EK9" s="176" t="n">
        <v>0.08953</v>
      </c>
      <c r="EL9" s="176" t="n">
        <v>0.105466</v>
      </c>
      <c r="EM9" s="176" t="n">
        <v>0.172884</v>
      </c>
      <c r="EN9" s="176" t="n">
        <v>0.266381</v>
      </c>
      <c r="EO9" s="179" t="n">
        <v>0.9288999999999999</v>
      </c>
      <c r="EP9" s="179" t="n">
        <v>0.8603</v>
      </c>
      <c r="EQ9" s="178" t="n">
        <v>9903200</v>
      </c>
      <c r="ER9" s="175" t="n">
        <v>12.98</v>
      </c>
      <c r="ES9" s="176" t="n">
        <v>-0.015175</v>
      </c>
      <c r="ET9" s="176" t="n">
        <v>-0.00077</v>
      </c>
      <c r="EU9" s="176" t="n">
        <v>0.27502</v>
      </c>
      <c r="EV9" s="176" t="n">
        <v>0.244627</v>
      </c>
      <c r="EW9" s="179" t="n">
        <v>0.7724</v>
      </c>
      <c r="EX9" s="179" t="n">
        <v>0.7913</v>
      </c>
      <c r="EY9" s="178" t="n">
        <v>2456255</v>
      </c>
      <c r="EZ9" s="176" t="n">
        <v>0.024092</v>
      </c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/ Sponsor-OC</t>
        </is>
      </c>
      <c r="FG9" s="185" t="inlineStr">
        <is>
          <t>2025-02-14</t>
        </is>
      </c>
      <c r="FH9" s="183" t="n">
        <v>0</v>
      </c>
      <c r="FI9" s="178" t="n">
        <v>0</v>
      </c>
      <c r="FJ9" s="176" t="n">
        <v>0.15</v>
      </c>
      <c r="FK9" s="185" t="inlineStr">
        <is>
          <t>2025-02-14</t>
        </is>
      </c>
      <c r="FL9" s="178" t="n">
        <v>0</v>
      </c>
      <c r="FM9" s="176" t="n">
        <v>0</v>
      </c>
      <c r="FN9" s="176" t="n">
        <v>0.046154</v>
      </c>
      <c r="FO9" s="176" t="n">
        <v>-0.052925</v>
      </c>
      <c r="FP9" s="176" t="n">
        <v>0.12842</v>
      </c>
      <c r="FQ9" s="176" t="n">
        <v>-0.013657</v>
      </c>
      <c r="FR9" s="179" t="n">
        <v>0.9461000000000001</v>
      </c>
      <c r="FS9" s="176" t="n">
        <v>0.08953</v>
      </c>
      <c r="FT9" s="179" t="n">
        <v>0.9288999999999999</v>
      </c>
      <c r="FU9" s="176" t="n">
        <v>-0.034901</v>
      </c>
      <c r="FV9" s="179" t="n">
        <v>0.87</v>
      </c>
      <c r="FW9" s="179" t="n">
        <v>0.8617</v>
      </c>
      <c r="FX9" s="178" t="n">
        <v>3779123.81</v>
      </c>
      <c r="FY9" s="186" t="n">
        <v>0.1067426290322581</v>
      </c>
      <c r="FZ9" s="183" t="n">
        <v>2</v>
      </c>
      <c r="GA9" s="176" t="n">
        <v>0.02872533243663907</v>
      </c>
      <c r="GB9" s="176" t="n">
        <v>0.27451</v>
      </c>
      <c r="GC9" s="185" t="inlineStr">
        <is>
          <t>2025-07-15</t>
        </is>
      </c>
      <c r="GD9" s="185" t="inlineStr">
        <is>
          <t>2026-01-15</t>
        </is>
      </c>
      <c r="GE9" s="176" t="n">
        <v>-0.039446</v>
      </c>
      <c r="GF9" s="176" t="n">
        <v>-0.025608</v>
      </c>
      <c r="GG9" s="179" t="n">
        <v>0.2516</v>
      </c>
      <c r="GH9" s="181" t="inlineStr">
        <is>
          <t>CICC</t>
        </is>
      </c>
      <c r="GI9" s="183" t="n">
        <v>2</v>
      </c>
      <c r="GJ9" s="183" t="n">
        <v>0</v>
      </c>
      <c r="GK9" s="176" t="n">
        <v>0.025</v>
      </c>
      <c r="GL9" s="176" t="n">
        <v>0.01</v>
      </c>
      <c r="GM9" s="176" t="n">
        <v>0.035</v>
      </c>
      <c r="GN9" s="183" t="n">
        <v>4</v>
      </c>
      <c r="GO9" s="183" t="n">
        <v>0</v>
      </c>
      <c r="GP9" s="183" t="n">
        <v>0</v>
      </c>
      <c r="GQ9" s="183" t="n">
        <v>6</v>
      </c>
      <c r="GR9" s="183" t="n">
        <v>0</v>
      </c>
      <c r="GS9" s="181" t="inlineStr">
        <is>
          <t>POST_FINI</t>
        </is>
      </c>
      <c r="GT9" s="181" t="inlineStr">
        <is>
          <t>PRE_2025_REFORM</t>
        </is>
      </c>
    </row>
    <row r="10" ht="85" customFormat="1" customHeight="1" s="12">
      <c r="A10" s="43" t="n">
        <v>9</v>
      </c>
      <c r="B10" s="47" t="inlineStr">
        <is>
          <t>1364.HK</t>
        </is>
      </c>
      <c r="C10" s="44" t="inlineStr">
        <is>
          <t>Guming Holdings Limited</t>
        </is>
      </c>
      <c r="D10" s="130" t="n">
        <v>45692</v>
      </c>
      <c r="E10" s="48" t="n">
        <v>45700</v>
      </c>
      <c r="F10" s="43" t="inlineStr">
        <is>
          <t>Goldman Sachs (Asia) L.L.C./
UBS Securities Hong Kong Limited</t>
        </is>
      </c>
      <c r="G10" s="43" t="inlineStr">
        <is>
          <t>Ernst &amp; Young</t>
        </is>
      </c>
      <c r="H10" s="43" t="n"/>
      <c r="I10" s="131" t="n">
        <v>788301640</v>
      </c>
      <c r="J10" s="148" t="n">
        <v>1242169992</v>
      </c>
      <c r="K10" s="133" t="n">
        <v>9.94</v>
      </c>
      <c r="L10" t="n">
        <v>2332525060</v>
      </c>
      <c r="M10" s="67" t="n">
        <v>158612000</v>
      </c>
      <c r="N10" t="n">
        <v>2173913060</v>
      </c>
      <c r="O10" t="n">
        <v>2173913060</v>
      </c>
      <c r="P10" t="n">
        <v>0</v>
      </c>
      <c r="Q10" t="n">
        <v>158612000</v>
      </c>
      <c r="R10" s="67" t="n">
        <v>142750800</v>
      </c>
      <c r="S10" s="67" t="n">
        <v>15861200</v>
      </c>
      <c r="T10" s="147" t="n">
        <v>9.94</v>
      </c>
      <c r="U10" s="147" t="n">
        <v>8.68</v>
      </c>
      <c r="V10" s="169" t="n">
        <v>0.06766900000000001</v>
      </c>
      <c r="W10" s="169" t="n">
        <v>0.135338</v>
      </c>
      <c r="X10" s="170" t="inlineStr">
        <is>
          <t>At high</t>
        </is>
      </c>
      <c r="Y10" s="26" t="inlineStr">
        <is>
          <t>RMB</t>
        </is>
      </c>
      <c r="Z10" s="137" t="n">
        <v>3031676000</v>
      </c>
      <c r="AA10" s="137" t="n">
        <v>5152929000</v>
      </c>
      <c r="AB10" s="137" t="n">
        <v>6350749000</v>
      </c>
      <c r="AC10" s="137" t="n">
        <v>-816594000</v>
      </c>
      <c r="AD10" s="137" t="n">
        <v>615506000</v>
      </c>
      <c r="AE10" s="137" t="n">
        <v>1727640000</v>
      </c>
      <c r="AF10" s="137" t="n">
        <v>3848270000</v>
      </c>
      <c r="AG10" s="137" t="n">
        <v>4537423000</v>
      </c>
      <c r="AH10" s="137" t="n">
        <v>4623109000</v>
      </c>
      <c r="AI10" s="137" t="n">
        <v>5559222000</v>
      </c>
      <c r="AJ10" s="137" t="n">
        <v>7675665000</v>
      </c>
      <c r="AK10" s="137" t="n">
        <v>8588384000</v>
      </c>
      <c r="AL10" s="137" t="n">
        <v>650357000</v>
      </c>
      <c r="AM10" s="137" t="n">
        <v>1445087000</v>
      </c>
      <c r="AN10" s="137" t="n">
        <v>1774349333</v>
      </c>
      <c r="AO10" s="137" t="n">
        <v>372025000</v>
      </c>
      <c r="AP10" s="137" t="n">
        <v>1096354000</v>
      </c>
      <c r="AQ10" s="137" t="n">
        <v>1493024000</v>
      </c>
      <c r="AR10" s="142" t="n">
        <v>0.03</v>
      </c>
      <c r="AS10" s="142" t="n">
        <v>0.03</v>
      </c>
      <c r="AT10" s="84" t="n">
        <v>0.15</v>
      </c>
      <c r="AU10" s="51" t="inlineStr">
        <is>
          <t>Freshly-made beverages</t>
        </is>
      </c>
      <c r="AV10" s="51" t="inlineStr">
        <is>
          <t>Main Board</t>
        </is>
      </c>
      <c r="AW10" s="136" t="n">
        <v>45565</v>
      </c>
      <c r="AX10" s="137" t="n">
        <v>1128514000</v>
      </c>
      <c r="AY10" s="117" t="n">
        <v>1677868000</v>
      </c>
      <c r="AZ10" s="117" t="n">
        <v>165826000</v>
      </c>
      <c r="BA10" s="117" t="n">
        <v>0</v>
      </c>
      <c r="BB10" s="138" t="n">
        <v>0.026</v>
      </c>
      <c r="BC10" s="139" t="n">
        <v>0.75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n">
        <v>0</v>
      </c>
      <c r="BI10" s="161" t="n">
        <v>1</v>
      </c>
      <c r="BJ10" s="162" t="inlineStr">
        <is>
          <t>Long-Z, HongShan, New Budding and Coatue 34</t>
        </is>
      </c>
      <c r="BK10" s="163" t="n">
        <v>0.132</v>
      </c>
      <c r="BL10" s="161" t="n">
        <v>1</v>
      </c>
      <c r="BM10" s="164" t="inlineStr">
        <is>
          <t>Pre-IPO Investments (2020)</t>
        </is>
      </c>
      <c r="BN10" s="165" t="n">
        <v>4.85</v>
      </c>
      <c r="BO10" s="51" t="inlineStr">
        <is>
          <t>自然人</t>
        </is>
      </c>
      <c r="BP10" s="135" t="n">
        <v>0.7409</v>
      </c>
      <c r="BQ10" s="135" t="n">
        <v>0.7409</v>
      </c>
      <c r="BR10" s="137" t="n">
        <v>3348672000</v>
      </c>
      <c r="BS10" s="51" t="inlineStr">
        <is>
          <t>NA</t>
        </is>
      </c>
      <c r="BT10" s="142" t="n">
        <v>0</v>
      </c>
      <c r="BU10" s="60" t="inlineStr">
        <is>
          <t>Main Board</t>
        </is>
      </c>
      <c r="BV10" s="89" t="inlineStr">
        <is>
          <t>Ordinary Shares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251030</t>
        </is>
      </c>
      <c r="CB10" s="76" t="inlineStr">
        <is>
          <t>HSICS (Hang Seng Industry Classification System) 2026</t>
        </is>
      </c>
      <c r="CC10" s="140" t="n">
        <v>44439</v>
      </c>
      <c r="CD10" s="171" t="n">
        <v>3.45</v>
      </c>
      <c r="CE10" s="76" t="inlineStr">
        <is>
          <t>Cayman Islands</t>
        </is>
      </c>
      <c r="CF10" s="89" t="inlineStr">
        <is>
          <t>Hangzhou, Zhejiang Province, China</t>
        </is>
      </c>
      <c r="CG10" s="91" t="n">
        <v>1000</v>
      </c>
      <c r="CH10" s="60" t="inlineStr">
        <is>
          <t>IFRSs</t>
        </is>
      </c>
      <c r="CI10" s="141" t="n">
        <v>44562</v>
      </c>
      <c r="CJ10" s="141" t="n">
        <v>44926</v>
      </c>
      <c r="CK10" s="141" t="n">
        <v>44927</v>
      </c>
      <c r="CL10" s="141" t="n">
        <v>45291</v>
      </c>
      <c r="CM10" s="141" t="n">
        <v>45292</v>
      </c>
      <c r="CN10" s="64" t="n">
        <v>6441288000</v>
      </c>
      <c r="CO10" s="64" t="n">
        <v>1330762000</v>
      </c>
      <c r="CP10" s="64" t="n">
        <v>1119768000</v>
      </c>
      <c r="CQ10" s="141" t="n">
        <v>45692</v>
      </c>
      <c r="CR10" s="141" t="n">
        <v>45695</v>
      </c>
      <c r="CS10" s="63" t="n">
        <v>2332525060</v>
      </c>
      <c r="CT10" s="64" t="n">
        <v>1964382000</v>
      </c>
      <c r="CU10" s="64" t="n">
        <v>332647000</v>
      </c>
      <c r="CV10" s="59" t="inlineStr">
        <is>
          <t>Unqualified opinion</t>
        </is>
      </c>
      <c r="CW10" s="64" t="n">
        <v>121000000</v>
      </c>
      <c r="CX10" s="51" t="inlineStr">
        <is>
          <t>Huang River Investment Limited; GM Charm Yield (BVI) Limited; LVC; Long-Z Fund I, LP; Duckling Fund, L.P.</t>
        </is>
      </c>
      <c r="CY10" s="142" t="n">
        <v>0.3051</v>
      </c>
      <c r="CZ10" s="136" t="n">
        <v>45881</v>
      </c>
      <c r="DA10" s="143" t="n">
        <v>194.87</v>
      </c>
      <c r="DB10" s="63" t="n">
        <v>29086</v>
      </c>
      <c r="DC10" s="63" t="n">
        <v>3090796400</v>
      </c>
      <c r="DD10" s="59" t="inlineStr">
        <is>
          <t>Subscription level 194.87 times</t>
        </is>
      </c>
      <c r="DE10" s="141" t="n">
        <v>45698</v>
      </c>
      <c r="DF10" s="141" t="n">
        <v>45699</v>
      </c>
      <c r="DG10" s="63" t="n">
        <v>182403600</v>
      </c>
      <c r="DH10" s="63" t="n">
        <v>79306000</v>
      </c>
      <c r="DI10" s="63" t="n">
        <v>103097600</v>
      </c>
      <c r="DJ10" s="63" t="n">
        <v>21869200</v>
      </c>
      <c r="DK10" s="169" t="n">
        <v>0.799297</v>
      </c>
      <c r="DL10" s="59" t="inlineStr">
        <is>
          <t>63,444,800 Offer Shares reallocated from the International Offering (claw-back) to the Hong Kong Public Offering</t>
        </is>
      </c>
      <c r="DM10" s="144" t="n">
        <v>1721000000</v>
      </c>
      <c r="DN10" s="142" t="n">
        <v>0.2614</v>
      </c>
      <c r="DO10" s="51" t="n">
        <v>2356316660</v>
      </c>
      <c r="DP10" s="142" t="n">
        <v>0.0538</v>
      </c>
      <c r="DQ10" s="59" t="inlineStr">
        <is>
          <t>Approximate percentage of total issued Shares immediately following completion of the Global Offering (assuming the Over-allotment Option is not exercised)</t>
        </is>
      </c>
      <c r="DR10" s="63" t="n">
        <v>2356316660</v>
      </c>
      <c r="DS10" s="142" t="n">
        <v>0.00784204</v>
      </c>
      <c r="DT10" s="80" t="n">
        <v>24</v>
      </c>
      <c r="DU10" s="142" t="n">
        <v>0.0373589</v>
      </c>
      <c r="DV10" s="144" t="n">
        <v>44614000000</v>
      </c>
      <c r="DW10" s="145" t="n">
        <v>8.119999999999999</v>
      </c>
      <c r="DX10" s="169" t="n">
        <v>-0.183099</v>
      </c>
      <c r="DY10" s="172" t="n">
        <v>-331974552</v>
      </c>
      <c r="DZ10" s="146" t="n">
        <v>8.82</v>
      </c>
      <c r="EA10" s="146" t="n">
        <v>9.220000000000001</v>
      </c>
      <c r="EB10" s="146" t="n">
        <v>7.75</v>
      </c>
      <c r="EC10" s="63" t="n">
        <v>134002435</v>
      </c>
      <c r="ED10" s="169" t="n">
        <v>0.734648</v>
      </c>
      <c r="EE10" s="64" t="n">
        <v>1356758270</v>
      </c>
      <c r="EF10" s="60" t="inlineStr">
        <is>
          <t>PN18 statutory clawback</t>
        </is>
      </c>
      <c r="EG10" s="59" t="inlineStr">
        <is>
          <t>FINI (from 22/11/2023)</t>
        </is>
      </c>
      <c r="EH10" t="inlineStr">
        <is>
          <t>古茗控股有限公司</t>
        </is>
      </c>
      <c r="EI10" s="174" t="inlineStr">
        <is>
          <t>Active</t>
        </is>
      </c>
      <c r="EJ10" s="175" t="n">
        <v>13.86</v>
      </c>
      <c r="EK10" s="176" t="n">
        <v>0.706897</v>
      </c>
      <c r="EL10" s="176" t="n">
        <v>0.394366</v>
      </c>
      <c r="EM10" s="176" t="n">
        <v>0.088033</v>
      </c>
      <c r="EN10" s="176" t="n">
        <v>0.129905</v>
      </c>
      <c r="EO10" s="179" t="n">
        <v>1.5688</v>
      </c>
      <c r="EP10" s="179" t="n">
        <v>1.5107</v>
      </c>
      <c r="EQ10" s="178" t="n">
        <v>153805330</v>
      </c>
      <c r="ER10" s="175" t="n">
        <v>22.1</v>
      </c>
      <c r="ES10" s="176" t="n">
        <v>1.721675</v>
      </c>
      <c r="ET10" s="176" t="n">
        <v>1.22334</v>
      </c>
      <c r="EU10" s="176" t="n">
        <v>0.142363</v>
      </c>
      <c r="EV10" s="176" t="n">
        <v>0.029914</v>
      </c>
      <c r="EW10" s="179" t="n">
        <v>2.3825</v>
      </c>
      <c r="EX10" s="179" t="n">
        <v>2.6426</v>
      </c>
      <c r="EY10" s="178" t="n">
        <v>99713748</v>
      </c>
      <c r="EZ10" s="176" t="n">
        <v>0.073494</v>
      </c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China International Capital Corporation / Sponsor-OC</t>
        </is>
      </c>
      <c r="FG10" s="185" t="inlineStr">
        <is>
          <t>2025-03-14</t>
        </is>
      </c>
      <c r="FH10" s="183" t="n">
        <v>0</v>
      </c>
      <c r="FI10" s="178" t="n">
        <v>0</v>
      </c>
      <c r="FJ10" s="176" t="n">
        <v>0.15</v>
      </c>
      <c r="FK10" s="185" t="inlineStr">
        <is>
          <t>2025-03-14</t>
        </is>
      </c>
      <c r="FL10" s="178" t="n">
        <v>0</v>
      </c>
      <c r="FM10" s="176" t="n">
        <v>0</v>
      </c>
      <c r="FN10" s="176" t="n">
        <v>0.464427</v>
      </c>
      <c r="FO10" s="176" t="n">
        <v>0.063915</v>
      </c>
      <c r="FP10" s="176" t="n">
        <v>0.5310550000000001</v>
      </c>
      <c r="FQ10" s="176" t="n">
        <v>0.051724</v>
      </c>
      <c r="FR10" s="179" t="n">
        <v>1.0005</v>
      </c>
      <c r="FS10" s="176" t="n">
        <v>0.706897</v>
      </c>
      <c r="FT10" s="179" t="n">
        <v>1.5688</v>
      </c>
      <c r="FU10" s="176" t="n">
        <v>1.847291</v>
      </c>
      <c r="FV10" s="179" t="n">
        <v>2.6659</v>
      </c>
      <c r="FW10" s="179" t="n">
        <v>2.8472</v>
      </c>
      <c r="FX10" s="178" t="n">
        <v>104624822.38</v>
      </c>
      <c r="FY10" s="186" t="n">
        <v>0.0004398492063492064</v>
      </c>
      <c r="FZ10" s="183" t="n">
        <v>0</v>
      </c>
      <c r="GA10" s="176" t="n">
        <v>0.05711249501334813</v>
      </c>
      <c r="GB10" s="176" t="n">
        <v>0.255031</v>
      </c>
      <c r="GC10" s="185" t="inlineStr">
        <is>
          <t>2025-08-12</t>
        </is>
      </c>
      <c r="GD10" s="185" t="inlineStr">
        <is>
          <t>2026-02-12</t>
        </is>
      </c>
      <c r="GE10" s="176" t="n">
        <v>-0.078263</v>
      </c>
      <c r="GF10" s="176" t="n">
        <v>-0.28016</v>
      </c>
      <c r="GG10" s="179" t="n">
        <v>1.5403</v>
      </c>
      <c r="GH10" s="181" t="inlineStr">
        <is>
          <t>CICC</t>
        </is>
      </c>
      <c r="GI10" s="183" t="n">
        <v>2</v>
      </c>
      <c r="GJ10" s="183" t="n">
        <v>0</v>
      </c>
      <c r="GK10" s="176" t="n">
        <v>0.025</v>
      </c>
      <c r="GL10" s="176" t="n">
        <v>0.01</v>
      </c>
      <c r="GM10" s="176" t="n">
        <v>0.035</v>
      </c>
      <c r="GN10" s="183" t="n">
        <v>4</v>
      </c>
      <c r="GO10" s="183" t="n">
        <v>0</v>
      </c>
      <c r="GP10" s="183" t="n">
        <v>0</v>
      </c>
      <c r="GQ10" s="183" t="n">
        <v>6</v>
      </c>
      <c r="GR10" s="183" t="n">
        <v>0</v>
      </c>
      <c r="GS10" s="181" t="inlineStr">
        <is>
          <t>POST_FINI</t>
        </is>
      </c>
      <c r="GT10" s="181" t="inlineStr">
        <is>
          <t>PRE_2025_REFORM</t>
        </is>
      </c>
    </row>
    <row r="11" ht="68" customFormat="1" customHeight="1" s="12">
      <c r="A11" s="43" t="n">
        <v>11</v>
      </c>
      <c r="B11" s="47" t="inlineStr">
        <is>
          <t>2097.HK</t>
        </is>
      </c>
      <c r="C11" s="44" t="inlineStr">
        <is>
          <t>MIXUE Group - H shares</t>
        </is>
      </c>
      <c r="D11" s="130" t="n">
        <v>45709</v>
      </c>
      <c r="E11" s="48" t="n">
        <v>45719</v>
      </c>
      <c r="F11" s="43" t="inlineStr">
        <is>
          <t>Merrill Lynch (Asia Pacific) Limited/
Goldman Sachs (Asia) L.L.C./
UBS Securities Hong Kong Limited</t>
        </is>
      </c>
      <c r="G11" s="43" t="inlineStr">
        <is>
          <t>Ernst &amp; Young</t>
        </is>
      </c>
      <c r="H11" s="43" t="n"/>
      <c r="I11" s="131" t="n">
        <v>1727325000</v>
      </c>
      <c r="J11" s="148" t="n">
        <v>2245482000</v>
      </c>
      <c r="K11" s="133" t="n">
        <v>202.5</v>
      </c>
      <c r="L11" t="n">
        <v>377059900</v>
      </c>
      <c r="M11" s="67" t="n">
        <v>17059900</v>
      </c>
      <c r="N11" t="n">
        <v>360000000</v>
      </c>
      <c r="O11" t="n">
        <v>360000000</v>
      </c>
      <c r="P11" t="n">
        <v>0</v>
      </c>
      <c r="Q11" t="n">
        <v>17059900</v>
      </c>
      <c r="R11" s="67" t="n">
        <v>15353900</v>
      </c>
      <c r="S11" s="67" t="n">
        <v>1706000</v>
      </c>
      <c r="T11" s="147" t="n">
        <v>202.5</v>
      </c>
      <c r="U11" s="147" t="n">
        <v>202.5</v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9945356000</v>
      </c>
      <c r="AA11" s="137" t="n">
        <v>14593566000</v>
      </c>
      <c r="AB11" s="137" t="n">
        <v>18620333000</v>
      </c>
      <c r="AC11" s="137" t="n">
        <v>7479267000</v>
      </c>
      <c r="AD11" s="137" t="n">
        <v>10595465000</v>
      </c>
      <c r="AE11" s="137" t="n">
        <v>14096206000</v>
      </c>
      <c r="AF11" s="137" t="n">
        <v>2466089000</v>
      </c>
      <c r="AG11" s="137" t="n">
        <v>3998101000</v>
      </c>
      <c r="AH11" s="137" t="n">
        <v>4524127000</v>
      </c>
      <c r="AI11" s="137" t="n">
        <v>13575577000</v>
      </c>
      <c r="AJ11" s="137" t="n">
        <v>20302465000</v>
      </c>
      <c r="AK11" s="137" t="n">
        <v>24879561333</v>
      </c>
      <c r="AL11" s="137" t="n">
        <v>2658043000</v>
      </c>
      <c r="AM11" s="137" t="n">
        <v>4154002000</v>
      </c>
      <c r="AN11" s="137" t="n">
        <v>6091393333</v>
      </c>
      <c r="AO11" s="137" t="n">
        <v>2013091000</v>
      </c>
      <c r="AP11" s="137" t="n">
        <v>3186605000</v>
      </c>
      <c r="AQ11" s="137" t="n">
        <v>4654629333</v>
      </c>
      <c r="AR11" s="142" t="n">
        <v>0.011</v>
      </c>
      <c r="AS11" s="142" t="n">
        <v>0.011</v>
      </c>
      <c r="AT11" s="84" t="n">
        <v>0.15</v>
      </c>
      <c r="AU11" s="51" t="inlineStr">
        <is>
          <t>Freshly-made drinks company (franchise model)</t>
        </is>
      </c>
      <c r="AV11" s="51" t="inlineStr">
        <is>
          <t>Main Board (H shares)</t>
        </is>
      </c>
      <c r="AW11" s="136" t="n">
        <v>45565</v>
      </c>
      <c r="AX11" s="137" t="n">
        <v>5100754000</v>
      </c>
      <c r="AY11" s="117" t="n">
        <v>5980396000</v>
      </c>
      <c r="AZ11" s="117" t="n">
        <v>64805000</v>
      </c>
      <c r="BA11" s="117" t="n">
        <v>0</v>
      </c>
      <c r="BB11" s="138" t="n">
        <v>0.01</v>
      </c>
      <c r="BC11" s="139" t="n">
        <v>0.75</v>
      </c>
      <c r="BD11" s="80" t="n">
        <v>1</v>
      </c>
      <c r="BE11" s="161" t="n">
        <v>1</v>
      </c>
      <c r="BF11" s="161" t="n">
        <v>1</v>
      </c>
      <c r="BG11" s="161" t="n">
        <v>0</v>
      </c>
      <c r="BH11" s="161" t="n">
        <v>0</v>
      </c>
      <c r="BI11" s="161" t="n">
        <v>1</v>
      </c>
      <c r="BJ11" s="162" t="inlineStr">
        <is>
          <t>Longzhu Meicheng; Shenzhen Yunqi; Tianjin Panxue</t>
        </is>
      </c>
      <c r="BK11" s="163" t="n">
        <v>0.0955</v>
      </c>
      <c r="BL11" s="161" t="n">
        <v>0</v>
      </c>
      <c r="BM11" s="164" t="inlineStr">
        <is>
          <t>Pre-IPO Investment (December 2020)</t>
        </is>
      </c>
      <c r="BN11" s="165" t="n">
        <v>4.2</v>
      </c>
      <c r="BO11" s="51" t="inlineStr">
        <is>
          <t>Individual founders</t>
        </is>
      </c>
      <c r="BP11" s="135" t="n">
        <v>0.4127</v>
      </c>
      <c r="BQ11" s="135" t="n">
        <v>0.4127</v>
      </c>
      <c r="BR11" s="137" t="n">
        <v>92957000</v>
      </c>
      <c r="BS11" s="51" t="inlineStr">
        <is>
          <t>Mass commercialization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251030</t>
        </is>
      </c>
      <c r="CB11" s="76" t="inlineStr">
        <is>
          <t>HSICS (Hang Seng Industry Classification System) 2026</t>
        </is>
      </c>
      <c r="CC11" s="140" t="n">
        <v>39539</v>
      </c>
      <c r="CD11" s="171" t="n">
        <v>16.92</v>
      </c>
      <c r="CE11" s="76" t="inlineStr">
        <is>
          <t>PRC</t>
        </is>
      </c>
      <c r="CF11" s="89" t="inlineStr">
        <is>
          <t>Zhengzhou, Henan Province, the PRC</t>
        </is>
      </c>
      <c r="CG11" s="91" t="n">
        <v>1000</v>
      </c>
      <c r="CH11" s="60" t="inlineStr">
        <is>
          <t>IFRS</t>
        </is>
      </c>
      <c r="CI11" s="141" t="n">
        <v>44562</v>
      </c>
      <c r="CJ11" s="141" t="n">
        <v>44926</v>
      </c>
      <c r="CK11" s="141" t="n">
        <v>44927</v>
      </c>
      <c r="CL11" s="141" t="n">
        <v>45291</v>
      </c>
      <c r="CM11" s="141" t="n">
        <v>45292</v>
      </c>
      <c r="CN11" s="64" t="n">
        <v>18659671000</v>
      </c>
      <c r="CO11" s="64" t="n">
        <v>4568545000</v>
      </c>
      <c r="CP11" s="64" t="n">
        <v>3490972000</v>
      </c>
      <c r="CQ11" s="141" t="n">
        <v>45709</v>
      </c>
      <c r="CR11" s="141" t="n">
        <v>45714</v>
      </c>
      <c r="CS11" s="63" t="n">
        <v>148324158</v>
      </c>
      <c r="CT11" s="64" t="n">
        <v>6040422000</v>
      </c>
      <c r="CU11" s="64" t="n">
        <v>1200444000</v>
      </c>
      <c r="CV11" s="59" t="inlineStr">
        <is>
          <t>Unqualified</t>
        </is>
      </c>
      <c r="CW11" s="64" t="n">
        <v>163700000</v>
      </c>
      <c r="CX11" s="51" t="inlineStr">
        <is>
          <t>M&amp;G Investments; HongShan Growth; Persistence Growth Limited; HHLR Fund, L.P.; Long-Z Fund I, LP</t>
        </is>
      </c>
      <c r="CY11" s="142" t="n">
        <v>0.4509</v>
      </c>
      <c r="CZ11" s="136" t="n">
        <v>45903</v>
      </c>
      <c r="DA11" s="143" t="n">
        <v>5258.21</v>
      </c>
      <c r="DB11" s="63" t="n">
        <v>264992</v>
      </c>
      <c r="DC11" s="63" t="n">
        <v>8970506500</v>
      </c>
      <c r="DD11" s="59" t="inlineStr">
        <is>
          <t>Subscription level 5,258.21 times</t>
        </is>
      </c>
      <c r="DE11" s="141" t="n">
        <v>45709</v>
      </c>
      <c r="DF11" s="141" t="n">
        <v>45716</v>
      </c>
      <c r="DG11" s="63" t="n">
        <v>17059900</v>
      </c>
      <c r="DH11" s="63" t="n">
        <v>8530000</v>
      </c>
      <c r="DI11" s="63" t="n">
        <v>8529900</v>
      </c>
      <c r="DJ11" s="63" t="n">
        <v>2558900</v>
      </c>
      <c r="DK11" s="169" t="n">
        <v>1</v>
      </c>
      <c r="DL11" s="59" t="inlineStr">
        <is>
          <t>As a result of such reallocation, the final number of Offer Shares under the Hong Kong Public Offering is adjusted to 8,530,000 H Shares</t>
        </is>
      </c>
      <c r="DM11" s="144" t="n">
        <v>3291000000</v>
      </c>
      <c r="DN11" s="142" t="n">
        <v>0.1</v>
      </c>
      <c r="DO11" s="51" t="n">
        <v>377059900</v>
      </c>
      <c r="DP11" s="142" t="n">
        <v>0.024843</v>
      </c>
      <c r="DQ11" s="59" t="inlineStr">
        <is>
          <t>Total issued share capital of the Company upon Listing (before exercise of the Over-allotment Option), 377,059,900 Shares (H Shares plus unlisted domestic shares)</t>
        </is>
      </c>
      <c r="DR11" s="63" t="n">
        <v>377059900</v>
      </c>
      <c r="DS11" s="142" t="n">
        <v>0.13305205</v>
      </c>
      <c r="DT11" s="80" t="n">
        <v>22</v>
      </c>
      <c r="DU11" s="142" t="n">
        <v>0.0405833</v>
      </c>
      <c r="DV11" s="144" t="n">
        <v>44631000000</v>
      </c>
      <c r="DW11" s="145" t="n">
        <v>290</v>
      </c>
      <c r="DX11" s="169" t="n">
        <v>0.432099</v>
      </c>
      <c r="DY11" s="172" t="n">
        <v>1492741250</v>
      </c>
      <c r="DZ11" s="146" t="n">
        <v>262</v>
      </c>
      <c r="EA11" s="146" t="n">
        <v>298</v>
      </c>
      <c r="EB11" s="146" t="n">
        <v>256</v>
      </c>
      <c r="EC11" s="63" t="n">
        <v>16058876</v>
      </c>
      <c r="ED11" s="169" t="n">
        <v>0.941323</v>
      </c>
      <c r="EE11" s="64" t="n">
        <v>4333988600</v>
      </c>
      <c r="EF11" s="60" t="inlineStr">
        <is>
          <t>PN18 statutory clawback</t>
        </is>
      </c>
      <c r="EG11" s="59" t="inlineStr">
        <is>
          <t>FINI (from 22/11/2023)</t>
        </is>
      </c>
      <c r="EH11" t="inlineStr">
        <is>
          <t>蜜雪冰城股份有限公司</t>
        </is>
      </c>
      <c r="EI11" s="174" t="inlineStr">
        <is>
          <t>Active</t>
        </is>
      </c>
      <c r="EJ11" s="175" t="n">
        <v>432</v>
      </c>
      <c r="EK11" s="176" t="n">
        <v>0.489655</v>
      </c>
      <c r="EL11" s="176" t="n">
        <v>1.133333</v>
      </c>
      <c r="EM11" s="176" t="n">
        <v>0.01827</v>
      </c>
      <c r="EN11" s="176" t="n">
        <v>-0.005309</v>
      </c>
      <c r="EO11" s="179" t="n">
        <v>1.4629</v>
      </c>
      <c r="EP11" s="179" t="n">
        <v>1.4976</v>
      </c>
      <c r="EQ11" s="178" t="n">
        <v>657746425</v>
      </c>
      <c r="ER11" s="175" t="n">
        <v>409</v>
      </c>
      <c r="ES11" s="176" t="n">
        <v>0.410345</v>
      </c>
      <c r="ET11" s="176" t="n">
        <v>1.019753</v>
      </c>
      <c r="EU11" s="176" t="n">
        <v>0.101588</v>
      </c>
      <c r="EV11" s="176" t="n">
        <v>0.026713</v>
      </c>
      <c r="EW11" s="179" t="n">
        <v>1.2803</v>
      </c>
      <c r="EX11" s="179" t="n">
        <v>1.3737</v>
      </c>
      <c r="EY11" s="178" t="n">
        <v>259519385</v>
      </c>
      <c r="EZ11" s="176" t="n">
        <v>0.05988</v>
      </c>
      <c r="FA11" s="176" t="n"/>
      <c r="FB11" s="179" t="n"/>
      <c r="FC11" s="176" t="n"/>
      <c r="FD11" s="179" t="n"/>
      <c r="FE11" s="174" t="inlineStr">
        <is>
          <t>Standard</t>
        </is>
      </c>
      <c r="FF11" s="181" t="inlineStr">
        <is>
          <t>China International Capital Corporation / Sponsor-OC</t>
        </is>
      </c>
      <c r="FG11" s="185" t="inlineStr">
        <is>
          <t>2025-04-02</t>
        </is>
      </c>
      <c r="FH11" s="183" t="n">
        <v>0</v>
      </c>
      <c r="FI11" s="178" t="n">
        <v>0</v>
      </c>
      <c r="FJ11" s="176" t="n">
        <v>0.15</v>
      </c>
      <c r="FK11" s="185" t="inlineStr">
        <is>
          <t>2025-04-02</t>
        </is>
      </c>
      <c r="FL11" s="178" t="n">
        <v>0</v>
      </c>
      <c r="FM11" s="176" t="n">
        <v>0</v>
      </c>
      <c r="FN11" s="176" t="n">
        <v>0.004386</v>
      </c>
      <c r="FO11" s="176" t="n">
        <v>0.229947</v>
      </c>
      <c r="FP11" s="176" t="n">
        <v>0.340294</v>
      </c>
      <c r="FQ11" s="176" t="n">
        <v>0.224138</v>
      </c>
      <c r="FR11" s="179" t="n">
        <v>1.1623</v>
      </c>
      <c r="FS11" s="176" t="n">
        <v>0.489655</v>
      </c>
      <c r="FT11" s="179" t="n">
        <v>1.4629</v>
      </c>
      <c r="FU11" s="176" t="n">
        <v>1.122414</v>
      </c>
      <c r="FV11" s="179" t="n">
        <v>2.0643</v>
      </c>
      <c r="FW11" s="179" t="n">
        <v>2.2513</v>
      </c>
      <c r="FX11" s="178" t="n">
        <v>353247536.51</v>
      </c>
      <c r="FY11" s="186" t="n">
        <v>0.0001156666666666667</v>
      </c>
      <c r="FZ11" s="183" t="n">
        <v>0</v>
      </c>
      <c r="GA11" s="176" t="n">
        <v>0.05720529718139247</v>
      </c>
      <c r="GB11" s="176" t="n">
        <v>0.34422</v>
      </c>
      <c r="GC11" s="185" t="inlineStr">
        <is>
          <t>2025-09-03</t>
        </is>
      </c>
      <c r="GD11" s="185" t="inlineStr">
        <is>
          <t>2026-03-03</t>
        </is>
      </c>
      <c r="GE11" s="176" t="n">
        <v>-0.152553</v>
      </c>
      <c r="GF11" s="176" t="n">
        <v>-0.30812</v>
      </c>
      <c r="GG11" s="179" t="n">
        <v>0.8169999999999999</v>
      </c>
      <c r="GH11" s="181" t="inlineStr">
        <is>
          <t>CICC</t>
        </is>
      </c>
      <c r="GI11" s="183" t="n">
        <v>2</v>
      </c>
      <c r="GJ11" s="183" t="n">
        <v>0</v>
      </c>
      <c r="GK11" s="176" t="n">
        <v>0.025</v>
      </c>
      <c r="GL11" s="176" t="n">
        <v>0.01</v>
      </c>
      <c r="GM11" s="176" t="n">
        <v>0.035</v>
      </c>
      <c r="GN11" s="183" t="n">
        <v>4</v>
      </c>
      <c r="GO11" s="183" t="n">
        <v>0</v>
      </c>
      <c r="GP11" s="183" t="n">
        <v>0</v>
      </c>
      <c r="GQ11" s="183" t="n">
        <v>6</v>
      </c>
      <c r="GR11" s="183" t="n">
        <v>0</v>
      </c>
      <c r="GS11" s="181" t="inlineStr">
        <is>
          <t>POST_FINI</t>
        </is>
      </c>
      <c r="GT11" s="181" t="inlineStr">
        <is>
          <t>PRE_2025_REFORM</t>
        </is>
      </c>
    </row>
    <row r="12" ht="68" customFormat="1" customHeight="1" s="12">
      <c r="A12" s="43" t="n">
        <v>13</v>
      </c>
      <c r="B12" s="47" t="inlineStr">
        <is>
          <t>6693.HK</t>
        </is>
      </c>
      <c r="C12" s="44" t="inlineStr">
        <is>
          <t>Chifeng Jilong Gold Mining Co., Ltd. - H shares</t>
        </is>
      </c>
      <c r="D12" s="130" t="n">
        <v>45716</v>
      </c>
      <c r="E12" s="48" t="n">
        <v>45726</v>
      </c>
      <c r="F12" s="43" t="inlineStr">
        <is>
          <t>CITIC Securities (Hong Kong) Limited</t>
        </is>
      </c>
      <c r="G12" s="43" t="inlineStr">
        <is>
          <t>Ernst &amp; Young</t>
        </is>
      </c>
      <c r="H12" s="43" t="n"/>
      <c r="I12" s="131" t="n">
        <v>282154544</v>
      </c>
      <c r="J12" s="148" t="n">
        <v>2962622712</v>
      </c>
      <c r="K12" s="133" t="n">
        <v>13.72</v>
      </c>
      <c r="L12" t="n">
        <v>1869563378</v>
      </c>
      <c r="M12" s="67" t="n">
        <v>205652000</v>
      </c>
      <c r="N12" t="n">
        <v>1663911378</v>
      </c>
      <c r="O12" t="n">
        <v>1663911378</v>
      </c>
      <c r="P12" t="n">
        <v>0</v>
      </c>
      <c r="Q12" t="n">
        <v>205652000</v>
      </c>
      <c r="R12" s="67" t="n">
        <v>185086800</v>
      </c>
      <c r="S12" s="67" t="n">
        <v>20565200</v>
      </c>
      <c r="T12" s="147" t="n">
        <v>15.83</v>
      </c>
      <c r="U12" s="147" t="n">
        <v>13.72</v>
      </c>
      <c r="V12" s="169" t="n">
        <v>-0.071404</v>
      </c>
      <c r="W12" s="169" t="n">
        <v>0.142809</v>
      </c>
      <c r="X12" s="170" t="inlineStr">
        <is>
          <t>At low</t>
        </is>
      </c>
      <c r="Y12" s="26" t="inlineStr">
        <is>
          <t>RMB</t>
        </is>
      </c>
      <c r="Z12" s="137" t="n">
        <v>17544294000</v>
      </c>
      <c r="AA12" s="137" t="n">
        <v>18717793000</v>
      </c>
      <c r="AB12" s="137" t="n">
        <v>19895168000</v>
      </c>
      <c r="AC12" s="137" t="n">
        <v>7408303000</v>
      </c>
      <c r="AD12" s="137" t="n">
        <v>8542208000</v>
      </c>
      <c r="AE12" s="137" t="n">
        <v>9799898000</v>
      </c>
      <c r="AF12" s="137" t="n">
        <v>10135991000</v>
      </c>
      <c r="AG12" s="137" t="n">
        <v>10175585000</v>
      </c>
      <c r="AH12" s="137" t="n">
        <v>10095270000</v>
      </c>
      <c r="AI12" s="137" t="n">
        <v>6266787000</v>
      </c>
      <c r="AJ12" s="137" t="n">
        <v>7220952000</v>
      </c>
      <c r="AK12" s="137" t="n">
        <v>8297108000</v>
      </c>
      <c r="AL12" s="137" t="n">
        <v>822012000</v>
      </c>
      <c r="AM12" s="137" t="n">
        <v>1206795000</v>
      </c>
      <c r="AN12" s="137" t="n">
        <v>2464046667</v>
      </c>
      <c r="AO12" s="137" t="n">
        <v>493880000</v>
      </c>
      <c r="AP12" s="137" t="n">
        <v>871585000</v>
      </c>
      <c r="AQ12" s="137" t="n">
        <v>1686358667</v>
      </c>
      <c r="AR12" s="142" t="n">
        <v>0.018</v>
      </c>
      <c r="AS12" s="142" t="n">
        <v>0.018</v>
      </c>
      <c r="AT12" s="84" t="n">
        <v>0.15</v>
      </c>
      <c r="AU12" s="51" t="inlineStr">
        <is>
          <t>Mining, processing and sales of gold</t>
        </is>
      </c>
      <c r="AV12" s="51" t="inlineStr">
        <is>
          <t>Chapter 18 of the Listing Rules (mineral company)</t>
        </is>
      </c>
      <c r="AW12" s="136" t="n">
        <v>45565</v>
      </c>
      <c r="AX12" s="137" t="n">
        <v>2043988000</v>
      </c>
      <c r="AY12" s="117" t="n">
        <v>2094141000</v>
      </c>
      <c r="AZ12" s="117" t="n">
        <v>47893000</v>
      </c>
      <c r="BA12" s="117" t="n">
        <v>2800000</v>
      </c>
      <c r="BB12" s="138" t="n">
        <v>0.788</v>
      </c>
      <c r="BC12" s="139" t="n">
        <v>0.75</v>
      </c>
      <c r="BD12" s="80" t="inlineStr">
        <is>
          <t>NaN</t>
        </is>
      </c>
      <c r="BE12" s="161" t="inlineStr">
        <is>
          <t>NaN</t>
        </is>
      </c>
      <c r="BF12" s="161" t="inlineStr">
        <is>
          <t>NaN</t>
        </is>
      </c>
      <c r="BG12" s="161" t="inlineStr">
        <is>
          <t>NaN</t>
        </is>
      </c>
      <c r="BH12" s="161" t="inlineStr">
        <is>
          <t>NaN</t>
        </is>
      </c>
      <c r="BI12" s="161" t="inlineStr">
        <is>
          <t>NaN</t>
        </is>
      </c>
      <c r="BJ12" s="162" t="inlineStr">
        <is>
          <t>NA</t>
        </is>
      </c>
      <c r="BK12" s="163" t="inlineStr">
        <is>
          <t>NaN</t>
        </is>
      </c>
      <c r="BL12" s="161" t="inlineStr">
        <is>
          <t>NaN</t>
        </is>
      </c>
      <c r="BM12" s="164" t="inlineStr">
        <is>
          <t>NA</t>
        </is>
      </c>
      <c r="BN12" s="165" t="inlineStr">
        <is>
          <t>NaN</t>
        </is>
      </c>
      <c r="BO12" s="51" t="inlineStr">
        <is>
          <t>individual</t>
        </is>
      </c>
      <c r="BP12" s="135" t="n">
        <v>0.1294</v>
      </c>
      <c r="BQ12" s="135" t="n">
        <v>0.1294</v>
      </c>
      <c r="BR12" s="137" t="n">
        <v>2146122000</v>
      </c>
      <c r="BS12" s="51" t="inlineStr">
        <is>
          <t>NA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1</v>
      </c>
      <c r="BX12" s="77" t="n">
        <v>0</v>
      </c>
      <c r="BY12" s="77" t="n">
        <v>0</v>
      </c>
      <c r="BZ12" s="78" t="n">
        <v>0</v>
      </c>
      <c r="CA12" s="60" t="inlineStr">
        <is>
          <t>051010</t>
        </is>
      </c>
      <c r="CB12" s="76" t="inlineStr">
        <is>
          <t>HSICS (Hang Seng Industry Classification System) 2026</t>
        </is>
      </c>
      <c r="CC12" s="140" t="n">
        <v>35968</v>
      </c>
      <c r="CD12" s="171" t="n">
        <v>26.72</v>
      </c>
      <c r="CE12" s="76" t="inlineStr">
        <is>
          <t>PRC</t>
        </is>
      </c>
      <c r="CF12" s="89" t="inlineStr">
        <is>
          <t>Beijing, PRC</t>
        </is>
      </c>
      <c r="CG12" s="91" t="n"/>
      <c r="CH12" s="60" t="inlineStr">
        <is>
          <t>IFRS</t>
        </is>
      </c>
      <c r="CI12" s="141" t="n">
        <v>44562</v>
      </c>
      <c r="CJ12" s="141" t="n">
        <v>44926</v>
      </c>
      <c r="CK12" s="141" t="n">
        <v>44927</v>
      </c>
      <c r="CL12" s="141" t="n">
        <v>45291</v>
      </c>
      <c r="CM12" s="141" t="n">
        <v>45292</v>
      </c>
      <c r="CN12" s="64" t="n">
        <v>6222831000</v>
      </c>
      <c r="CO12" s="64" t="n">
        <v>1848035000</v>
      </c>
      <c r="CP12" s="64" t="n">
        <v>1264769000</v>
      </c>
      <c r="CQ12" s="141" t="n">
        <v>45716</v>
      </c>
      <c r="CR12" s="141" t="n">
        <v>45721</v>
      </c>
      <c r="CS12" s="63" t="n">
        <v>205652000</v>
      </c>
      <c r="CT12" s="64" t="n">
        <v>2622016000</v>
      </c>
      <c r="CU12" s="64" t="n">
        <v>1125413000</v>
      </c>
      <c r="CV12" s="59" t="inlineStr">
        <is>
          <t>NA</t>
        </is>
      </c>
      <c r="CW12" s="64" t="n">
        <v>151700000</v>
      </c>
      <c r="CX12" s="51" t="inlineStr">
        <is>
          <t>Gold Mountains (H.K.) International Mining Company Limited; Sparky International Company Limited</t>
        </is>
      </c>
      <c r="CY12" s="142" t="n">
        <v>0.264</v>
      </c>
      <c r="CZ12" s="136" t="n">
        <v>45910</v>
      </c>
      <c r="DA12" s="143" t="n">
        <v>9.529999999999999</v>
      </c>
      <c r="DB12" s="63" t="n">
        <v>29964</v>
      </c>
      <c r="DC12" s="63" t="n">
        <v>196012200</v>
      </c>
      <c r="DD12" s="59" t="inlineStr">
        <is>
          <t>Subscription level 9.53 times</t>
        </is>
      </c>
      <c r="DE12" s="141" t="n">
        <v>45722</v>
      </c>
      <c r="DF12" s="141" t="n">
        <v>45723</v>
      </c>
      <c r="DG12" s="63" t="n">
        <v>205652000</v>
      </c>
      <c r="DH12" s="63" t="n">
        <v>20565200</v>
      </c>
      <c r="DI12" s="63" t="n">
        <v>185086800</v>
      </c>
      <c r="DJ12" s="63" t="n">
        <v>30847800</v>
      </c>
      <c r="DK12" s="169" t="n">
        <v>1</v>
      </c>
      <c r="DL12" s="59" t="inlineStr">
        <is>
          <t>Claw-back triggered No; No. of Offer Shares reallocated from the International Offering (claw-back) N/A</t>
        </is>
      </c>
      <c r="DM12" s="144" t="n">
        <v>2676300000</v>
      </c>
      <c r="DN12" s="142" t="n">
        <v>0.11</v>
      </c>
      <c r="DO12" s="51" t="n">
        <v>1869563378</v>
      </c>
      <c r="DP12" s="142" t="n">
        <v>0.081</v>
      </c>
      <c r="DQ12" s="59" t="inlineStr">
        <is>
          <t>Total issued share capital upon Listing (before exercise of the Over-allotment Option)</t>
        </is>
      </c>
      <c r="DR12" s="63" t="n">
        <v>1869563378</v>
      </c>
      <c r="DS12" s="142" t="n">
        <v>0.17430236</v>
      </c>
      <c r="DT12" s="80" t="n">
        <v>19</v>
      </c>
      <c r="DU12" s="142" t="n">
        <v>0.0398155</v>
      </c>
      <c r="DV12" s="144" t="n">
        <v>44690000000</v>
      </c>
      <c r="DW12" s="145" t="n">
        <v>13.18</v>
      </c>
      <c r="DX12" s="169" t="n">
        <v>-0.039359</v>
      </c>
      <c r="DY12" s="172" t="n">
        <v>-111052080</v>
      </c>
      <c r="DZ12" s="146" t="n">
        <v>13.18</v>
      </c>
      <c r="EA12" s="146" t="n">
        <v>13.38</v>
      </c>
      <c r="EB12" s="146" t="n">
        <v>13</v>
      </c>
      <c r="EC12" s="63" t="n">
        <v>50199919</v>
      </c>
      <c r="ED12" s="169" t="n">
        <v>0.244101</v>
      </c>
      <c r="EE12" s="64" t="n">
        <v>690919580</v>
      </c>
      <c r="EF12" s="60" t="inlineStr">
        <is>
          <t>PN18 statutory clawback</t>
        </is>
      </c>
      <c r="EG12" s="59" t="inlineStr">
        <is>
          <t>FINI (from 22/11/2023)</t>
        </is>
      </c>
      <c r="EH12" t="inlineStr">
        <is>
          <t>赤峰吉隆黄金矿业股份有限公司</t>
        </is>
      </c>
      <c r="EI12" s="174" t="inlineStr">
        <is>
          <t>Active</t>
        </is>
      </c>
      <c r="EJ12" s="175" t="n">
        <v>15.72</v>
      </c>
      <c r="EK12" s="176" t="n">
        <v>0.192716</v>
      </c>
      <c r="EL12" s="176" t="n">
        <v>0.145773</v>
      </c>
      <c r="EM12" s="176" t="n">
        <v>-0.1663</v>
      </c>
      <c r="EN12" s="176" t="n">
        <v>-0.252142</v>
      </c>
      <c r="EO12" s="179" t="n">
        <v>1.4306</v>
      </c>
      <c r="EP12" s="179" t="n">
        <v>1.5948</v>
      </c>
      <c r="EQ12" s="178" t="n">
        <v>200310892.5</v>
      </c>
      <c r="ER12" s="175" t="n">
        <v>33.014</v>
      </c>
      <c r="ES12" s="176" t="n">
        <v>1.504856</v>
      </c>
      <c r="ET12" s="176" t="n">
        <v>1.406268</v>
      </c>
      <c r="EU12" s="176" t="n">
        <v>0.101615</v>
      </c>
      <c r="EV12" s="176" t="n">
        <v>0.002922</v>
      </c>
      <c r="EW12" s="179" t="n">
        <v>2.2738</v>
      </c>
      <c r="EX12" s="179" t="n">
        <v>2.4976</v>
      </c>
      <c r="EY12" s="178" t="n">
        <v>369387891</v>
      </c>
      <c r="EZ12" s="176" t="n">
        <v>0.534632</v>
      </c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China International Capital Corporation / Sponsor-OC</t>
        </is>
      </c>
      <c r="FG12" s="185" t="inlineStr">
        <is>
          <t>2025-04-09</t>
        </is>
      </c>
      <c r="FH12" s="183" t="n">
        <v>0</v>
      </c>
      <c r="FI12" s="178" t="n">
        <v>0</v>
      </c>
      <c r="FJ12" s="176" t="n">
        <v>0.15</v>
      </c>
      <c r="FK12" s="185" t="inlineStr">
        <is>
          <t>2025-04-09</t>
        </is>
      </c>
      <c r="FL12" s="178" t="n">
        <v>0</v>
      </c>
      <c r="FM12" s="176" t="n">
        <v>0</v>
      </c>
      <c r="FN12" s="176" t="n">
        <v>0.933165</v>
      </c>
      <c r="FO12" s="176" t="n">
        <v>0.48741</v>
      </c>
      <c r="FP12" s="176" t="n">
        <v>6.245376</v>
      </c>
      <c r="FQ12" s="176" t="n">
        <v>0.021244</v>
      </c>
      <c r="FR12" s="179" t="n">
        <v>1.0137</v>
      </c>
      <c r="FS12" s="176" t="n">
        <v>0.192716</v>
      </c>
      <c r="FT12" s="179" t="n">
        <v>1.4306</v>
      </c>
      <c r="FU12" s="176" t="n">
        <v>1.12519</v>
      </c>
      <c r="FV12" s="179" t="n">
        <v>2.0743</v>
      </c>
      <c r="FW12" s="179" t="n">
        <v>2.2945</v>
      </c>
      <c r="FX12" s="178" t="n">
        <v>654989523.49</v>
      </c>
      <c r="FY12" s="186" t="n">
        <v>0.0001023333333333333</v>
      </c>
      <c r="FZ12" s="183" t="n">
        <v>0</v>
      </c>
      <c r="GA12" s="176" t="n">
        <v>0.05448737278381665</v>
      </c>
      <c r="GB12" s="176" t="n">
        <v>0.362988</v>
      </c>
      <c r="GC12" s="185" t="inlineStr">
        <is>
          <t>2025-09-10</t>
        </is>
      </c>
      <c r="GD12" s="185" t="inlineStr">
        <is>
          <t>2026-03-10</t>
        </is>
      </c>
      <c r="GE12" s="176" t="n">
        <v>-0.014769</v>
      </c>
      <c r="GF12" s="176" t="n">
        <v>0.251313</v>
      </c>
      <c r="GG12" s="179" t="n">
        <v>1.1796</v>
      </c>
      <c r="GH12" s="181" t="inlineStr">
        <is>
          <t>CICC</t>
        </is>
      </c>
      <c r="GI12" s="183" t="n">
        <v>2</v>
      </c>
      <c r="GJ12" s="183" t="n">
        <v>0</v>
      </c>
      <c r="GK12" s="176" t="n">
        <v>0.025</v>
      </c>
      <c r="GL12" s="176" t="n">
        <v>0.01</v>
      </c>
      <c r="GM12" s="176" t="n">
        <v>0.035</v>
      </c>
      <c r="GN12" s="183" t="n">
        <v>4</v>
      </c>
      <c r="GO12" s="183" t="n">
        <v>0</v>
      </c>
      <c r="GP12" s="183" t="n">
        <v>0</v>
      </c>
      <c r="GQ12" s="183" t="n">
        <v>6</v>
      </c>
      <c r="GR12" s="183" t="n">
        <v>0</v>
      </c>
      <c r="GS12" s="181" t="inlineStr">
        <is>
          <t>POST_FINI</t>
        </is>
      </c>
      <c r="GT12" s="181" t="inlineStr">
        <is>
          <t>PRE_2025_REFORM</t>
        </is>
      </c>
    </row>
    <row r="13" ht="51" customFormat="1" customHeight="1" s="12">
      <c r="A13" s="43" t="n">
        <v>14</v>
      </c>
      <c r="B13" s="47" t="inlineStr">
        <is>
          <t>2561.HK</t>
        </is>
      </c>
      <c r="C13" s="44" t="inlineStr">
        <is>
          <t>VISEN Pharmaceuticals -B</t>
        </is>
      </c>
      <c r="D13" s="130" t="n">
        <v>45729</v>
      </c>
      <c r="E13" s="48" t="n">
        <v>45737</v>
      </c>
      <c r="F13" s="43" t="inlineStr">
        <is>
          <t>Morgan Stanley Asia Limited/
Jefferies Hong Kong Limited</t>
        </is>
      </c>
      <c r="G13" s="43" t="inlineStr">
        <is>
          <t>Ernst &amp; Young</t>
        </is>
      </c>
      <c r="H13" s="43" t="n"/>
      <c r="I13" s="131" t="n">
        <v>313315200</v>
      </c>
      <c r="J13" s="148" t="n">
        <v>469972800</v>
      </c>
      <c r="K13" s="133" t="n">
        <v>68.8</v>
      </c>
      <c r="L13" t="n">
        <v>112441864</v>
      </c>
      <c r="M13" s="67" t="n">
        <v>9900000</v>
      </c>
      <c r="N13" t="n">
        <v>102541864</v>
      </c>
      <c r="O13" t="n">
        <v>102541864</v>
      </c>
      <c r="P13" t="n">
        <v>0</v>
      </c>
      <c r="Q13" t="n">
        <v>9900000</v>
      </c>
      <c r="R13" s="67" t="n">
        <v>8910000</v>
      </c>
      <c r="S13" s="67" t="n">
        <v>990000</v>
      </c>
      <c r="T13" s="147" t="n">
        <v>75.28</v>
      </c>
      <c r="U13" s="147" t="n">
        <v>68.44</v>
      </c>
      <c r="V13" s="169" t="n">
        <v>-0.042583</v>
      </c>
      <c r="W13" s="169" t="n">
        <v>0.09518500000000001</v>
      </c>
      <c r="X13" s="170" t="inlineStr">
        <is>
          <t>Within range</t>
        </is>
      </c>
      <c r="Y13" s="26" t="inlineStr">
        <is>
          <t>RMB</t>
        </is>
      </c>
      <c r="Z13" s="137" t="n">
        <v>741272000</v>
      </c>
      <c r="AA13" s="137" t="n">
        <v>443796000</v>
      </c>
      <c r="AB13" s="137" t="n">
        <v>338936000</v>
      </c>
      <c r="AC13" s="137" t="n">
        <v>652605000</v>
      </c>
      <c r="AD13" s="137" t="n">
        <v>390875000</v>
      </c>
      <c r="AE13" s="137" t="n">
        <v>289598000</v>
      </c>
      <c r="AF13" s="137" t="n">
        <v>88667000</v>
      </c>
      <c r="AG13" s="137" t="n">
        <v>52921000</v>
      </c>
      <c r="AH13" s="137" t="n">
        <v>49338000</v>
      </c>
      <c r="AI13" s="137" t="inlineStr">
        <is>
          <t>NaN</t>
        </is>
      </c>
      <c r="AJ13" s="137" t="inlineStr">
        <is>
          <t>NaN</t>
        </is>
      </c>
      <c r="AK13" s="137" t="inlineStr">
        <is>
          <t>NaN</t>
        </is>
      </c>
      <c r="AL13" s="137" t="n">
        <v>-288967000</v>
      </c>
      <c r="AM13" s="137" t="n">
        <v>-249570000</v>
      </c>
      <c r="AN13" s="137" t="n">
        <v>-172660000</v>
      </c>
      <c r="AO13" s="137" t="n">
        <v>-288967000</v>
      </c>
      <c r="AP13" s="137" t="n">
        <v>-249570000</v>
      </c>
      <c r="AQ13" s="137" t="n">
        <v>-172660000</v>
      </c>
      <c r="AR13" s="142" t="n">
        <v>0.03</v>
      </c>
      <c r="AS13" s="142" t="n">
        <v>0.03</v>
      </c>
      <c r="AT13" s="84" t="n">
        <v>0.15</v>
      </c>
      <c r="AU13" s="51" t="inlineStr">
        <is>
          <t>Biopharmaceutical (endocrinology therapies)</t>
        </is>
      </c>
      <c r="AV13" s="51" t="inlineStr">
        <is>
          <t>Chapter 18A of the Listing Rules</t>
        </is>
      </c>
      <c r="AW13" s="136" t="n">
        <v>45565</v>
      </c>
      <c r="AX13" s="137" t="n">
        <v>-102406000</v>
      </c>
      <c r="AY13" s="117" t="n">
        <v>242647000</v>
      </c>
      <c r="AZ13" s="117" t="n">
        <v>58907000</v>
      </c>
      <c r="BA13" s="117" t="n">
        <v>0</v>
      </c>
      <c r="BB13" s="138" t="inlineStr">
        <is>
          <t>NaN</t>
        </is>
      </c>
      <c r="BC13" s="139" t="n">
        <v>0.75</v>
      </c>
      <c r="BD13" s="80" t="n">
        <v>1</v>
      </c>
      <c r="BE13" s="161" t="n">
        <v>1</v>
      </c>
      <c r="BF13" s="161" t="n">
        <v>1</v>
      </c>
      <c r="BG13" s="161" t="n">
        <v>0</v>
      </c>
      <c r="BH13" s="161" t="n">
        <v>1</v>
      </c>
      <c r="BI13" s="161" t="n">
        <v>1</v>
      </c>
      <c r="BJ13" s="162" t="inlineStr">
        <is>
          <t>Ascendis Pharma; Vivo Capital; Sofinnova; HongShan Growth; OrbiMed; Sherpa Healthcare Partners; Cormorant; HBM Healthcare Investments; Pivotal bioVenture Partners China; Logos Capital; CRF Investment</t>
        </is>
      </c>
      <c r="BK13" s="163" t="n">
        <v>0.512</v>
      </c>
      <c r="BL13" s="161" t="n">
        <v>1</v>
      </c>
      <c r="BM13" s="164" t="inlineStr">
        <is>
          <t>Series A</t>
        </is>
      </c>
      <c r="BN13" s="165" t="n">
        <v>6.35</v>
      </c>
      <c r="BO13" s="51" t="inlineStr">
        <is>
          <t>外资</t>
        </is>
      </c>
      <c r="BP13" s="135" t="n">
        <v>0.6872</v>
      </c>
      <c r="BQ13" s="135" t="n">
        <v>0.6872</v>
      </c>
      <c r="BR13" s="137" t="n">
        <v>2988000</v>
      </c>
      <c r="BS13" s="51" t="inlineStr">
        <is>
          <t>Late-stage, near-commercialization (no product approved)</t>
        </is>
      </c>
      <c r="BT13" s="142" t="n">
        <v>0</v>
      </c>
      <c r="BU13" s="60" t="inlineStr">
        <is>
          <t>Main Board</t>
        </is>
      </c>
      <c r="BV13" s="89" t="inlineStr">
        <is>
          <t>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43405</v>
      </c>
      <c r="CD13" s="171" t="n">
        <v>6.38</v>
      </c>
      <c r="CE13" s="76" t="inlineStr">
        <is>
          <t>Cayman Islands</t>
        </is>
      </c>
      <c r="CF13" s="89" t="inlineStr">
        <is>
          <t>Suzhou, PRC</t>
        </is>
      </c>
      <c r="CG13" s="91" t="n"/>
      <c r="CH13" s="60" t="inlineStr">
        <is>
          <t>IFRS Accounting Standards</t>
        </is>
      </c>
      <c r="CI13" s="141" t="n">
        <v>44562</v>
      </c>
      <c r="CJ13" s="141" t="n">
        <v>44926</v>
      </c>
      <c r="CK13" s="141" t="n">
        <v>44927</v>
      </c>
      <c r="CL13" s="141" t="n">
        <v>45291</v>
      </c>
      <c r="CM13" s="141" t="n">
        <v>45292</v>
      </c>
      <c r="CN13" s="64" t="n"/>
      <c r="CO13" s="64" t="n">
        <v>-129495000</v>
      </c>
      <c r="CP13" s="64" t="n">
        <v>-129495000</v>
      </c>
      <c r="CQ13" s="141" t="n">
        <v>45729</v>
      </c>
      <c r="CR13" s="141" t="n">
        <v>45734</v>
      </c>
      <c r="CS13" s="63" t="n">
        <v>112441864</v>
      </c>
      <c r="CT13" s="64" t="inlineStr">
        <is>
          <t>NaN</t>
        </is>
      </c>
      <c r="CU13" s="64" t="n">
        <v>117000</v>
      </c>
      <c r="CV13" s="59" t="inlineStr">
        <is>
          <t>Unaudited</t>
        </is>
      </c>
      <c r="CW13" s="64" t="n">
        <v>108100000</v>
      </c>
      <c r="CX13" s="51" t="inlineStr">
        <is>
          <t>AnkeBio (HongKong) Co., Limited; Suzhou Harvest International Co., Limited; Vivo Capital; WuXi Biologics HealthCare Venture; Reynold Lemkins Group (Asia) Limited</t>
        </is>
      </c>
      <c r="CY13" s="142" t="n">
        <v>0.65</v>
      </c>
      <c r="CZ13" s="136" t="n">
        <v>45921</v>
      </c>
      <c r="DA13" s="143" t="n">
        <v>72.64</v>
      </c>
      <c r="DB13" s="63" t="n">
        <v>22345</v>
      </c>
      <c r="DC13" s="63" t="n">
        <v>71908900</v>
      </c>
      <c r="DD13" s="59" t="inlineStr">
        <is>
          <t>Subscription level 72.64 times (over-subscribed 50 times or more but less than 100 times)</t>
        </is>
      </c>
      <c r="DE13" s="141" t="n">
        <v>45735</v>
      </c>
      <c r="DF13" s="141" t="n">
        <v>45736</v>
      </c>
      <c r="DG13" s="63" t="n">
        <v>11385000</v>
      </c>
      <c r="DH13" s="63" t="n">
        <v>4554000</v>
      </c>
      <c r="DI13" s="63" t="n">
        <v>6831000</v>
      </c>
      <c r="DJ13" s="63" t="n">
        <v>0</v>
      </c>
      <c r="DK13" s="169" t="n">
        <v>0</v>
      </c>
      <c r="DL13" s="59" t="inlineStr">
        <is>
          <t>As the Hong Kong Public Offering has been over-subscribed 50 times or more but less than 100 times, 2,970,000 Offer Shares were reallocated from the International Offering (clawback) to the Hong Kong Public Offering</t>
        </is>
      </c>
      <c r="DM13" s="144" t="n">
        <v>672300000</v>
      </c>
      <c r="DN13" s="142" t="n">
        <v>0.2688</v>
      </c>
      <c r="DO13" s="51" t="n">
        <v>113926864</v>
      </c>
      <c r="DP13" s="142" t="n">
        <v>0.034958</v>
      </c>
      <c r="DQ13" s="59" t="inlineStr">
        <is>
          <t>Total issued share capital of the Company upon Listing, taking into account the full exercise of the Offer Size Adjustment Option and without taking into account the Over-allotment Option (before any exercise of the Over-allotment Option)</t>
        </is>
      </c>
      <c r="DR13" s="63" t="n">
        <v>113926864</v>
      </c>
      <c r="DS13" s="142" t="n">
        <v>0.0797144</v>
      </c>
      <c r="DT13" s="80" t="n">
        <v>18</v>
      </c>
      <c r="DU13" s="142" t="n">
        <v>0.0383792</v>
      </c>
      <c r="DV13" s="144" t="n">
        <v>44720000000</v>
      </c>
      <c r="DW13" s="145" t="n">
        <v>68.8</v>
      </c>
      <c r="DX13" s="169" t="n">
        <v>0</v>
      </c>
      <c r="DY13" s="172" t="n">
        <v>0</v>
      </c>
      <c r="DZ13" s="146" t="n">
        <v>68.8</v>
      </c>
      <c r="EA13" s="146" t="n">
        <v>69.15000000000001</v>
      </c>
      <c r="EB13" s="146" t="n">
        <v>64.8</v>
      </c>
      <c r="EC13" s="63" t="n">
        <v>3408600</v>
      </c>
      <c r="ED13" s="169" t="n">
        <v>0.299394</v>
      </c>
      <c r="EE13" s="64" t="n">
        <v>228142200</v>
      </c>
      <c r="EF13" s="60" t="inlineStr">
        <is>
          <t>PN18 statutory clawback</t>
        </is>
      </c>
      <c r="EG13" s="59" t="inlineStr">
        <is>
          <t>FINI (from 22/11/2023)</t>
        </is>
      </c>
      <c r="EH13" t="inlineStr">
        <is>
          <t>维升药业</t>
        </is>
      </c>
      <c r="EI13" s="174" t="inlineStr">
        <is>
          <t>Active</t>
        </is>
      </c>
      <c r="EJ13" s="175" t="n">
        <v>44.3</v>
      </c>
      <c r="EK13" s="176" t="n">
        <v>-0.356105</v>
      </c>
      <c r="EL13" s="176" t="n">
        <v>-0.356105</v>
      </c>
      <c r="EM13" s="176" t="n">
        <v>-0.08980299999999999</v>
      </c>
      <c r="EN13" s="176" t="n">
        <v>-0.131278</v>
      </c>
      <c r="EO13" s="179" t="n">
        <v>0.7074</v>
      </c>
      <c r="EP13" s="179" t="n">
        <v>0.7412</v>
      </c>
      <c r="EQ13" s="178" t="n">
        <v>23191970</v>
      </c>
      <c r="ER13" s="175" t="n">
        <v>43.42</v>
      </c>
      <c r="ES13" s="176" t="n">
        <v>-0.368895</v>
      </c>
      <c r="ET13" s="176" t="n">
        <v>-0.368895</v>
      </c>
      <c r="EU13" s="176" t="n">
        <v>0.112049</v>
      </c>
      <c r="EV13" s="176" t="n">
        <v>0.109645</v>
      </c>
      <c r="EW13" s="179" t="n">
        <v>0.5675</v>
      </c>
      <c r="EX13" s="179" t="n">
        <v>0.5687</v>
      </c>
      <c r="EY13" s="178" t="n">
        <v>823740</v>
      </c>
      <c r="EZ13" s="176" t="n">
        <v>0.003611</v>
      </c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inlineStr">
        <is>
          <t>China International Capital Corporation / Sponsor-OC</t>
        </is>
      </c>
      <c r="FG13" s="185" t="inlineStr">
        <is>
          <t>2025-04-20</t>
        </is>
      </c>
      <c r="FH13" s="183" t="n">
        <v>0</v>
      </c>
      <c r="FI13" s="178" t="n">
        <v>0</v>
      </c>
      <c r="FJ13" s="176" t="n">
        <v>0.15</v>
      </c>
      <c r="FK13" s="185" t="inlineStr">
        <is>
          <t>2025-04-20</t>
        </is>
      </c>
      <c r="FL13" s="178" t="n">
        <v>0</v>
      </c>
      <c r="FM13" s="176" t="n">
        <v>0</v>
      </c>
      <c r="FN13" s="176" t="n">
        <v>0.043891</v>
      </c>
      <c r="FO13" s="176" t="n">
        <v>0.062077</v>
      </c>
      <c r="FP13" s="176" t="n">
        <v>0.113688</v>
      </c>
      <c r="FQ13" s="176" t="n">
        <v>-0.204215</v>
      </c>
      <c r="FR13" s="179" t="n">
        <v>0.7995</v>
      </c>
      <c r="FS13" s="176" t="n">
        <v>-0.356105</v>
      </c>
      <c r="FT13" s="179" t="n">
        <v>0.7074</v>
      </c>
      <c r="FU13" s="176" t="n">
        <v>-0.301599</v>
      </c>
      <c r="FV13" s="179" t="n">
        <v>0.6843</v>
      </c>
      <c r="FW13" s="179" t="n">
        <v>0.7433999999999999</v>
      </c>
      <c r="FX13" s="178" t="n">
        <v>9349130.16</v>
      </c>
      <c r="FY13" s="186" t="n">
        <v>0.01162571428571428</v>
      </c>
      <c r="FZ13" s="183" t="n">
        <v>0</v>
      </c>
      <c r="GA13" s="176" t="n">
        <v>0.03466662953572004</v>
      </c>
      <c r="GB13" s="176" t="n">
        <v>0.409978</v>
      </c>
      <c r="GC13" s="185" t="inlineStr">
        <is>
          <t>2025-09-21</t>
        </is>
      </c>
      <c r="GD13" s="185" t="inlineStr">
        <is>
          <t>2026-03-21</t>
        </is>
      </c>
      <c r="GE13" s="176" t="n">
        <v>-0.06288199999999999</v>
      </c>
      <c r="GF13" s="176" t="n">
        <v>-0.121003</v>
      </c>
      <c r="GG13" s="179" t="n">
        <v>1.9885</v>
      </c>
      <c r="GH13" s="181" t="inlineStr">
        <is>
          <t>CICC</t>
        </is>
      </c>
      <c r="GI13" s="183" t="n">
        <v>2</v>
      </c>
      <c r="GJ13" s="183" t="n">
        <v>0</v>
      </c>
      <c r="GK13" s="176" t="n">
        <v>0.025</v>
      </c>
      <c r="GL13" s="176" t="n">
        <v>0.01</v>
      </c>
      <c r="GM13" s="176" t="n">
        <v>0.035</v>
      </c>
      <c r="GN13" s="183" t="n">
        <v>4</v>
      </c>
      <c r="GO13" s="183" t="n">
        <v>0</v>
      </c>
      <c r="GP13" s="183" t="n">
        <v>0</v>
      </c>
      <c r="GQ13" s="183" t="n">
        <v>6</v>
      </c>
      <c r="GR13" s="183" t="n">
        <v>0</v>
      </c>
      <c r="GS13" s="181" t="inlineStr">
        <is>
          <t>POST_FINI</t>
        </is>
      </c>
      <c r="GT13" s="181" t="inlineStr">
        <is>
          <t>PRE_2025_REFORM</t>
        </is>
      </c>
    </row>
    <row r="14" ht="68" customFormat="1" customHeight="1" s="12">
      <c r="A14" s="43" t="n">
        <v>15</v>
      </c>
      <c r="B14" s="47" t="inlineStr">
        <is>
          <t>2610.HK</t>
        </is>
      </c>
      <c r="C14" s="44" t="inlineStr">
        <is>
          <t>Nanshan Aluminium International Holdings Limited</t>
        </is>
      </c>
      <c r="D14" s="130" t="n">
        <v>45733</v>
      </c>
      <c r="E14" s="48" t="n">
        <v>45741</v>
      </c>
      <c r="F14" s="43" t="inlineStr">
        <is>
          <t>Huatai Financial Holdings (Hong Kong) Limited</t>
        </is>
      </c>
      <c r="G14" s="43" t="inlineStr">
        <is>
          <t>KPMG</t>
        </is>
      </c>
      <c r="H14" s="43" t="inlineStr">
        <is>
          <t>Jones Lang LaSalle Corporate Appraisal and Advisory Limited</t>
        </is>
      </c>
      <c r="I14" s="131" t="n">
        <v>234707760</v>
      </c>
      <c r="J14" s="148" t="n">
        <v>2144268560</v>
      </c>
      <c r="K14" s="133" t="n">
        <v>26.6</v>
      </c>
      <c r="L14" t="n">
        <v>588235300</v>
      </c>
      <c r="M14" s="67" t="n">
        <v>88235300</v>
      </c>
      <c r="N14" t="n">
        <v>500000000</v>
      </c>
      <c r="O14" t="n">
        <v>500000000</v>
      </c>
      <c r="P14" t="n">
        <v>0</v>
      </c>
      <c r="Q14" t="n">
        <v>88235300</v>
      </c>
      <c r="R14" s="67" t="n">
        <v>79411700</v>
      </c>
      <c r="S14" s="67" t="n">
        <v>8823600</v>
      </c>
      <c r="T14" s="147" t="n">
        <v>31.5</v>
      </c>
      <c r="U14" s="147" t="n">
        <v>26.6</v>
      </c>
      <c r="V14" s="169" t="n">
        <v>-0.084337</v>
      </c>
      <c r="W14" s="169" t="n">
        <v>0.168675</v>
      </c>
      <c r="X14" s="170" t="inlineStr">
        <is>
          <t>At low</t>
        </is>
      </c>
      <c r="Y14" s="26" t="inlineStr">
        <is>
          <t>USD</t>
        </is>
      </c>
      <c r="Z14" s="137" t="n">
        <v>1282117000</v>
      </c>
      <c r="AA14" s="137" t="n">
        <v>1437962000</v>
      </c>
      <c r="AB14" s="137" t="n">
        <v>1689536000</v>
      </c>
      <c r="AC14" s="137" t="n">
        <v>995509000</v>
      </c>
      <c r="AD14" s="137" t="n">
        <v>1269640000</v>
      </c>
      <c r="AE14" s="137" t="n">
        <v>1212002000</v>
      </c>
      <c r="AF14" s="137" t="n">
        <v>286608000</v>
      </c>
      <c r="AG14" s="137" t="n">
        <v>168322000</v>
      </c>
      <c r="AH14" s="137" t="n">
        <v>477534000</v>
      </c>
      <c r="AI14" s="137" t="n">
        <v>466777000</v>
      </c>
      <c r="AJ14" s="137" t="n">
        <v>677785000</v>
      </c>
      <c r="AK14" s="137" t="n">
        <v>910717333</v>
      </c>
      <c r="AL14" s="137" t="n">
        <v>103132000</v>
      </c>
      <c r="AM14" s="137" t="n">
        <v>187089000</v>
      </c>
      <c r="AN14" s="137" t="n">
        <v>393400000</v>
      </c>
      <c r="AO14" s="137" t="n">
        <v>96092000</v>
      </c>
      <c r="AP14" s="137" t="n">
        <v>173525000</v>
      </c>
      <c r="AQ14" s="137" t="n">
        <v>355101333</v>
      </c>
      <c r="AR14" s="142" t="n">
        <v>0.018</v>
      </c>
      <c r="AS14" s="142" t="n">
        <v>0.018</v>
      </c>
      <c r="AT14" s="84" t="n">
        <v>0.15</v>
      </c>
      <c r="AU14" s="51" t="inlineStr">
        <is>
          <t>Alumina manufacturer</t>
        </is>
      </c>
      <c r="AV14" s="51" t="inlineStr">
        <is>
          <t>Main Board</t>
        </is>
      </c>
      <c r="AW14" s="136" t="n">
        <v>45565</v>
      </c>
      <c r="AX14" s="137" t="n">
        <v>422248000</v>
      </c>
      <c r="AY14" s="117" t="n">
        <v>439201000</v>
      </c>
      <c r="AZ14" s="117" t="inlineStr">
        <is>
          <t>NaN</t>
        </is>
      </c>
      <c r="BA14" s="117" t="inlineStr">
        <is>
          <t>NaN</t>
        </is>
      </c>
      <c r="BB14" s="138" t="n">
        <v>1</v>
      </c>
      <c r="BC14" s="139" t="n">
        <v>0.75</v>
      </c>
      <c r="BD14" s="80" t="n">
        <v>0</v>
      </c>
      <c r="BE14" s="161" t="n">
        <v>0</v>
      </c>
      <c r="BF14" s="161" t="n">
        <v>0</v>
      </c>
      <c r="BG14" s="161" t="n">
        <v>0</v>
      </c>
      <c r="BH14" s="161" t="n">
        <v>0</v>
      </c>
      <c r="BI14" s="161" t="n">
        <v>0</v>
      </c>
      <c r="BJ14" s="162" t="inlineStr">
        <is>
          <t>Press Metal (via Press Metal SPV); Redstone</t>
        </is>
      </c>
      <c r="BK14" s="163" t="n">
        <v>0</v>
      </c>
      <c r="BL14" s="161" t="n">
        <v>1</v>
      </c>
      <c r="BM14" s="164" t="inlineStr">
        <is>
          <t>NA</t>
        </is>
      </c>
      <c r="BN14" s="165" t="inlineStr">
        <is>
          <t>NaN</t>
        </is>
      </c>
      <c r="BO14" s="51" t="inlineStr">
        <is>
          <t>Listed company (A-share controlling shareholder)</t>
        </is>
      </c>
      <c r="BP14" s="135" t="n">
        <v>0.6009</v>
      </c>
      <c r="BQ14" s="135" t="n">
        <v>0.6009</v>
      </c>
      <c r="BR14" s="137" t="n">
        <v>7907000</v>
      </c>
      <c r="BS14" s="51" t="inlineStr">
        <is>
          <t>NA</t>
        </is>
      </c>
      <c r="BT14" s="142" t="n">
        <v>0</v>
      </c>
      <c r="BU14" s="60" t="inlineStr">
        <is>
          <t>Main Board</t>
        </is>
      </c>
      <c r="BV14" s="89" t="inlineStr">
        <is>
          <t>Ordinary Shares</t>
        </is>
      </c>
      <c r="BW14" s="61" t="n">
        <v>0</v>
      </c>
      <c r="BX14" s="77" t="n">
        <v>0</v>
      </c>
      <c r="BY14" s="77" t="n">
        <v>0</v>
      </c>
      <c r="BZ14" s="78" t="n">
        <v>0</v>
      </c>
      <c r="CA14" s="60" t="inlineStr">
        <is>
          <t>052030</t>
        </is>
      </c>
      <c r="CB14" s="76" t="inlineStr">
        <is>
          <t>HSICS (Hang Seng Industry Classification System) 2026</t>
        </is>
      </c>
      <c r="CC14" s="140" t="n">
        <v>45105</v>
      </c>
      <c r="CD14" s="171" t="n">
        <v>1.74</v>
      </c>
      <c r="CE14" s="76" t="inlineStr">
        <is>
          <t>Cayman Islands</t>
        </is>
      </c>
      <c r="CF14" s="89" t="inlineStr">
        <is>
          <t>Indonesia</t>
        </is>
      </c>
      <c r="CG14" s="91" t="n">
        <v>1000</v>
      </c>
      <c r="CH14" s="60" t="inlineStr">
        <is>
          <t>HKFRS</t>
        </is>
      </c>
      <c r="CI14" s="141" t="n">
        <v>44562</v>
      </c>
      <c r="CJ14" s="141" t="n">
        <v>44926</v>
      </c>
      <c r="CK14" s="141" t="n">
        <v>44927</v>
      </c>
      <c r="CL14" s="141" t="n">
        <v>45291</v>
      </c>
      <c r="CM14" s="141" t="n">
        <v>45292</v>
      </c>
      <c r="CN14" s="64" t="n">
        <v>683038000</v>
      </c>
      <c r="CO14" s="64" t="n">
        <v>295050000</v>
      </c>
      <c r="CP14" s="64" t="n">
        <v>266326000</v>
      </c>
      <c r="CQ14" s="141" t="n">
        <v>45733</v>
      </c>
      <c r="CR14" s="141" t="n">
        <v>45736</v>
      </c>
      <c r="CS14" s="63" t="n">
        <v>588235300</v>
      </c>
      <c r="CT14" s="64" t="n">
        <v>316058000</v>
      </c>
      <c r="CU14" s="64" t="n">
        <v>150932000</v>
      </c>
      <c r="CV14" s="59" t="inlineStr">
        <is>
          <t>Unqualified</t>
        </is>
      </c>
      <c r="CW14" s="64" t="n">
        <v>132800000</v>
      </c>
      <c r="CX14" s="51" t="inlineStr">
        <is>
          <t>Glencore International AG; Hongkong Topway Trading Co., Limited; Reijong International Industrial Equipment (HK) Limited; PT Indika Energy Tbk.</t>
        </is>
      </c>
      <c r="CY14" s="142" t="n">
        <v>0.3982</v>
      </c>
      <c r="CZ14" s="136" t="n">
        <v>45925</v>
      </c>
      <c r="DA14" s="143" t="n">
        <v>3.89</v>
      </c>
      <c r="DB14" s="63" t="n">
        <v>12791</v>
      </c>
      <c r="DC14" s="63" t="n">
        <v>34327300</v>
      </c>
      <c r="DD14" s="59" t="inlineStr">
        <is>
          <t>Subscription level 3.89 times (Hong Kong Public Offering); International Placing Subscription Level 1.67 times; Claw-back triggered: No</t>
        </is>
      </c>
      <c r="DE14" s="141" t="n">
        <v>45740</v>
      </c>
      <c r="DF14" s="141" t="n">
        <v>45740</v>
      </c>
      <c r="DG14" s="63" t="n">
        <v>88235300</v>
      </c>
      <c r="DH14" s="63" t="n">
        <v>8823600</v>
      </c>
      <c r="DI14" s="63" t="n">
        <v>79411700</v>
      </c>
      <c r="DJ14" s="63" t="n">
        <v>1199900</v>
      </c>
      <c r="DK14" s="169" t="n">
        <v>0.090659</v>
      </c>
      <c r="DL14" s="59" t="inlineStr">
        <is>
          <t>Claw-back triggered: No; no reallocation between the Hong Kong Public Offering and the International Placing. Over-allocation of 13,235,200 shares may be covered by exercising the Over-allotment Option, secondary market purchases or deferred delivery</t>
        </is>
      </c>
      <c r="DM14" s="144" t="n">
        <v>2220800000</v>
      </c>
      <c r="DN14" s="142" t="n">
        <v>0.15</v>
      </c>
      <c r="DO14" s="51" t="n">
        <v>588235300</v>
      </c>
      <c r="DP14" s="142" t="n">
        <v>0.09030000000000001</v>
      </c>
      <c r="DQ14" s="59" t="inlineStr">
        <is>
          <t>Denominator: total issued Shares upon Listing 588,235,300 (before exercise of the Over-allotment Option); free float excludes 35,136,300 Cornerstone Investor shares subject to six-month lock-up (all 500,000,000 pre-IPO shares held by existing Shareholders are also locked up)</t>
        </is>
      </c>
      <c r="DR14" s="63" t="n">
        <v>588235300</v>
      </c>
      <c r="DS14" s="142" t="n">
        <v>0.05922332</v>
      </c>
      <c r="DT14" s="80" t="n">
        <v>18</v>
      </c>
      <c r="DU14" s="142" t="n">
        <v>0.0375143</v>
      </c>
      <c r="DV14" s="144" t="n">
        <v>44720000000</v>
      </c>
      <c r="DW14" s="145" t="n">
        <v>24.03</v>
      </c>
      <c r="DX14" s="169" t="n">
        <v>-0.09661699999999999</v>
      </c>
      <c r="DY14" s="172" t="n">
        <v>-226764721</v>
      </c>
      <c r="DZ14" s="146" t="n">
        <v>25.38</v>
      </c>
      <c r="EA14" s="146" t="n">
        <v>25.68</v>
      </c>
      <c r="EB14" s="146" t="n">
        <v>24.03</v>
      </c>
      <c r="EC14" s="63" t="n">
        <v>12882800</v>
      </c>
      <c r="ED14" s="169" t="n">
        <v>0.146005</v>
      </c>
      <c r="EE14" s="64" t="n">
        <v>340663520</v>
      </c>
      <c r="EF14" s="60" t="inlineStr">
        <is>
          <t>PN18 statutory clawback</t>
        </is>
      </c>
      <c r="EG14" s="59" t="inlineStr">
        <is>
          <t>FINI (from 22/11/2023)</t>
        </is>
      </c>
      <c r="EH14" t="inlineStr">
        <is>
          <t>南山铝业国际控股有限公司</t>
        </is>
      </c>
      <c r="EI14" s="174" t="inlineStr">
        <is>
          <t>Active</t>
        </is>
      </c>
      <c r="EJ14" s="175" t="n">
        <v>23.48</v>
      </c>
      <c r="EK14" s="176" t="n">
        <v>-0.022888</v>
      </c>
      <c r="EL14" s="176" t="n">
        <v>-0.117293</v>
      </c>
      <c r="EM14" s="176" t="n">
        <v>-0.061449</v>
      </c>
      <c r="EN14" s="176" t="n">
        <v>-0.098165</v>
      </c>
      <c r="EO14" s="179" t="n">
        <v>1.0411</v>
      </c>
      <c r="EP14" s="179" t="n">
        <v>1.0835</v>
      </c>
      <c r="EQ14" s="178" t="n">
        <v>33655423.5</v>
      </c>
      <c r="ER14" s="175" t="n">
        <v>39.15</v>
      </c>
      <c r="ES14" s="176" t="n">
        <v>0.629213</v>
      </c>
      <c r="ET14" s="176" t="n">
        <v>0.471805</v>
      </c>
      <c r="EU14" s="176" t="n">
        <v>0.134527</v>
      </c>
      <c r="EV14" s="176" t="n">
        <v>0.15617</v>
      </c>
      <c r="EW14" s="179" t="n">
        <v>1.436</v>
      </c>
      <c r="EX14" s="179" t="n">
        <v>1.4091</v>
      </c>
      <c r="EY14" s="178" t="n">
        <v>39598579.5</v>
      </c>
      <c r="EZ14" s="176" t="n">
        <v>0.11624</v>
      </c>
      <c r="FA14" s="176" t="n"/>
      <c r="FB14" s="179" t="n"/>
      <c r="FC14" s="176" t="n"/>
      <c r="FD14" s="179" t="n"/>
      <c r="FE14" s="174" t="inlineStr">
        <is>
          <t>Standard</t>
        </is>
      </c>
      <c r="FF14" s="181" t="inlineStr">
        <is>
          <t>China International Capital Corporation / Sponsor-OC</t>
        </is>
      </c>
      <c r="FG14" s="185" t="inlineStr">
        <is>
          <t>2025-04-24</t>
        </is>
      </c>
      <c r="FH14" s="183" t="n">
        <v>0</v>
      </c>
      <c r="FI14" s="178" t="n">
        <v>0</v>
      </c>
      <c r="FJ14" s="176" t="n">
        <v>0.15</v>
      </c>
      <c r="FK14" s="185" t="inlineStr">
        <is>
          <t>2025-04-24</t>
        </is>
      </c>
      <c r="FL14" s="178" t="n">
        <v>0</v>
      </c>
      <c r="FM14" s="176" t="n">
        <v>0</v>
      </c>
      <c r="FN14" s="176" t="n">
        <v>-0.075457</v>
      </c>
      <c r="FO14" s="176" t="n">
        <v>0.083049</v>
      </c>
      <c r="FP14" s="176" t="n">
        <v>0.400279</v>
      </c>
      <c r="FQ14" s="176" t="n">
        <v>-0.002081</v>
      </c>
      <c r="FR14" s="179" t="n">
        <v>1.0076</v>
      </c>
      <c r="FS14" s="176" t="n">
        <v>-0.022888</v>
      </c>
      <c r="FT14" s="179" t="n">
        <v>1.0411</v>
      </c>
      <c r="FU14" s="176" t="n">
        <v>0.19767</v>
      </c>
      <c r="FV14" s="179" t="n">
        <v>1.1494</v>
      </c>
      <c r="FW14" s="179" t="n">
        <v>1.2363</v>
      </c>
      <c r="FX14" s="178" t="n">
        <v>18825770.95</v>
      </c>
      <c r="FY14" s="186" t="n">
        <v>0.002321230158730158</v>
      </c>
      <c r="FZ14" s="183" t="n">
        <v>0</v>
      </c>
      <c r="GA14" s="176" t="n">
        <v>0.04339423110212137</v>
      </c>
      <c r="GB14" s="176" t="n">
        <v>0.236585</v>
      </c>
      <c r="GC14" s="185" t="inlineStr">
        <is>
          <t>2025-09-25</t>
        </is>
      </c>
      <c r="GD14" s="185" t="inlineStr">
        <is>
          <t>2026-03-25</t>
        </is>
      </c>
      <c r="GE14" s="176" t="n">
        <v>-0.018956</v>
      </c>
      <c r="GF14" s="176" t="n">
        <v>-0.07740900000000001</v>
      </c>
      <c r="GG14" s="179" t="n">
        <v>1.1032</v>
      </c>
      <c r="GH14" s="181" t="inlineStr">
        <is>
          <t>CICC</t>
        </is>
      </c>
      <c r="GI14" s="183" t="n">
        <v>2</v>
      </c>
      <c r="GJ14" s="183" t="n">
        <v>0</v>
      </c>
      <c r="GK14" s="176" t="n">
        <v>0.025</v>
      </c>
      <c r="GL14" s="176" t="n">
        <v>0.01</v>
      </c>
      <c r="GM14" s="176" t="n">
        <v>0.035</v>
      </c>
      <c r="GN14" s="183" t="n">
        <v>4</v>
      </c>
      <c r="GO14" s="183" t="n">
        <v>0</v>
      </c>
      <c r="GP14" s="183" t="n">
        <v>0</v>
      </c>
      <c r="GQ14" s="183" t="n">
        <v>6</v>
      </c>
      <c r="GR14" s="183" t="n">
        <v>0</v>
      </c>
      <c r="GS14" s="181" t="inlineStr">
        <is>
          <t>POST_FINI</t>
        </is>
      </c>
      <c r="GT14" s="181" t="inlineStr">
        <is>
          <t>PRE_2025_REFORM</t>
        </is>
      </c>
    </row>
    <row r="15" ht="34" customFormat="1" customHeight="1" s="12">
      <c r="A15" s="43" t="n">
        <v>16</v>
      </c>
      <c r="B15" s="47" t="inlineStr">
        <is>
          <t>2569.HK</t>
        </is>
      </c>
      <c r="C15" s="44" t="inlineStr">
        <is>
          <t>Soft International Group Ltd</t>
        </is>
      </c>
      <c r="D15" s="130" t="n">
        <v>45735</v>
      </c>
      <c r="E15" s="48" t="n">
        <v>45743</v>
      </c>
      <c r="F15" s="43" t="inlineStr">
        <is>
          <t>Sunny Fortune Capital Limited</t>
        </is>
      </c>
      <c r="G15" s="43" t="inlineStr">
        <is>
          <t>Forvis Mazars CPA Limited</t>
        </is>
      </c>
      <c r="H15" s="43" t="inlineStr">
        <is>
          <t>BonVision International Appraisals Limited</t>
        </is>
      </c>
      <c r="I15" s="131" t="n">
        <v>63750000</v>
      </c>
      <c r="J15" s="148" t="n">
        <v>63750000</v>
      </c>
      <c r="K15" s="133" t="n">
        <v>0.51</v>
      </c>
      <c r="L15" t="n">
        <v>1000000000</v>
      </c>
      <c r="M15" s="67" t="n">
        <v>250000000</v>
      </c>
      <c r="N15" t="n">
        <v>750000000</v>
      </c>
      <c r="O15" t="n">
        <v>750000000</v>
      </c>
      <c r="P15" t="n">
        <v>0</v>
      </c>
      <c r="Q15" t="n">
        <v>250000000</v>
      </c>
      <c r="R15" s="67" t="n">
        <v>225000000</v>
      </c>
      <c r="S15" s="67" t="n">
        <v>25000000</v>
      </c>
      <c r="T15" s="147" t="n">
        <v>0.6</v>
      </c>
      <c r="U15" s="147" t="n">
        <v>0.5</v>
      </c>
      <c r="V15" s="169" t="n">
        <v>-0.072727</v>
      </c>
      <c r="W15" s="169" t="n">
        <v>0.181818</v>
      </c>
      <c r="X15" s="170" t="inlineStr">
        <is>
          <t>Within range</t>
        </is>
      </c>
      <c r="Y15" s="26" t="inlineStr">
        <is>
          <t>RMB</t>
        </is>
      </c>
      <c r="Z15" s="137" t="n">
        <v>523892000</v>
      </c>
      <c r="AA15" s="137" t="n">
        <v>519438000</v>
      </c>
      <c r="AB15" s="137" t="n">
        <v>526891000</v>
      </c>
      <c r="AC15" s="137" t="n">
        <v>25051000</v>
      </c>
      <c r="AD15" s="137" t="n">
        <v>82991000</v>
      </c>
      <c r="AE15" s="137" t="n">
        <v>330337000</v>
      </c>
      <c r="AF15" s="137" t="n">
        <v>498841000</v>
      </c>
      <c r="AG15" s="137" t="n">
        <v>436447000</v>
      </c>
      <c r="AH15" s="137" t="n">
        <v>196554000</v>
      </c>
      <c r="AI15" s="137" t="n">
        <v>408066000</v>
      </c>
      <c r="AJ15" s="137" t="n">
        <v>654560000</v>
      </c>
      <c r="AK15" s="137" t="n">
        <v>693729333</v>
      </c>
      <c r="AL15" s="137" t="n">
        <v>50904000</v>
      </c>
      <c r="AM15" s="137" t="n">
        <v>66612000</v>
      </c>
      <c r="AN15" s="137" t="n">
        <v>67980000</v>
      </c>
      <c r="AO15" s="137" t="n">
        <v>41859000</v>
      </c>
      <c r="AP15" s="137" t="n">
        <v>57689000</v>
      </c>
      <c r="AQ15" s="137" t="n">
        <v>53949333</v>
      </c>
      <c r="AR15" s="142" t="n">
        <v>0.06</v>
      </c>
      <c r="AS15" s="142" t="n">
        <v>0.06</v>
      </c>
      <c r="AT15" s="84" t="n">
        <v>0.15</v>
      </c>
      <c r="AU15" s="51" t="inlineStr">
        <is>
          <t>Development, manufacture and sale of personal hygienic disposables</t>
        </is>
      </c>
      <c r="AV15" s="51" t="inlineStr">
        <is>
          <t>Main Board</t>
        </is>
      </c>
      <c r="AW15" s="136" t="n">
        <v>45565</v>
      </c>
      <c r="AX15" s="137" t="n">
        <v>26216000</v>
      </c>
      <c r="AY15" s="117" t="n">
        <v>22867000</v>
      </c>
      <c r="AZ15" s="117" t="n">
        <v>14899000</v>
      </c>
      <c r="BA15" s="117" t="n">
        <v>0</v>
      </c>
      <c r="BB15" s="138" t="n">
        <v>0.48</v>
      </c>
      <c r="BC15" s="139" t="n">
        <v>0.75</v>
      </c>
      <c r="BD15" s="80" t="n">
        <v>0</v>
      </c>
      <c r="BE15" s="161" t="n">
        <v>0</v>
      </c>
      <c r="BF15" s="161" t="n">
        <v>0</v>
      </c>
      <c r="BG15" s="161" t="n">
        <v>0</v>
      </c>
      <c r="BH15" s="161" t="n">
        <v>0</v>
      </c>
      <c r="BI15" s="161" t="n">
        <v>0</v>
      </c>
      <c r="BJ15" s="162" t="inlineStr">
        <is>
          <t>NA</t>
        </is>
      </c>
      <c r="BK15" s="163" t="inlineStr">
        <is>
          <t>NaN</t>
        </is>
      </c>
      <c r="BL15" s="161" t="n">
        <v>0</v>
      </c>
      <c r="BM15" s="164" t="inlineStr">
        <is>
          <t>NA</t>
        </is>
      </c>
      <c r="BN15" s="165" t="inlineStr">
        <is>
          <t>NaN</t>
        </is>
      </c>
      <c r="BO15" s="51" t="inlineStr">
        <is>
          <t>自然人</t>
        </is>
      </c>
      <c r="BP15" s="135" t="n">
        <v>0.675</v>
      </c>
      <c r="BQ15" s="135" t="n">
        <v>0.675</v>
      </c>
      <c r="BR15" s="137" t="n">
        <v>41907000</v>
      </c>
      <c r="BS15" s="51" t="inlineStr">
        <is>
          <t>NA</t>
        </is>
      </c>
      <c r="BT15" s="142" t="n">
        <v>0</v>
      </c>
      <c r="BU15" s="60" t="inlineStr">
        <is>
          <t>Main Board</t>
        </is>
      </c>
      <c r="BV15" s="89" t="inlineStr">
        <is>
          <t>Ordinary shares</t>
        </is>
      </c>
      <c r="BW15" s="61" t="n">
        <v>0</v>
      </c>
      <c r="BX15" s="77" t="n">
        <v>0</v>
      </c>
      <c r="BY15" s="77" t="n">
        <v>0</v>
      </c>
      <c r="BZ15" s="78" t="n">
        <v>0</v>
      </c>
      <c r="CA15" s="60" t="inlineStr">
        <is>
          <t>253020</t>
        </is>
      </c>
      <c r="CB15" s="76" t="inlineStr">
        <is>
          <t>HSICS (Hang Seng Industry Classification System) 2026</t>
        </is>
      </c>
      <c r="CC15" s="140" t="n">
        <v>45252</v>
      </c>
      <c r="CD15" s="171" t="n">
        <v>1.34</v>
      </c>
      <c r="CE15" s="76" t="inlineStr">
        <is>
          <t>Cayman Islands</t>
        </is>
      </c>
      <c r="CF15" s="89" t="inlineStr">
        <is>
          <t>Quanzhou Jinjiang, Fujian Province, China</t>
        </is>
      </c>
      <c r="CG15" s="91" t="n">
        <v>1000</v>
      </c>
      <c r="CH15" s="60" t="inlineStr">
        <is>
          <t>IFRS Accounting Standards</t>
        </is>
      </c>
      <c r="CI15" s="141" t="n">
        <v>44562</v>
      </c>
      <c r="CJ15" s="141" t="n">
        <v>44926</v>
      </c>
      <c r="CK15" s="141" t="n">
        <v>44927</v>
      </c>
      <c r="CL15" s="141" t="n">
        <v>45291</v>
      </c>
      <c r="CM15" s="141" t="n">
        <v>45292</v>
      </c>
      <c r="CN15" s="64" t="n">
        <v>520297000</v>
      </c>
      <c r="CO15" s="64" t="n">
        <v>50985000</v>
      </c>
      <c r="CP15" s="64" t="n">
        <v>40462000</v>
      </c>
      <c r="CQ15" s="141" t="n">
        <v>45735</v>
      </c>
      <c r="CR15" s="141" t="n">
        <v>45740</v>
      </c>
      <c r="CS15" s="63" t="n">
        <v>1000000000</v>
      </c>
      <c r="CT15" s="64" t="n">
        <v>162064000</v>
      </c>
      <c r="CU15" s="64" t="n">
        <v>19556000</v>
      </c>
      <c r="CV15" s="59" t="inlineStr">
        <is>
          <t>Unqualified</t>
        </is>
      </c>
      <c r="CW15" s="64" t="n">
        <v>41500000</v>
      </c>
      <c r="CX15" s="51" t="inlineStr">
        <is>
          <t>NA</t>
        </is>
      </c>
      <c r="CY15" s="142" t="n">
        <v>0</v>
      </c>
      <c r="CZ15" s="136" t="inlineStr">
        <is>
          <t>NA</t>
        </is>
      </c>
      <c r="DA15" s="143" t="n">
        <v>167.09</v>
      </c>
      <c r="DB15" s="63" t="n">
        <v>19843</v>
      </c>
      <c r="DC15" s="63" t="n">
        <v>4177170000</v>
      </c>
      <c r="DD15" s="59" t="inlineStr">
        <is>
          <t>Subscription level 167.09 times</t>
        </is>
      </c>
      <c r="DE15" s="141" t="n">
        <v>45741</v>
      </c>
      <c r="DF15" s="141" t="n">
        <v>45742</v>
      </c>
      <c r="DG15" s="63" t="n">
        <v>250000000</v>
      </c>
      <c r="DH15" s="63" t="n">
        <v>125000000</v>
      </c>
      <c r="DI15" s="63" t="n">
        <v>125000000</v>
      </c>
      <c r="DJ15" s="63" t="n">
        <v>0</v>
      </c>
      <c r="DK15" s="169" t="n">
        <v>0</v>
      </c>
      <c r="DL15" s="59" t="inlineStr">
        <is>
          <t>100,000,000 Offer Shares reallocated from the International Offering to the Hong Kong Public Offering (clawback); final Hong Kong Public Offering 125,000,000 shares (50% of Global Offering)</t>
        </is>
      </c>
      <c r="DM15" s="144" t="n">
        <v>86000000</v>
      </c>
      <c r="DN15" s="142" t="n">
        <v>0.25</v>
      </c>
      <c r="DO15" s="51" t="n">
        <v>1000000000</v>
      </c>
      <c r="DP15" s="142" t="n">
        <v>0.25</v>
      </c>
      <c r="DQ15" s="59" t="inlineStr">
        <is>
          <t>Total issued share capital of the Company upon Listing (1,000,000,000 Shares); announcement expresses shareholding ratios as % of total issued share capital upon Listing, before exercise of the Over-allotment Option (over-allocation = 0)</t>
        </is>
      </c>
      <c r="DR15" s="63" t="n">
        <v>1000000000</v>
      </c>
      <c r="DS15" s="142" t="n">
        <v>0.07676257</v>
      </c>
      <c r="DT15" s="80" t="n">
        <v>18</v>
      </c>
      <c r="DU15" s="142" t="n">
        <v>0.0378315</v>
      </c>
      <c r="DV15" s="144" t="n">
        <v>44720000000</v>
      </c>
      <c r="DW15" s="145" t="n">
        <v>0.67</v>
      </c>
      <c r="DX15" s="169" t="n">
        <v>0.313725</v>
      </c>
      <c r="DY15" s="172" t="n">
        <v>40000000</v>
      </c>
      <c r="DZ15" s="146" t="n">
        <v>0.49</v>
      </c>
      <c r="EA15" s="146" t="n">
        <v>0.82</v>
      </c>
      <c r="EB15" s="146" t="n">
        <v>0.485</v>
      </c>
      <c r="EC15" s="63" t="n">
        <v>272546000</v>
      </c>
      <c r="ED15" s="169" t="n">
        <v>1.090184</v>
      </c>
      <c r="EE15" s="64" t="n">
        <v>169663300</v>
      </c>
      <c r="EF15" s="60" t="inlineStr">
        <is>
          <t>PN18 statutory clawback</t>
        </is>
      </c>
      <c r="EG15" s="59" t="inlineStr">
        <is>
          <t>FINI (from 22/11/2023)</t>
        </is>
      </c>
      <c r="EH15" t="inlineStr">
        <is>
          <t>舒宝国际集团有限公司</t>
        </is>
      </c>
      <c r="EI15" s="174" t="inlineStr">
        <is>
          <t>Active</t>
        </is>
      </c>
      <c r="EJ15" s="175" t="n">
        <v>0.67</v>
      </c>
      <c r="EK15" s="176" t="n">
        <v>0</v>
      </c>
      <c r="EL15" s="176" t="n">
        <v>0.313725</v>
      </c>
      <c r="EM15" s="176" t="n">
        <v>-0.068148</v>
      </c>
      <c r="EN15" s="176" t="n">
        <v>-0.107384</v>
      </c>
      <c r="EO15" s="179" t="n">
        <v>1.0731</v>
      </c>
      <c r="EP15" s="179" t="n">
        <v>1.1203</v>
      </c>
      <c r="EQ15" s="178" t="n">
        <v>20388405</v>
      </c>
      <c r="ER15" s="175" t="n">
        <v>0.72</v>
      </c>
      <c r="ES15" s="176" t="n">
        <v>0.074627</v>
      </c>
      <c r="ET15" s="176" t="n">
        <v>0.411765</v>
      </c>
      <c r="EU15" s="176" t="n">
        <v>0.129102</v>
      </c>
      <c r="EV15" s="176" t="n">
        <v>0.131529</v>
      </c>
      <c r="EW15" s="179" t="n">
        <v>0.9518</v>
      </c>
      <c r="EX15" s="179" t="n">
        <v>0.9497</v>
      </c>
      <c r="EY15" s="178" t="n">
        <v>1194200</v>
      </c>
      <c r="EZ15" s="176" t="n">
        <v>0.007039</v>
      </c>
      <c r="FA15" s="176" t="n"/>
      <c r="FB15" s="179" t="n"/>
      <c r="FC15" s="176" t="n"/>
      <c r="FD15" s="179" t="n"/>
      <c r="FE15" s="174" t="inlineStr">
        <is>
          <t>Standard</t>
        </is>
      </c>
      <c r="FF15" s="181" t="inlineStr">
        <is>
          <t>China International Capital Corporation / Sponsor-OC</t>
        </is>
      </c>
      <c r="FG15" s="185" t="inlineStr">
        <is>
          <t>2025-04-26</t>
        </is>
      </c>
      <c r="FH15" s="183" t="n">
        <v>0</v>
      </c>
      <c r="FI15" s="178" t="n">
        <v>0</v>
      </c>
      <c r="FJ15" s="176" t="n">
        <v>0.15</v>
      </c>
      <c r="FK15" s="185" t="inlineStr">
        <is>
          <t>2025-04-26</t>
        </is>
      </c>
      <c r="FL15" s="178" t="n">
        <v>0</v>
      </c>
      <c r="FM15" s="176" t="n">
        <v>0</v>
      </c>
      <c r="FN15" s="176" t="n">
        <v>0.175439</v>
      </c>
      <c r="FO15" s="176" t="n">
        <v>0.313433</v>
      </c>
      <c r="FP15" s="176" t="n">
        <v>0.396284</v>
      </c>
      <c r="FQ15" s="176" t="n">
        <v>-0.223881</v>
      </c>
      <c r="FR15" s="179" t="n">
        <v>0.7887</v>
      </c>
      <c r="FS15" s="176" t="n">
        <v>0</v>
      </c>
      <c r="FT15" s="179" t="n">
        <v>1.0731</v>
      </c>
      <c r="FU15" s="176" t="n">
        <v>1.044776</v>
      </c>
      <c r="FV15" s="179" t="n">
        <v>2.0029</v>
      </c>
      <c r="FW15" s="179" t="n">
        <v>2.1552</v>
      </c>
      <c r="FX15" s="178" t="n">
        <v>14222074.6</v>
      </c>
      <c r="FY15" s="186" t="n">
        <v>0.009259468253968254</v>
      </c>
      <c r="FZ15" s="183" t="n">
        <v>0</v>
      </c>
      <c r="GA15" s="176" t="n">
        <v>0.06792335912461085</v>
      </c>
      <c r="GB15" s="176" t="n">
        <v>0.595238</v>
      </c>
      <c r="GC15" s="185" t="inlineStr">
        <is>
          <t>2025-09-27</t>
        </is>
      </c>
      <c r="GD15" s="185" t="inlineStr">
        <is>
          <t>2026-03-27</t>
        </is>
      </c>
      <c r="GE15" s="176" t="n"/>
      <c r="GF15" s="176" t="n"/>
      <c r="GG15" s="179" t="n"/>
      <c r="GH15" s="181" t="inlineStr">
        <is>
          <t>CICC</t>
        </is>
      </c>
      <c r="GI15" s="183" t="n">
        <v>2</v>
      </c>
      <c r="GJ15" s="183" t="n">
        <v>0</v>
      </c>
      <c r="GK15" s="176" t="n">
        <v>0.025</v>
      </c>
      <c r="GL15" s="176" t="n">
        <v>0.01</v>
      </c>
      <c r="GM15" s="176" t="n">
        <v>0.035</v>
      </c>
      <c r="GN15" s="183" t="n">
        <v>4</v>
      </c>
      <c r="GO15" s="183" t="n">
        <v>0</v>
      </c>
      <c r="GP15" s="183" t="n">
        <v>0</v>
      </c>
      <c r="GQ15" s="183" t="n">
        <v>6</v>
      </c>
      <c r="GR15" s="183" t="n">
        <v>0</v>
      </c>
      <c r="GS15" s="181" t="inlineStr">
        <is>
          <t>POST_FINI</t>
        </is>
      </c>
      <c r="GT15" s="181" t="inlineStr">
        <is>
          <t>PRE_2025_REFORM</t>
        </is>
      </c>
    </row>
    <row r="16" ht="51" customFormat="1" customHeight="1" s="12">
      <c r="A16" s="43" t="n">
        <v>17</v>
      </c>
      <c r="B16" s="47" t="inlineStr">
        <is>
          <t>2625.HK</t>
        </is>
      </c>
      <c r="C16" s="44" t="inlineStr">
        <is>
          <t>Jiangsu Horizon Chain Supermarket Company Limited - H shares</t>
        </is>
      </c>
      <c r="D16" s="130" t="n">
        <v>45737</v>
      </c>
      <c r="E16" s="48" t="n">
        <v>45747</v>
      </c>
      <c r="F16" s="43" t="inlineStr">
        <is>
          <t>Red Solar Capital Limited</t>
        </is>
      </c>
      <c r="G16" s="43" t="inlineStr">
        <is>
          <t>KPMG</t>
        </is>
      </c>
      <c r="H16" s="43" t="n"/>
      <c r="I16" s="131" t="n">
        <v>22230000</v>
      </c>
      <c r="J16" s="148" t="n">
        <v>111675000</v>
      </c>
      <c r="K16" s="133" t="n">
        <v>2.5</v>
      </c>
      <c r="L16" t="n">
        <v>214246910</v>
      </c>
      <c r="M16" s="67" t="n">
        <v>53562000</v>
      </c>
      <c r="N16" t="n">
        <v>160684910</v>
      </c>
      <c r="O16" t="n">
        <v>160684910</v>
      </c>
      <c r="P16" t="n">
        <v>0</v>
      </c>
      <c r="Q16" t="n">
        <v>53562000</v>
      </c>
      <c r="R16" s="67" t="n">
        <v>48205000</v>
      </c>
      <c r="S16" s="67" t="n">
        <v>5357000</v>
      </c>
      <c r="T16" s="147" t="n">
        <v>3</v>
      </c>
      <c r="U16" s="147" t="n">
        <v>2.5</v>
      </c>
      <c r="V16" s="169" t="n">
        <v>-0.090909</v>
      </c>
      <c r="W16" s="169" t="n">
        <v>0.181818</v>
      </c>
      <c r="X16" s="170" t="inlineStr">
        <is>
          <t>At low</t>
        </is>
      </c>
      <c r="Y16" s="26" t="inlineStr">
        <is>
          <t>RMB</t>
        </is>
      </c>
      <c r="Z16" s="137" t="n">
        <v>1331539000</v>
      </c>
      <c r="AA16" s="137" t="n">
        <v>1407136000</v>
      </c>
      <c r="AB16" s="137" t="n">
        <v>1399974000</v>
      </c>
      <c r="AC16" s="137" t="n">
        <v>446780000</v>
      </c>
      <c r="AD16" s="137" t="n">
        <v>493341000</v>
      </c>
      <c r="AE16" s="137" t="n">
        <v>518475000</v>
      </c>
      <c r="AF16" s="137" t="n">
        <v>884759000</v>
      </c>
      <c r="AG16" s="137" t="n">
        <v>913795000</v>
      </c>
      <c r="AH16" s="137" t="n">
        <v>881499000</v>
      </c>
      <c r="AI16" s="137" t="n">
        <v>1328685000</v>
      </c>
      <c r="AJ16" s="137" t="n">
        <v>1401972000</v>
      </c>
      <c r="AK16" s="137" t="n">
        <v>1341080000</v>
      </c>
      <c r="AL16" s="137" t="n">
        <v>68487000</v>
      </c>
      <c r="AM16" s="137" t="n">
        <v>70058000</v>
      </c>
      <c r="AN16" s="137" t="n">
        <v>46802667</v>
      </c>
      <c r="AO16" s="137" t="n">
        <v>51065000</v>
      </c>
      <c r="AP16" s="137" t="n">
        <v>51602000</v>
      </c>
      <c r="AQ16" s="137" t="n">
        <v>32104000</v>
      </c>
      <c r="AR16" s="142" t="n">
        <v>0.045</v>
      </c>
      <c r="AS16" s="142" t="n">
        <v>0.045</v>
      </c>
      <c r="AT16" s="84" t="n">
        <v>0.15</v>
      </c>
      <c r="AU16" s="51" t="inlineStr">
        <is>
          <t>Wholesale of grains and oil; supermarket, convenience store and mall retail operations</t>
        </is>
      </c>
      <c r="AV16" s="51" t="inlineStr">
        <is>
          <t>Main Board</t>
        </is>
      </c>
      <c r="AW16" s="136" t="n">
        <v>45565</v>
      </c>
      <c r="AX16" s="137" t="n">
        <v>-10625000</v>
      </c>
      <c r="AY16" s="117" t="n">
        <v>147792000</v>
      </c>
      <c r="AZ16" s="117" t="inlineStr">
        <is>
          <t>NaN</t>
        </is>
      </c>
      <c r="BA16" s="117" t="inlineStr">
        <is>
          <t>NaN</t>
        </is>
      </c>
      <c r="BB16" s="138" t="n">
        <v>0.285</v>
      </c>
      <c r="BC16" s="139" t="n">
        <v>0.75</v>
      </c>
      <c r="BD16" s="80" t="n">
        <v>1</v>
      </c>
      <c r="BE16" s="161" t="n">
        <v>0</v>
      </c>
      <c r="BF16" s="161" t="n">
        <v>1</v>
      </c>
      <c r="BG16" s="161" t="n">
        <v>0</v>
      </c>
      <c r="BH16" s="161" t="n">
        <v>1</v>
      </c>
      <c r="BI16" s="161" t="n">
        <v>0</v>
      </c>
      <c r="BJ16" s="162" t="inlineStr">
        <is>
          <t>Jiangdu Fund, Jiequan Fund, Minsheng Agricultural, Batch A Investors and Batch B Investors</t>
        </is>
      </c>
      <c r="BK16" s="163" t="n">
        <v>0.2393</v>
      </c>
      <c r="BL16" s="161" t="n">
        <v>0</v>
      </c>
      <c r="BM16" s="164" t="inlineStr">
        <is>
          <t>July 2019</t>
        </is>
      </c>
      <c r="BN16" s="165" t="n">
        <v>5.7</v>
      </c>
      <c r="BO16" s="51" t="inlineStr">
        <is>
          <t>Individual</t>
        </is>
      </c>
      <c r="BP16" s="135" t="n">
        <v>0.3111</v>
      </c>
      <c r="BQ16" s="135" t="n">
        <v>0.3111</v>
      </c>
      <c r="BR16" s="137" t="n">
        <v>579772000</v>
      </c>
      <c r="BS16" s="51" t="inlineStr">
        <is>
          <t>NA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0</v>
      </c>
      <c r="CA16" s="60" t="inlineStr">
        <is>
          <t>253010</t>
        </is>
      </c>
      <c r="CB16" s="76" t="inlineStr">
        <is>
          <t>HSICS (Hang Seng Industry Classification System) 2026</t>
        </is>
      </c>
      <c r="CC16" s="140" t="n">
        <v>38644</v>
      </c>
      <c r="CD16" s="171" t="n">
        <v>19.45</v>
      </c>
      <c r="CE16" s="76" t="inlineStr">
        <is>
          <t>PRC</t>
        </is>
      </c>
      <c r="CF16" s="89" t="inlineStr">
        <is>
          <t>PRC</t>
        </is>
      </c>
      <c r="CG16" s="91" t="n">
        <v>1000</v>
      </c>
      <c r="CH16" s="60" t="inlineStr">
        <is>
          <t>IFRS</t>
        </is>
      </c>
      <c r="CI16" s="141" t="n">
        <v>44562</v>
      </c>
      <c r="CJ16" s="141" t="n">
        <v>44926</v>
      </c>
      <c r="CK16" s="141" t="n">
        <v>44927</v>
      </c>
      <c r="CL16" s="141" t="n">
        <v>45291</v>
      </c>
      <c r="CM16" s="141" t="n">
        <v>45292</v>
      </c>
      <c r="CN16" s="64" t="n">
        <v>1005810000</v>
      </c>
      <c r="CO16" s="64" t="n">
        <v>35102000</v>
      </c>
      <c r="CP16" s="64" t="n">
        <v>24078000</v>
      </c>
      <c r="CQ16" s="141" t="n">
        <v>45737</v>
      </c>
      <c r="CR16" s="141" t="n">
        <v>45742</v>
      </c>
      <c r="CS16" s="63" t="n">
        <v>214246910</v>
      </c>
      <c r="CT16" s="64" t="n">
        <v>208434000</v>
      </c>
      <c r="CU16" s="64" t="n">
        <v>29058000</v>
      </c>
      <c r="CV16" s="59" t="inlineStr">
        <is>
          <t>Unqualified</t>
        </is>
      </c>
      <c r="CW16" s="64" t="n">
        <v>42200000</v>
      </c>
      <c r="CX16" s="51" t="inlineStr">
        <is>
          <t>Top Legend SPC (for and on behalf of Ocean One SP)</t>
        </is>
      </c>
      <c r="CY16" s="142" t="n">
        <v>0.2883</v>
      </c>
      <c r="CZ16" s="136" t="n">
        <v>45930</v>
      </c>
      <c r="DA16" s="143" t="n">
        <v>46.96</v>
      </c>
      <c r="DB16" s="63" t="n">
        <v>9084</v>
      </c>
      <c r="DC16" s="63" t="n">
        <v>251552000</v>
      </c>
      <c r="DD16" s="59" t="inlineStr">
        <is>
          <t>Subscription level 46.96 times (Hong Kong Public Offering); International Offering Subscription Level 0.93 times</t>
        </is>
      </c>
      <c r="DE16" s="141" t="n">
        <v>45743</v>
      </c>
      <c r="DF16" s="141" t="n">
        <v>45744</v>
      </c>
      <c r="DG16" s="63" t="n">
        <v>53562000</v>
      </c>
      <c r="DH16" s="63" t="n">
        <v>8892000</v>
      </c>
      <c r="DI16" s="63" t="n">
        <v>44670000</v>
      </c>
      <c r="DJ16" s="63" t="n">
        <v>0</v>
      </c>
      <c r="DK16" s="169" t="n">
        <v>0</v>
      </c>
      <c r="DL16" s="59" t="inlineStr">
        <is>
          <t>International Offering undersubscribed (0.93x) and Hong Kong Public Offering oversubscribed (46.96x); reallocation applied: HK Public Offering increased from 5,357,000 to 8,892,000 H Shares (10% to 16.60%), International Offering reduced from 48,205,000 to 44,670,000 H Shares (i.e. 3,535,000 shares reallocated); Claw-back triggered: No</t>
        </is>
      </c>
      <c r="DM16" s="144" t="n">
        <v>92550000</v>
      </c>
      <c r="DN16" s="142" t="inlineStr">
        <is>
          <t>NaN</t>
        </is>
      </c>
      <c r="DO16" s="51" t="n">
        <v>214246910</v>
      </c>
      <c r="DP16" s="142" t="n">
        <v>0.1779</v>
      </c>
      <c r="DQ16" s="59" t="inlineStr">
        <is>
          <t>Denominator is the total number of issued shares (all H Shares) upon Listing before exercise of the Over-allotment Option: 214,246,910 shares; no over-allocation occurred so the Over-allotment Option was not exercised (per announcement, no over-allocation of International Offer Shares)</t>
        </is>
      </c>
      <c r="DR16" s="63" t="n">
        <v>214246910</v>
      </c>
      <c r="DS16" s="142" t="n">
        <v>0.07277182</v>
      </c>
      <c r="DT16" s="80" t="n">
        <v>16</v>
      </c>
      <c r="DU16" s="142" t="n">
        <v>0.038128</v>
      </c>
      <c r="DV16" s="144" t="n">
        <v>44595000000</v>
      </c>
      <c r="DW16" s="145" t="n">
        <v>2.5</v>
      </c>
      <c r="DX16" s="169" t="n">
        <v>0</v>
      </c>
      <c r="DY16" s="172" t="n">
        <v>0</v>
      </c>
      <c r="DZ16" s="146" t="n">
        <v>3.44</v>
      </c>
      <c r="EA16" s="146" t="n">
        <v>3.65</v>
      </c>
      <c r="EB16" s="146" t="n">
        <v>2.39</v>
      </c>
      <c r="EC16" s="63" t="n">
        <v>27790000</v>
      </c>
      <c r="ED16" s="169" t="n">
        <v>0.518838</v>
      </c>
      <c r="EE16" s="64" t="n">
        <v>80316400</v>
      </c>
      <c r="EF16" s="60" t="inlineStr">
        <is>
          <t>PN18 statutory clawback</t>
        </is>
      </c>
      <c r="EG16" s="59" t="inlineStr">
        <is>
          <t>FINI (from 22/11/2023)</t>
        </is>
      </c>
      <c r="EH16" t="inlineStr">
        <is>
          <t>江苏宏信超市连锁股份有限公司</t>
        </is>
      </c>
      <c r="EI16" s="174" t="inlineStr">
        <is>
          <t>Active</t>
        </is>
      </c>
      <c r="EJ16" s="175" t="n">
        <v>2.79</v>
      </c>
      <c r="EK16" s="176" t="n">
        <v>0.116</v>
      </c>
      <c r="EL16" s="176" t="n">
        <v>0.116</v>
      </c>
      <c r="EM16" s="176" t="n">
        <v>-0.043261</v>
      </c>
      <c r="EN16" s="176" t="n">
        <v>-0.056963</v>
      </c>
      <c r="EO16" s="179" t="n">
        <v>1.1665</v>
      </c>
      <c r="EP16" s="179" t="n">
        <v>1.1834</v>
      </c>
      <c r="EQ16" s="178" t="n">
        <v>7581890</v>
      </c>
      <c r="ER16" s="175" t="n">
        <v>5.99</v>
      </c>
      <c r="ES16" s="176" t="n">
        <v>1.396</v>
      </c>
      <c r="ET16" s="176" t="n">
        <v>1.396</v>
      </c>
      <c r="EU16" s="176" t="n">
        <v>0.161594</v>
      </c>
      <c r="EV16" s="176" t="n">
        <v>0.198516</v>
      </c>
      <c r="EW16" s="179" t="n">
        <v>2.0627</v>
      </c>
      <c r="EX16" s="179" t="n">
        <v>1.9991</v>
      </c>
      <c r="EY16" s="178" t="n">
        <v>1409940</v>
      </c>
      <c r="EZ16" s="176" t="n">
        <v>0.017555</v>
      </c>
      <c r="FA16" s="176" t="n"/>
      <c r="FB16" s="179" t="n"/>
      <c r="FC16" s="176" t="n"/>
      <c r="FD16" s="179" t="n"/>
      <c r="FE16" s="174" t="inlineStr">
        <is>
          <t>Standard</t>
        </is>
      </c>
      <c r="FF16" s="181" t="inlineStr">
        <is>
          <t>China International Capital Corporation / Sponsor-OC</t>
        </is>
      </c>
      <c r="FG16" s="185" t="inlineStr">
        <is>
          <t>2025-04-30</t>
        </is>
      </c>
      <c r="FH16" s="183" t="n">
        <v>0</v>
      </c>
      <c r="FI16" s="178" t="n">
        <v>0</v>
      </c>
      <c r="FJ16" s="176" t="n">
        <v>0.15</v>
      </c>
      <c r="FK16" s="185" t="inlineStr">
        <is>
          <t>2025-04-30</t>
        </is>
      </c>
      <c r="FL16" s="178" t="n">
        <v>0</v>
      </c>
      <c r="FM16" s="176" t="n">
        <v>0</v>
      </c>
      <c r="FN16" s="176" t="n">
        <v>0.316206</v>
      </c>
      <c r="FO16" s="176" t="n">
        <v>0.121864</v>
      </c>
      <c r="FP16" s="176" t="n">
        <v>0.367802</v>
      </c>
      <c r="FQ16" s="176" t="n">
        <v>-0.092</v>
      </c>
      <c r="FR16" s="179" t="n">
        <v>1.0587</v>
      </c>
      <c r="FS16" s="176" t="n">
        <v>0.116</v>
      </c>
      <c r="FT16" s="179" t="n">
        <v>1.1665</v>
      </c>
      <c r="FU16" s="176" t="n">
        <v>0.136</v>
      </c>
      <c r="FV16" s="179" t="n">
        <v>1.0911</v>
      </c>
      <c r="FW16" s="179" t="n">
        <v>1.1709</v>
      </c>
      <c r="FX16" s="178" t="n">
        <v>3689538.1</v>
      </c>
      <c r="FY16" s="186" t="n">
        <v>0.05960145238095239</v>
      </c>
      <c r="FZ16" s="183" t="n">
        <v>0</v>
      </c>
      <c r="GA16" s="176" t="n">
        <v>0.05128785467613475</v>
      </c>
      <c r="GB16" s="176" t="n">
        <v>0.419178</v>
      </c>
      <c r="GC16" s="185" t="inlineStr">
        <is>
          <t>2025-09-30</t>
        </is>
      </c>
      <c r="GD16" s="185" t="inlineStr">
        <is>
          <t>2026-03-31</t>
        </is>
      </c>
      <c r="GE16" s="176" t="n">
        <v>0.660145</v>
      </c>
      <c r="GF16" s="176" t="n">
        <v>0.313771</v>
      </c>
      <c r="GG16" s="179" t="n">
        <v>5.0944</v>
      </c>
      <c r="GH16" s="181" t="inlineStr">
        <is>
          <t>CICC</t>
        </is>
      </c>
      <c r="GI16" s="183" t="n">
        <v>2</v>
      </c>
      <c r="GJ16" s="183" t="n">
        <v>0</v>
      </c>
      <c r="GK16" s="176" t="n">
        <v>0.025</v>
      </c>
      <c r="GL16" s="176" t="n">
        <v>0.01</v>
      </c>
      <c r="GM16" s="176" t="n">
        <v>0.035</v>
      </c>
      <c r="GN16" s="183" t="n">
        <v>4</v>
      </c>
      <c r="GO16" s="183" t="n">
        <v>0</v>
      </c>
      <c r="GP16" s="183" t="n">
        <v>0</v>
      </c>
      <c r="GQ16" s="183" t="n">
        <v>6</v>
      </c>
      <c r="GR16" s="183" t="n">
        <v>0</v>
      </c>
      <c r="GS16" s="181" t="inlineStr">
        <is>
          <t>POST_FINI</t>
        </is>
      </c>
      <c r="GT16" s="181" t="inlineStr">
        <is>
          <t>PRE_2025_REFORM</t>
        </is>
      </c>
    </row>
    <row r="17" ht="68" customFormat="1" customHeight="1" s="12">
      <c r="A17" s="43" t="n"/>
      <c r="B17" s="47" t="n"/>
      <c r="C17" s="44" t="n"/>
      <c r="D17" s="130" t="n"/>
      <c r="E17" s="48" t="n"/>
      <c r="F17" s="43" t="n"/>
      <c r="G17" s="43" t="n"/>
      <c r="H17" s="43" t="n"/>
      <c r="I17" s="131" t="n"/>
      <c r="J17" s="148" t="n"/>
      <c r="K17" s="133" t="n"/>
      <c r="M17" s="67" t="n"/>
      <c r="R17" s="67" t="n"/>
      <c r="S17" s="67" t="n"/>
      <c r="T17" s="147" t="n"/>
      <c r="U17" s="147" t="n"/>
      <c r="V17" s="169" t="n"/>
      <c r="W17" s="169" t="n"/>
      <c r="X17" s="170" t="n"/>
      <c r="Y17" s="26" t="n"/>
      <c r="Z17" s="137" t="n"/>
      <c r="AA17" s="137" t="n"/>
      <c r="AB17" s="137" t="n"/>
      <c r="AC17" s="137" t="n"/>
      <c r="AD17" s="137" t="n"/>
      <c r="AE17" s="137" t="n"/>
      <c r="AF17" s="137" t="n"/>
      <c r="AG17" s="137" t="n"/>
      <c r="AH17" s="137" t="n"/>
      <c r="AI17" s="137" t="n"/>
      <c r="AJ17" s="137" t="n"/>
      <c r="AK17" s="137" t="n"/>
      <c r="AL17" s="137" t="n"/>
      <c r="AM17" s="137" t="n"/>
      <c r="AN17" s="137" t="n"/>
      <c r="AO17" s="137" t="n"/>
      <c r="AP17" s="137" t="n"/>
      <c r="AQ17" s="137" t="n"/>
      <c r="AR17" s="142" t="n"/>
      <c r="AS17" s="142" t="n"/>
      <c r="AT17" s="84" t="n"/>
      <c r="AU17" s="51" t="n"/>
      <c r="AV17" s="51" t="n"/>
      <c r="AW17" s="136" t="n"/>
      <c r="AX17" s="137" t="n"/>
      <c r="AY17" s="117" t="n"/>
      <c r="AZ17" s="117" t="n"/>
      <c r="BA17" s="117" t="n"/>
      <c r="BB17" s="138" t="n"/>
      <c r="BC17" s="139" t="n"/>
      <c r="BD17" s="80" t="n"/>
      <c r="BE17" s="161" t="n"/>
      <c r="BF17" s="161" t="n"/>
      <c r="BG17" s="161" t="n"/>
      <c r="BH17" s="161" t="n"/>
      <c r="BI17" s="161" t="n"/>
      <c r="BJ17" s="162" t="n"/>
      <c r="BK17" s="163" t="n"/>
      <c r="BL17" s="161" t="n"/>
      <c r="BM17" s="164" t="n"/>
      <c r="BN17" s="165" t="n"/>
      <c r="BO17" s="51" t="n"/>
      <c r="BP17" s="135" t="n"/>
      <c r="BQ17" s="135" t="n"/>
      <c r="BR17" s="137" t="n"/>
      <c r="BS17" s="51" t="n"/>
      <c r="BT17" s="142" t="n"/>
      <c r="BU17" s="60" t="n"/>
      <c r="BV17" s="89" t="n"/>
      <c r="BW17" s="61" t="n"/>
      <c r="BX17" s="77" t="n"/>
      <c r="BY17" s="77" t="n"/>
      <c r="BZ17" s="78" t="n"/>
      <c r="CA17" s="60" t="n"/>
      <c r="CB17" s="76" t="n"/>
      <c r="CC17" s="140" t="n"/>
      <c r="CD17" s="171" t="n"/>
      <c r="CE17" s="76" t="n"/>
      <c r="CF17" s="89" t="n"/>
      <c r="CG17" s="91" t="n"/>
      <c r="CH17" s="60" t="n"/>
      <c r="CI17" s="141" t="n"/>
      <c r="CJ17" s="141" t="n"/>
      <c r="CK17" s="141" t="n"/>
      <c r="CL17" s="141" t="n"/>
      <c r="CM17" s="141" t="n"/>
      <c r="CN17" s="64" t="n"/>
      <c r="CO17" s="64" t="n"/>
      <c r="CP17" s="64" t="n"/>
      <c r="CQ17" s="141" t="n"/>
      <c r="CR17" s="141" t="n"/>
      <c r="CS17" s="63" t="n"/>
      <c r="CT17" s="64" t="n"/>
      <c r="CU17" s="64" t="n"/>
      <c r="CV17" s="59" t="n"/>
      <c r="CW17" s="64" t="n"/>
      <c r="CX17" s="51" t="n"/>
      <c r="CY17" s="142" t="n"/>
      <c r="CZ17" s="136" t="n"/>
      <c r="DA17" s="143" t="n"/>
      <c r="DB17" s="63" t="n"/>
      <c r="DC17" s="63" t="n"/>
      <c r="DD17" s="59" t="n"/>
      <c r="DE17" s="141" t="n"/>
      <c r="DF17" s="141" t="n"/>
      <c r="DG17" s="63" t="n"/>
      <c r="DH17" s="63" t="n"/>
      <c r="DI17" s="63" t="n"/>
      <c r="DJ17" s="63" t="n"/>
      <c r="DK17" s="169" t="n"/>
      <c r="DL17" s="59" t="n"/>
      <c r="DM17" s="144" t="n"/>
      <c r="DN17" s="142" t="n"/>
      <c r="DO17" s="51" t="n"/>
      <c r="DP17" s="142" t="n"/>
      <c r="DQ17" s="59" t="n"/>
      <c r="DR17" s="63" t="n"/>
      <c r="DS17" s="142" t="n"/>
      <c r="DT17" s="80" t="n"/>
      <c r="DU17" s="142" t="n"/>
      <c r="DV17" s="144" t="n"/>
      <c r="DW17" s="145" t="n"/>
      <c r="DX17" s="169" t="n"/>
      <c r="DY17" s="172" t="n"/>
      <c r="DZ17" s="146" t="n"/>
      <c r="EA17" s="146" t="n"/>
      <c r="EB17" s="146" t="n"/>
      <c r="EC17" s="63" t="n"/>
      <c r="ED17" s="169" t="n"/>
      <c r="EE17" s="64" t="n"/>
      <c r="EF17" s="60" t="n"/>
      <c r="EG17" s="59" t="n"/>
      <c r="EI17" s="174" t="n"/>
      <c r="EJ17" s="175" t="n"/>
      <c r="EK17" s="176" t="n"/>
      <c r="EL17" s="176" t="n"/>
      <c r="EM17" s="176" t="n"/>
      <c r="EN17" s="176" t="n"/>
      <c r="EO17" s="179" t="n"/>
      <c r="EP17" s="179" t="n"/>
      <c r="EQ17" s="178" t="n"/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n"/>
      <c r="FF17" s="181" t="n"/>
      <c r="FG17" s="185" t="n"/>
      <c r="FH17" s="183" t="n"/>
      <c r="FI17" s="178" t="n"/>
      <c r="FJ17" s="176" t="n"/>
      <c r="FK17" s="185" t="n"/>
      <c r="FL17" s="178" t="n"/>
      <c r="FM17" s="176" t="n"/>
      <c r="FN17" s="176" t="n"/>
      <c r="FO17" s="176" t="n"/>
      <c r="FP17" s="176" t="n"/>
      <c r="FQ17" s="176" t="n"/>
      <c r="FR17" s="179" t="n"/>
      <c r="FS17" s="176" t="n"/>
      <c r="FT17" s="179" t="n"/>
      <c r="FU17" s="176" t="n"/>
      <c r="FV17" s="179" t="n"/>
      <c r="FW17" s="179" t="n"/>
      <c r="FX17" s="178" t="n"/>
      <c r="FY17" s="186" t="n"/>
      <c r="FZ17" s="183" t="n"/>
      <c r="GA17" s="176" t="n"/>
      <c r="GB17" s="176" t="n"/>
      <c r="GC17" s="185" t="n"/>
      <c r="GD17" s="185" t="n"/>
      <c r="GE17" s="176" t="n"/>
      <c r="GF17" s="176" t="n"/>
      <c r="GG17" s="179" t="n"/>
      <c r="GH17" s="181" t="n"/>
      <c r="GI17" s="183" t="n"/>
      <c r="GJ17" s="183" t="n"/>
      <c r="GK17" s="176" t="n"/>
      <c r="GL17" s="176" t="n"/>
      <c r="GM17" s="176" t="n"/>
      <c r="GN17" s="183" t="n"/>
      <c r="GO17" s="183" t="n"/>
      <c r="GP17" s="183" t="n"/>
      <c r="GQ17" s="183" t="n"/>
      <c r="GR17" s="183" t="n"/>
      <c r="GS17" s="181" t="n"/>
      <c r="GT17" s="181" t="n"/>
    </row>
    <row r="18" ht="51" customFormat="1" customHeight="1" s="11">
      <c r="A18" s="43" t="n"/>
      <c r="B18" s="47" t="n"/>
      <c r="C18" s="44" t="n"/>
      <c r="D18" s="130" t="n"/>
      <c r="E18" s="48" t="n"/>
      <c r="F18" s="43" t="n"/>
      <c r="G18" s="43" t="n"/>
      <c r="H18" s="43" t="n"/>
      <c r="I18" s="131" t="n"/>
      <c r="J18" s="148" t="n"/>
      <c r="K18" s="133" t="n"/>
      <c r="M18" s="67" t="n"/>
      <c r="R18" s="67" t="n"/>
      <c r="S18" s="67" t="n"/>
      <c r="T18" s="147" t="n"/>
      <c r="U18" s="147" t="n"/>
      <c r="V18" s="169" t="n"/>
      <c r="W18" s="169" t="n"/>
      <c r="X18" s="170" t="n"/>
      <c r="Y18" s="26" t="n"/>
      <c r="Z18" s="137" t="n"/>
      <c r="AA18" s="137" t="n"/>
      <c r="AB18" s="137" t="n"/>
      <c r="AC18" s="137" t="n"/>
      <c r="AD18" s="137" t="n"/>
      <c r="AE18" s="137" t="n"/>
      <c r="AF18" s="137" t="n"/>
      <c r="AG18" s="137" t="n"/>
      <c r="AH18" s="137" t="n"/>
      <c r="AI18" s="137" t="n"/>
      <c r="AJ18" s="137" t="n"/>
      <c r="AK18" s="137" t="n"/>
      <c r="AL18" s="137" t="n"/>
      <c r="AM18" s="137" t="n"/>
      <c r="AN18" s="137" t="n"/>
      <c r="AO18" s="137" t="n"/>
      <c r="AP18" s="137" t="n"/>
      <c r="AQ18" s="137" t="n"/>
      <c r="AR18" s="142" t="n"/>
      <c r="AS18" s="142" t="n"/>
      <c r="AT18" s="84" t="n"/>
      <c r="AU18" s="51" t="n"/>
      <c r="AV18" s="51" t="n"/>
      <c r="AW18" s="136" t="n"/>
      <c r="AX18" s="137" t="n"/>
      <c r="AY18" s="117" t="n"/>
      <c r="AZ18" s="117" t="n"/>
      <c r="BA18" s="117" t="n"/>
      <c r="BB18" s="138" t="n"/>
      <c r="BC18" s="139" t="n"/>
      <c r="BD18" s="80" t="n"/>
      <c r="BE18" s="161" t="n"/>
      <c r="BF18" s="161" t="n"/>
      <c r="BG18" s="161" t="n"/>
      <c r="BH18" s="161" t="n"/>
      <c r="BI18" s="161" t="n"/>
      <c r="BJ18" s="162" t="n"/>
      <c r="BK18" s="163" t="n"/>
      <c r="BL18" s="161" t="n"/>
      <c r="BM18" s="164" t="n"/>
      <c r="BN18" s="165" t="n"/>
      <c r="BO18" s="51" t="n"/>
      <c r="BP18" s="135" t="n"/>
      <c r="BQ18" s="135" t="n"/>
      <c r="BR18" s="137" t="n"/>
      <c r="BS18" s="51" t="n"/>
      <c r="BT18" s="142" t="n"/>
      <c r="BU18" s="60" t="n"/>
      <c r="BV18" s="89" t="n"/>
      <c r="BW18" s="61" t="n"/>
      <c r="BX18" s="77" t="n"/>
      <c r="BY18" s="77" t="n"/>
      <c r="BZ18" s="78" t="n"/>
      <c r="CA18" s="60" t="n"/>
      <c r="CB18" s="76" t="n"/>
      <c r="CC18" s="140" t="n"/>
      <c r="CD18" s="171" t="n"/>
      <c r="CE18" s="76" t="n"/>
      <c r="CF18" s="89" t="n"/>
      <c r="CG18" s="91" t="n"/>
      <c r="CH18" s="60" t="n"/>
      <c r="CI18" s="141" t="n"/>
      <c r="CJ18" s="141" t="n"/>
      <c r="CK18" s="141" t="n"/>
      <c r="CL18" s="141" t="n"/>
      <c r="CM18" s="141" t="n"/>
      <c r="CN18" s="64" t="n"/>
      <c r="CO18" s="64" t="n"/>
      <c r="CP18" s="64" t="n"/>
      <c r="CQ18" s="141" t="n"/>
      <c r="CR18" s="141" t="n"/>
      <c r="CS18" s="63" t="n"/>
      <c r="CT18" s="64" t="n"/>
      <c r="CU18" s="64" t="n"/>
      <c r="CV18" s="59" t="n"/>
      <c r="CW18" s="64" t="n"/>
      <c r="CX18" s="51" t="n"/>
      <c r="CY18" s="142" t="n"/>
      <c r="CZ18" s="136" t="n"/>
      <c r="DA18" s="143" t="n"/>
      <c r="DB18" s="63" t="n"/>
      <c r="DC18" s="63" t="n"/>
      <c r="DD18" s="59" t="n"/>
      <c r="DE18" s="141" t="n"/>
      <c r="DF18" s="141" t="n"/>
      <c r="DG18" s="63" t="n"/>
      <c r="DH18" s="63" t="n"/>
      <c r="DI18" s="63" t="n"/>
      <c r="DJ18" s="63" t="n"/>
      <c r="DK18" s="169" t="n"/>
      <c r="DL18" s="59" t="n"/>
      <c r="DM18" s="144" t="n"/>
      <c r="DN18" s="142" t="n"/>
      <c r="DO18" s="51" t="n"/>
      <c r="DP18" s="142" t="n"/>
      <c r="DQ18" s="59" t="n"/>
      <c r="DR18" s="63" t="n"/>
      <c r="DS18" s="142" t="n"/>
      <c r="DT18" s="80" t="n"/>
      <c r="DU18" s="142" t="n"/>
      <c r="DV18" s="144" t="n"/>
      <c r="DW18" s="145" t="n"/>
      <c r="DX18" s="169" t="n"/>
      <c r="DY18" s="172" t="n"/>
      <c r="DZ18" s="146" t="n"/>
      <c r="EA18" s="146" t="n"/>
      <c r="EB18" s="146" t="n"/>
      <c r="EC18" s="63" t="n"/>
      <c r="ED18" s="169" t="n"/>
      <c r="EE18" s="64" t="n"/>
      <c r="EF18" s="60" t="n"/>
      <c r="EG18" s="59" t="n"/>
      <c r="EI18" s="174" t="n"/>
      <c r="EJ18" s="175" t="n"/>
      <c r="EK18" s="176" t="n"/>
      <c r="EL18" s="176" t="n"/>
      <c r="EM18" s="176" t="n"/>
      <c r="EN18" s="176" t="n"/>
      <c r="EO18" s="179" t="n"/>
      <c r="EP18" s="179" t="n"/>
      <c r="EQ18" s="178" t="n"/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n"/>
      <c r="FF18" s="181" t="n"/>
      <c r="FG18" s="185" t="n"/>
      <c r="FH18" s="183" t="n"/>
      <c r="FI18" s="178" t="n"/>
      <c r="FJ18" s="176" t="n"/>
      <c r="FK18" s="185" t="n"/>
      <c r="FL18" s="178" t="n"/>
      <c r="FM18" s="176" t="n"/>
      <c r="FN18" s="176" t="n"/>
      <c r="FO18" s="176" t="n"/>
      <c r="FP18" s="176" t="n"/>
      <c r="FQ18" s="176" t="n"/>
      <c r="FR18" s="179" t="n"/>
      <c r="FS18" s="176" t="n"/>
      <c r="FT18" s="179" t="n"/>
      <c r="FU18" s="176" t="n"/>
      <c r="FV18" s="179" t="n"/>
      <c r="FW18" s="179" t="n"/>
      <c r="FX18" s="178" t="n"/>
      <c r="FY18" s="186" t="n"/>
      <c r="FZ18" s="183" t="n"/>
      <c r="GA18" s="176" t="n"/>
      <c r="GB18" s="176" t="n"/>
      <c r="GC18" s="185" t="n"/>
      <c r="GD18" s="185" t="n"/>
      <c r="GE18" s="176" t="n"/>
      <c r="GF18" s="176" t="n"/>
      <c r="GG18" s="179" t="n"/>
      <c r="GH18" s="181" t="n"/>
      <c r="GI18" s="183" t="n"/>
      <c r="GJ18" s="183" t="n"/>
      <c r="GK18" s="176" t="n"/>
      <c r="GL18" s="176" t="n"/>
      <c r="GM18" s="176" t="n"/>
      <c r="GN18" s="183" t="n"/>
      <c r="GO18" s="183" t="n"/>
      <c r="GP18" s="183" t="n"/>
      <c r="GQ18" s="183" t="n"/>
      <c r="GR18" s="183" t="n"/>
      <c r="GS18" s="181" t="n"/>
      <c r="GT18" s="181" t="n"/>
    </row>
    <row r="19" ht="85" customFormat="1" customHeight="1" s="11">
      <c r="A19" s="43" t="n"/>
      <c r="B19" s="47" t="n"/>
      <c r="C19" s="44" t="n"/>
      <c r="D19" s="130" t="n"/>
      <c r="E19" s="48" t="n"/>
      <c r="F19" s="43" t="n"/>
      <c r="G19" s="43" t="n"/>
      <c r="H19" s="43" t="n"/>
      <c r="I19" s="131" t="n"/>
      <c r="J19" s="148" t="n"/>
      <c r="K19" s="133" t="n"/>
      <c r="M19" s="67" t="n"/>
      <c r="R19" s="67" t="n"/>
      <c r="S19" s="67" t="n"/>
      <c r="T19" s="147" t="n"/>
      <c r="U19" s="147" t="n"/>
      <c r="V19" s="169" t="n"/>
      <c r="W19" s="169" t="n"/>
      <c r="X19" s="170" t="n"/>
      <c r="Y19" s="26" t="n"/>
      <c r="Z19" s="137" t="n"/>
      <c r="AA19" s="137" t="n"/>
      <c r="AB19" s="137" t="n"/>
      <c r="AC19" s="137" t="n"/>
      <c r="AD19" s="137" t="n"/>
      <c r="AE19" s="137" t="n"/>
      <c r="AF19" s="137" t="n"/>
      <c r="AG19" s="137" t="n"/>
      <c r="AH19" s="137" t="n"/>
      <c r="AI19" s="137" t="n"/>
      <c r="AJ19" s="137" t="n"/>
      <c r="AK19" s="137" t="n"/>
      <c r="AL19" s="137" t="n"/>
      <c r="AM19" s="137" t="n"/>
      <c r="AN19" s="137" t="n"/>
      <c r="AO19" s="137" t="n"/>
      <c r="AP19" s="137" t="n"/>
      <c r="AQ19" s="137" t="n"/>
      <c r="AR19" s="142" t="n"/>
      <c r="AS19" s="142" t="n"/>
      <c r="AT19" s="84" t="n"/>
      <c r="AU19" s="51" t="n"/>
      <c r="AV19" s="51" t="n"/>
      <c r="AW19" s="136" t="n"/>
      <c r="AX19" s="137" t="n"/>
      <c r="AY19" s="117" t="n"/>
      <c r="AZ19" s="117" t="n"/>
      <c r="BA19" s="117" t="n"/>
      <c r="BB19" s="138" t="n"/>
      <c r="BC19" s="139" t="n"/>
      <c r="BD19" s="80" t="n"/>
      <c r="BE19" s="161" t="n"/>
      <c r="BF19" s="161" t="n"/>
      <c r="BG19" s="161" t="n"/>
      <c r="BH19" s="161" t="n"/>
      <c r="BI19" s="161" t="n"/>
      <c r="BJ19" s="162" t="n"/>
      <c r="BK19" s="163" t="n"/>
      <c r="BL19" s="161" t="n"/>
      <c r="BM19" s="164" t="n"/>
      <c r="BN19" s="165" t="n"/>
      <c r="BO19" s="51" t="n"/>
      <c r="BP19" s="135" t="n"/>
      <c r="BQ19" s="135" t="n"/>
      <c r="BR19" s="137" t="n"/>
      <c r="BS19" s="51" t="n"/>
      <c r="BT19" s="142" t="n"/>
      <c r="BU19" s="60" t="n"/>
      <c r="BV19" s="89" t="n"/>
      <c r="BW19" s="61" t="n"/>
      <c r="BX19" s="77" t="n"/>
      <c r="BY19" s="77" t="n"/>
      <c r="BZ19" s="78" t="n"/>
      <c r="CA19" s="60" t="n"/>
      <c r="CB19" s="76" t="n"/>
      <c r="CC19" s="140" t="n"/>
      <c r="CD19" s="171" t="n"/>
      <c r="CE19" s="76" t="n"/>
      <c r="CF19" s="89" t="n"/>
      <c r="CG19" s="91" t="n"/>
      <c r="CH19" s="60" t="n"/>
      <c r="CI19" s="141" t="n"/>
      <c r="CJ19" s="141" t="n"/>
      <c r="CK19" s="141" t="n"/>
      <c r="CL19" s="141" t="n"/>
      <c r="CM19" s="141" t="n"/>
      <c r="CN19" s="64" t="n"/>
      <c r="CO19" s="64" t="n"/>
      <c r="CP19" s="64" t="n"/>
      <c r="CQ19" s="141" t="n"/>
      <c r="CR19" s="141" t="n"/>
      <c r="CS19" s="63" t="n"/>
      <c r="CT19" s="64" t="n"/>
      <c r="CU19" s="64" t="n"/>
      <c r="CV19" s="59" t="n"/>
      <c r="CW19" s="64" t="n"/>
      <c r="CX19" s="51" t="n"/>
      <c r="CY19" s="142" t="n"/>
      <c r="CZ19" s="136" t="n"/>
      <c r="DA19" s="143" t="n"/>
      <c r="DB19" s="63" t="n"/>
      <c r="DC19" s="63" t="n"/>
      <c r="DD19" s="59" t="n"/>
      <c r="DE19" s="141" t="n"/>
      <c r="DF19" s="141" t="n"/>
      <c r="DG19" s="63" t="n"/>
      <c r="DH19" s="63" t="n"/>
      <c r="DI19" s="63" t="n"/>
      <c r="DJ19" s="63" t="n"/>
      <c r="DK19" s="169" t="n"/>
      <c r="DL19" s="59" t="n"/>
      <c r="DM19" s="144" t="n"/>
      <c r="DN19" s="142" t="n"/>
      <c r="DO19" s="51" t="n"/>
      <c r="DP19" s="142" t="n"/>
      <c r="DQ19" s="59" t="n"/>
      <c r="DR19" s="63" t="n"/>
      <c r="DS19" s="142" t="n"/>
      <c r="DT19" s="80" t="n"/>
      <c r="DU19" s="142" t="n"/>
      <c r="DV19" s="144" t="n"/>
      <c r="DW19" s="145" t="n"/>
      <c r="DX19" s="169" t="n"/>
      <c r="DY19" s="172" t="n"/>
      <c r="DZ19" s="146" t="n"/>
      <c r="EA19" s="146" t="n"/>
      <c r="EB19" s="146" t="n"/>
      <c r="EC19" s="63" t="n"/>
      <c r="ED19" s="169" t="n"/>
      <c r="EE19" s="64" t="n"/>
      <c r="EF19" s="60" t="n"/>
      <c r="EG19" s="59" t="n"/>
      <c r="EI19" s="174" t="n"/>
      <c r="EJ19" s="175" t="n"/>
      <c r="EK19" s="176" t="n"/>
      <c r="EL19" s="176" t="n"/>
      <c r="EM19" s="176" t="n"/>
      <c r="EN19" s="176" t="n"/>
      <c r="EO19" s="179" t="n"/>
      <c r="EP19" s="179" t="n"/>
      <c r="EQ19" s="178" t="n"/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n"/>
      <c r="FF19" s="181" t="n"/>
      <c r="FG19" s="185" t="n"/>
      <c r="FH19" s="183" t="n"/>
      <c r="FI19" s="178" t="n"/>
      <c r="FJ19" s="176" t="n"/>
      <c r="FK19" s="185" t="n"/>
      <c r="FL19" s="178" t="n"/>
      <c r="FM19" s="176" t="n"/>
      <c r="FN19" s="176" t="n"/>
      <c r="FO19" s="176" t="n"/>
      <c r="FP19" s="176" t="n"/>
      <c r="FQ19" s="176" t="n"/>
      <c r="FR19" s="179" t="n"/>
      <c r="FS19" s="176" t="n"/>
      <c r="FT19" s="179" t="n"/>
      <c r="FU19" s="176" t="n"/>
      <c r="FV19" s="179" t="n"/>
      <c r="FW19" s="179" t="n"/>
      <c r="FX19" s="178" t="n"/>
      <c r="FY19" s="186" t="n"/>
      <c r="FZ19" s="183" t="n"/>
      <c r="GA19" s="176" t="n"/>
      <c r="GB19" s="176" t="n"/>
      <c r="GC19" s="185" t="n"/>
      <c r="GD19" s="185" t="n"/>
      <c r="GE19" s="176" t="n"/>
      <c r="GF19" s="176" t="n"/>
      <c r="GG19" s="179" t="n"/>
      <c r="GH19" s="181" t="n"/>
      <c r="GI19" s="183" t="n"/>
      <c r="GJ19" s="183" t="n"/>
      <c r="GK19" s="176" t="n"/>
      <c r="GL19" s="176" t="n"/>
      <c r="GM19" s="176" t="n"/>
      <c r="GN19" s="183" t="n"/>
      <c r="GO19" s="183" t="n"/>
      <c r="GP19" s="183" t="n"/>
      <c r="GQ19" s="183" t="n"/>
      <c r="GR19" s="183" t="n"/>
      <c r="GS19" s="181" t="n"/>
      <c r="GT19" s="181" t="n"/>
    </row>
    <row r="20" ht="102" customFormat="1" customHeight="1" s="11">
      <c r="A20" s="43" t="n"/>
      <c r="B20" s="47" t="n"/>
      <c r="C20" s="44" t="n"/>
      <c r="D20" s="130" t="n"/>
      <c r="E20" s="48" t="n"/>
      <c r="F20" s="43" t="n"/>
      <c r="G20" s="43" t="n"/>
      <c r="H20" s="43" t="n"/>
      <c r="I20" s="131" t="n"/>
      <c r="J20" s="148" t="n"/>
      <c r="K20" s="133" t="n"/>
      <c r="M20" s="67" t="n"/>
      <c r="R20" s="67" t="n"/>
      <c r="S20" s="67" t="n"/>
      <c r="T20" s="147" t="n"/>
      <c r="U20" s="147" t="n"/>
      <c r="V20" s="169" t="n"/>
      <c r="W20" s="169" t="n"/>
      <c r="X20" s="170" t="n"/>
      <c r="Y20" s="26" t="n"/>
      <c r="Z20" s="137" t="n"/>
      <c r="AA20" s="137" t="n"/>
      <c r="AB20" s="137" t="n"/>
      <c r="AC20" s="137" t="n"/>
      <c r="AD20" s="137" t="n"/>
      <c r="AE20" s="137" t="n"/>
      <c r="AF20" s="137" t="n"/>
      <c r="AG20" s="137" t="n"/>
      <c r="AH20" s="137" t="n"/>
      <c r="AI20" s="137" t="n"/>
      <c r="AJ20" s="137" t="n"/>
      <c r="AK20" s="137" t="n"/>
      <c r="AL20" s="137" t="n"/>
      <c r="AM20" s="137" t="n"/>
      <c r="AN20" s="137" t="n"/>
      <c r="AO20" s="137" t="n"/>
      <c r="AP20" s="137" t="n"/>
      <c r="AQ20" s="137" t="n"/>
      <c r="AR20" s="142" t="n"/>
      <c r="AS20" s="142" t="n"/>
      <c r="AT20" s="84" t="n"/>
      <c r="AU20" s="51" t="n"/>
      <c r="AV20" s="51" t="n"/>
      <c r="AW20" s="136" t="n"/>
      <c r="AX20" s="137" t="n"/>
      <c r="AY20" s="117" t="n"/>
      <c r="AZ20" s="117" t="n"/>
      <c r="BA20" s="117" t="n"/>
      <c r="BB20" s="138" t="n"/>
      <c r="BC20" s="139" t="n"/>
      <c r="BD20" s="80" t="n"/>
      <c r="BE20" s="161" t="n"/>
      <c r="BF20" s="161" t="n"/>
      <c r="BG20" s="161" t="n"/>
      <c r="BH20" s="161" t="n"/>
      <c r="BI20" s="161" t="n"/>
      <c r="BJ20" s="162" t="n"/>
      <c r="BK20" s="163" t="n"/>
      <c r="BL20" s="161" t="n"/>
      <c r="BM20" s="164" t="n"/>
      <c r="BN20" s="165" t="n"/>
      <c r="BO20" s="51" t="n"/>
      <c r="BP20" s="135" t="n"/>
      <c r="BQ20" s="135" t="n"/>
      <c r="BR20" s="137" t="n"/>
      <c r="BS20" s="51" t="n"/>
      <c r="BT20" s="142" t="n"/>
      <c r="BU20" s="60" t="n"/>
      <c r="BV20" s="89" t="n"/>
      <c r="BW20" s="61" t="n"/>
      <c r="BX20" s="77" t="n"/>
      <c r="BY20" s="77" t="n"/>
      <c r="BZ20" s="78" t="n"/>
      <c r="CA20" s="60" t="n"/>
      <c r="CB20" s="76" t="n"/>
      <c r="CC20" s="140" t="n"/>
      <c r="CD20" s="171" t="n"/>
      <c r="CE20" s="76" t="n"/>
      <c r="CF20" s="89" t="n"/>
      <c r="CG20" s="91" t="n"/>
      <c r="CH20" s="60" t="n"/>
      <c r="CI20" s="141" t="n"/>
      <c r="CJ20" s="141" t="n"/>
      <c r="CK20" s="141" t="n"/>
      <c r="CL20" s="141" t="n"/>
      <c r="CM20" s="141" t="n"/>
      <c r="CN20" s="64" t="n"/>
      <c r="CO20" s="64" t="n"/>
      <c r="CP20" s="64" t="n"/>
      <c r="CQ20" s="141" t="n"/>
      <c r="CR20" s="141" t="n"/>
      <c r="CS20" s="63" t="n"/>
      <c r="CT20" s="64" t="n"/>
      <c r="CU20" s="64" t="n"/>
      <c r="CV20" s="59" t="n"/>
      <c r="CW20" s="64" t="n"/>
      <c r="CX20" s="51" t="n"/>
      <c r="CY20" s="142" t="n"/>
      <c r="CZ20" s="136" t="n"/>
      <c r="DA20" s="143" t="n"/>
      <c r="DB20" s="63" t="n"/>
      <c r="DC20" s="63" t="n"/>
      <c r="DD20" s="59" t="n"/>
      <c r="DE20" s="141" t="n"/>
      <c r="DF20" s="141" t="n"/>
      <c r="DG20" s="63" t="n"/>
      <c r="DH20" s="63" t="n"/>
      <c r="DI20" s="63" t="n"/>
      <c r="DJ20" s="63" t="n"/>
      <c r="DK20" s="169" t="n"/>
      <c r="DL20" s="59" t="n"/>
      <c r="DM20" s="144" t="n"/>
      <c r="DN20" s="142" t="n"/>
      <c r="DO20" s="51" t="n"/>
      <c r="DP20" s="142" t="n"/>
      <c r="DQ20" s="59" t="n"/>
      <c r="DR20" s="63" t="n"/>
      <c r="DS20" s="142" t="n"/>
      <c r="DT20" s="80" t="n"/>
      <c r="DU20" s="142" t="n"/>
      <c r="DV20" s="144" t="n"/>
      <c r="DW20" s="145" t="n"/>
      <c r="DX20" s="169" t="n"/>
      <c r="DY20" s="172" t="n"/>
      <c r="DZ20" s="146" t="n"/>
      <c r="EA20" s="146" t="n"/>
      <c r="EB20" s="146" t="n"/>
      <c r="EC20" s="63" t="n"/>
      <c r="ED20" s="169" t="n"/>
      <c r="EE20" s="64" t="n"/>
      <c r="EF20" s="60" t="n"/>
      <c r="EG20" s="59" t="n"/>
      <c r="EI20" s="174" t="n"/>
      <c r="EJ20" s="175" t="n"/>
      <c r="EK20" s="176" t="n"/>
      <c r="EL20" s="176" t="n"/>
      <c r="EM20" s="176" t="n"/>
      <c r="EN20" s="176" t="n"/>
      <c r="EO20" s="179" t="n"/>
      <c r="EP20" s="179" t="n"/>
      <c r="EQ20" s="178" t="n"/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n"/>
      <c r="FF20" s="181" t="n"/>
      <c r="FG20" s="185" t="n"/>
      <c r="FH20" s="183" t="n"/>
      <c r="FI20" s="178" t="n"/>
      <c r="FJ20" s="176" t="n"/>
      <c r="FK20" s="185" t="n"/>
      <c r="FL20" s="178" t="n"/>
      <c r="FM20" s="176" t="n"/>
      <c r="FN20" s="176" t="n"/>
      <c r="FO20" s="176" t="n"/>
      <c r="FP20" s="176" t="n"/>
      <c r="FQ20" s="176" t="n"/>
      <c r="FR20" s="179" t="n"/>
      <c r="FS20" s="176" t="n"/>
      <c r="FT20" s="179" t="n"/>
      <c r="FU20" s="176" t="n"/>
      <c r="FV20" s="179" t="n"/>
      <c r="FW20" s="179" t="n"/>
      <c r="FX20" s="178" t="n"/>
      <c r="FY20" s="186" t="n"/>
      <c r="FZ20" s="183" t="n"/>
      <c r="GA20" s="176" t="n"/>
      <c r="GB20" s="176" t="n"/>
      <c r="GC20" s="185" t="n"/>
      <c r="GD20" s="185" t="n"/>
      <c r="GE20" s="176" t="n"/>
      <c r="GF20" s="176" t="n"/>
      <c r="GG20" s="179" t="n"/>
      <c r="GH20" s="181" t="n"/>
      <c r="GI20" s="183" t="n"/>
      <c r="GJ20" s="183" t="n"/>
      <c r="GK20" s="176" t="n"/>
      <c r="GL20" s="176" t="n"/>
      <c r="GM20" s="176" t="n"/>
      <c r="GN20" s="183" t="n"/>
      <c r="GO20" s="183" t="n"/>
      <c r="GP20" s="183" t="n"/>
      <c r="GQ20" s="183" t="n"/>
      <c r="GR20" s="183" t="n"/>
      <c r="GS20" s="181" t="n"/>
      <c r="GT20" s="181" t="n"/>
    </row>
    <row r="21" ht="51" customFormat="1" customHeight="1" s="11">
      <c r="A21" s="43" t="n"/>
      <c r="B21" s="47" t="n"/>
      <c r="C21" s="44" t="n"/>
      <c r="D21" s="130" t="n"/>
      <c r="E21" s="48" t="n"/>
      <c r="F21" s="43" t="n"/>
      <c r="G21" s="43" t="n"/>
      <c r="H21" s="43" t="n"/>
      <c r="I21" s="131" t="n"/>
      <c r="J21" s="148" t="n"/>
      <c r="K21" s="133" t="n"/>
      <c r="M21" s="67" t="n"/>
      <c r="R21" s="67" t="n"/>
      <c r="S21" s="67" t="n"/>
      <c r="T21" s="147" t="n"/>
      <c r="U21" s="147" t="n"/>
      <c r="V21" s="169" t="n"/>
      <c r="W21" s="169" t="n"/>
      <c r="X21" s="170" t="n"/>
      <c r="Y21" s="26" t="n"/>
      <c r="Z21" s="137" t="n"/>
      <c r="AA21" s="137" t="n"/>
      <c r="AB21" s="137" t="n"/>
      <c r="AC21" s="137" t="n"/>
      <c r="AD21" s="137" t="n"/>
      <c r="AE21" s="137" t="n"/>
      <c r="AF21" s="137" t="n"/>
      <c r="AG21" s="137" t="n"/>
      <c r="AH21" s="137" t="n"/>
      <c r="AI21" s="137" t="n"/>
      <c r="AJ21" s="137" t="n"/>
      <c r="AK21" s="137" t="n"/>
      <c r="AL21" s="137" t="n"/>
      <c r="AM21" s="137" t="n"/>
      <c r="AN21" s="137" t="n"/>
      <c r="AO21" s="137" t="n"/>
      <c r="AP21" s="137" t="n"/>
      <c r="AQ21" s="137" t="n"/>
      <c r="AR21" s="142" t="n"/>
      <c r="AS21" s="142" t="n"/>
      <c r="AT21" s="84" t="n"/>
      <c r="AU21" s="51" t="n"/>
      <c r="AV21" s="51" t="n"/>
      <c r="AW21" s="136" t="n"/>
      <c r="AX21" s="137" t="n"/>
      <c r="AY21" s="117" t="n"/>
      <c r="AZ21" s="117" t="n"/>
      <c r="BA21" s="117" t="n"/>
      <c r="BB21" s="138" t="n"/>
      <c r="BC21" s="139" t="n"/>
      <c r="BD21" s="80" t="n"/>
      <c r="BE21" s="161" t="n"/>
      <c r="BF21" s="161" t="n"/>
      <c r="BG21" s="161" t="n"/>
      <c r="BH21" s="161" t="n"/>
      <c r="BI21" s="161" t="n"/>
      <c r="BJ21" s="162" t="n"/>
      <c r="BK21" s="163" t="n"/>
      <c r="BL21" s="161" t="n"/>
      <c r="BM21" s="164" t="n"/>
      <c r="BN21" s="165" t="n"/>
      <c r="BO21" s="51" t="n"/>
      <c r="BP21" s="135" t="n"/>
      <c r="BQ21" s="135" t="n"/>
      <c r="BR21" s="137" t="n"/>
      <c r="BS21" s="51" t="n"/>
      <c r="BT21" s="142" t="n"/>
      <c r="BU21" s="60" t="n"/>
      <c r="BV21" s="89" t="n"/>
      <c r="BW21" s="61" t="n"/>
      <c r="BX21" s="77" t="n"/>
      <c r="BY21" s="77" t="n"/>
      <c r="BZ21" s="78" t="n"/>
      <c r="CA21" s="60" t="n"/>
      <c r="CB21" s="76" t="n"/>
      <c r="CC21" s="140" t="n"/>
      <c r="CD21" s="171" t="n"/>
      <c r="CE21" s="76" t="n"/>
      <c r="CF21" s="89" t="n"/>
      <c r="CG21" s="91" t="n"/>
      <c r="CH21" s="60" t="n"/>
      <c r="CI21" s="141" t="n"/>
      <c r="CJ21" s="141" t="n"/>
      <c r="CK21" s="141" t="n"/>
      <c r="CL21" s="141" t="n"/>
      <c r="CM21" s="141" t="n"/>
      <c r="CN21" s="64" t="n"/>
      <c r="CO21" s="64" t="n"/>
      <c r="CP21" s="64" t="n"/>
      <c r="CQ21" s="141" t="n"/>
      <c r="CR21" s="141" t="n"/>
      <c r="CS21" s="63" t="n"/>
      <c r="CT21" s="64" t="n"/>
      <c r="CU21" s="64" t="n"/>
      <c r="CV21" s="59" t="n"/>
      <c r="CW21" s="64" t="n"/>
      <c r="CX21" s="51" t="n"/>
      <c r="CY21" s="142" t="n"/>
      <c r="CZ21" s="136" t="n"/>
      <c r="DA21" s="143" t="n"/>
      <c r="DB21" s="63" t="n"/>
      <c r="DC21" s="63" t="n"/>
      <c r="DD21" s="59" t="n"/>
      <c r="DE21" s="141" t="n"/>
      <c r="DF21" s="141" t="n"/>
      <c r="DG21" s="63" t="n"/>
      <c r="DH21" s="63" t="n"/>
      <c r="DI21" s="63" t="n"/>
      <c r="DJ21" s="63" t="n"/>
      <c r="DK21" s="169" t="n"/>
      <c r="DL21" s="59" t="n"/>
      <c r="DM21" s="144" t="n"/>
      <c r="DN21" s="142" t="n"/>
      <c r="DO21" s="51" t="n"/>
      <c r="DP21" s="142" t="n"/>
      <c r="DQ21" s="59" t="n"/>
      <c r="DR21" s="63" t="n"/>
      <c r="DS21" s="142" t="n"/>
      <c r="DT21" s="80" t="n"/>
      <c r="DU21" s="142" t="n"/>
      <c r="DV21" s="144" t="n"/>
      <c r="DW21" s="145" t="n"/>
      <c r="DX21" s="169" t="n"/>
      <c r="DY21" s="172" t="n"/>
      <c r="DZ21" s="146" t="n"/>
      <c r="EA21" s="146" t="n"/>
      <c r="EB21" s="146" t="n"/>
      <c r="EC21" s="63" t="n"/>
      <c r="ED21" s="169" t="n"/>
      <c r="EE21" s="64" t="n"/>
      <c r="EF21" s="60" t="n"/>
      <c r="EG21" s="59" t="n"/>
      <c r="EI21" s="174" t="n"/>
      <c r="EJ21" s="175" t="n"/>
      <c r="EK21" s="176" t="n"/>
      <c r="EL21" s="176" t="n"/>
      <c r="EM21" s="176" t="n"/>
      <c r="EN21" s="176" t="n"/>
      <c r="EO21" s="179" t="n"/>
      <c r="EP21" s="179" t="n"/>
      <c r="EQ21" s="178" t="n"/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n"/>
      <c r="FF21" s="181" t="n"/>
      <c r="FG21" s="185" t="n"/>
      <c r="FH21" s="183" t="n"/>
      <c r="FI21" s="178" t="n"/>
      <c r="FJ21" s="176" t="n"/>
      <c r="FK21" s="185" t="n"/>
      <c r="FL21" s="178" t="n"/>
      <c r="FM21" s="176" t="n"/>
      <c r="FN21" s="176" t="n"/>
      <c r="FO21" s="176" t="n"/>
      <c r="FP21" s="176" t="n"/>
      <c r="FQ21" s="176" t="n"/>
      <c r="FR21" s="179" t="n"/>
      <c r="FS21" s="176" t="n"/>
      <c r="FT21" s="179" t="n"/>
      <c r="FU21" s="176" t="n"/>
      <c r="FV21" s="179" t="n"/>
      <c r="FW21" s="179" t="n"/>
      <c r="FX21" s="178" t="n"/>
      <c r="FY21" s="186" t="n"/>
      <c r="FZ21" s="183" t="n"/>
      <c r="GA21" s="176" t="n"/>
      <c r="GB21" s="176" t="n"/>
      <c r="GC21" s="185" t="n"/>
      <c r="GD21" s="185" t="n"/>
      <c r="GE21" s="176" t="n"/>
      <c r="GF21" s="176" t="n"/>
      <c r="GG21" s="179" t="n"/>
      <c r="GH21" s="181" t="n"/>
      <c r="GI21" s="183" t="n"/>
      <c r="GJ21" s="183" t="n"/>
      <c r="GK21" s="176" t="n"/>
      <c r="GL21" s="176" t="n"/>
      <c r="GM21" s="176" t="n"/>
      <c r="GN21" s="183" t="n"/>
      <c r="GO21" s="183" t="n"/>
      <c r="GP21" s="183" t="n"/>
      <c r="GQ21" s="183" t="n"/>
      <c r="GR21" s="183" t="n"/>
      <c r="GS21" s="181" t="n"/>
      <c r="GT21" s="181" t="n"/>
    </row>
    <row r="22" ht="51" customFormat="1" customHeight="1" s="11">
      <c r="A22" s="43" t="n"/>
      <c r="B22" s="47" t="n"/>
      <c r="C22" s="44" t="n"/>
      <c r="D22" s="130" t="n"/>
      <c r="E22" s="48" t="n"/>
      <c r="F22" s="43" t="n"/>
      <c r="G22" s="43" t="n"/>
      <c r="H22" s="43" t="n"/>
      <c r="I22" s="131" t="n"/>
      <c r="J22" s="148" t="n"/>
      <c r="K22" s="133" t="n"/>
      <c r="M22" s="67" t="n"/>
      <c r="R22" s="67" t="n"/>
      <c r="S22" s="67" t="n"/>
      <c r="T22" s="147" t="n"/>
      <c r="U22" s="147" t="n"/>
      <c r="V22" s="169" t="n"/>
      <c r="W22" s="169" t="n"/>
      <c r="X22" s="170" t="n"/>
      <c r="Y22" s="26" t="n"/>
      <c r="Z22" s="137" t="n"/>
      <c r="AA22" s="137" t="n"/>
      <c r="AB22" s="137" t="n"/>
      <c r="AC22" s="137" t="n"/>
      <c r="AD22" s="137" t="n"/>
      <c r="AE22" s="137" t="n"/>
      <c r="AF22" s="137" t="n"/>
      <c r="AG22" s="137" t="n"/>
      <c r="AH22" s="137" t="n"/>
      <c r="AI22" s="137" t="n"/>
      <c r="AJ22" s="137" t="n"/>
      <c r="AK22" s="137" t="n"/>
      <c r="AL22" s="137" t="n"/>
      <c r="AM22" s="137" t="n"/>
      <c r="AN22" s="137" t="n"/>
      <c r="AO22" s="137" t="n"/>
      <c r="AP22" s="137" t="n"/>
      <c r="AQ22" s="137" t="n"/>
      <c r="AR22" s="142" t="n"/>
      <c r="AS22" s="142" t="n"/>
      <c r="AT22" s="84" t="n"/>
      <c r="AU22" s="51" t="n"/>
      <c r="AV22" s="51" t="n"/>
      <c r="AW22" s="136" t="n"/>
      <c r="AX22" s="137" t="n"/>
      <c r="AY22" s="117" t="n"/>
      <c r="AZ22" s="117" t="n"/>
      <c r="BA22" s="117" t="n"/>
      <c r="BB22" s="138" t="n"/>
      <c r="BC22" s="139" t="n"/>
      <c r="BD22" s="80" t="n"/>
      <c r="BE22" s="161" t="n"/>
      <c r="BF22" s="161" t="n"/>
      <c r="BG22" s="161" t="n"/>
      <c r="BH22" s="161" t="n"/>
      <c r="BI22" s="161" t="n"/>
      <c r="BJ22" s="162" t="n"/>
      <c r="BK22" s="163" t="n"/>
      <c r="BL22" s="161" t="n"/>
      <c r="BM22" s="164" t="n"/>
      <c r="BN22" s="165" t="n"/>
      <c r="BO22" s="51" t="n"/>
      <c r="BP22" s="135" t="n"/>
      <c r="BQ22" s="135" t="n"/>
      <c r="BR22" s="137" t="n"/>
      <c r="BS22" s="51" t="n"/>
      <c r="BT22" s="142" t="n"/>
      <c r="BU22" s="60" t="n"/>
      <c r="BV22" s="89" t="n"/>
      <c r="BW22" s="61" t="n"/>
      <c r="BX22" s="77" t="n"/>
      <c r="BY22" s="77" t="n"/>
      <c r="BZ22" s="78" t="n"/>
      <c r="CA22" s="60" t="n"/>
      <c r="CB22" s="76" t="n"/>
      <c r="CC22" s="140" t="n"/>
      <c r="CD22" s="171" t="n"/>
      <c r="CE22" s="76" t="n"/>
      <c r="CF22" s="89" t="n"/>
      <c r="CG22" s="91" t="n"/>
      <c r="CH22" s="60" t="n"/>
      <c r="CI22" s="141" t="n"/>
      <c r="CJ22" s="141" t="n"/>
      <c r="CK22" s="141" t="n"/>
      <c r="CL22" s="141" t="n"/>
      <c r="CM22" s="141" t="n"/>
      <c r="CN22" s="64" t="n"/>
      <c r="CO22" s="64" t="n"/>
      <c r="CP22" s="64" t="n"/>
      <c r="CQ22" s="141" t="n"/>
      <c r="CR22" s="141" t="n"/>
      <c r="CS22" s="63" t="n"/>
      <c r="CT22" s="64" t="n"/>
      <c r="CU22" s="64" t="n"/>
      <c r="CV22" s="59" t="n"/>
      <c r="CW22" s="64" t="n"/>
      <c r="CX22" s="51" t="n"/>
      <c r="CY22" s="142" t="n"/>
      <c r="CZ22" s="136" t="n"/>
      <c r="DA22" s="143" t="n"/>
      <c r="DB22" s="63" t="n"/>
      <c r="DC22" s="63" t="n"/>
      <c r="DD22" s="59" t="n"/>
      <c r="DE22" s="141" t="n"/>
      <c r="DF22" s="141" t="n"/>
      <c r="DG22" s="63" t="n"/>
      <c r="DH22" s="63" t="n"/>
      <c r="DI22" s="63" t="n"/>
      <c r="DJ22" s="63" t="n"/>
      <c r="DK22" s="169" t="n"/>
      <c r="DL22" s="59" t="n"/>
      <c r="DM22" s="144" t="n"/>
      <c r="DN22" s="142" t="n"/>
      <c r="DO22" s="51" t="n"/>
      <c r="DP22" s="142" t="n"/>
      <c r="DQ22" s="59" t="n"/>
      <c r="DR22" s="63" t="n"/>
      <c r="DS22" s="142" t="n"/>
      <c r="DT22" s="80" t="n"/>
      <c r="DU22" s="142" t="n"/>
      <c r="DV22" s="144" t="n"/>
      <c r="DW22" s="145" t="n"/>
      <c r="DX22" s="169" t="n"/>
      <c r="DY22" s="172" t="n"/>
      <c r="DZ22" s="146" t="n"/>
      <c r="EA22" s="146" t="n"/>
      <c r="EB22" s="146" t="n"/>
      <c r="EC22" s="63" t="n"/>
      <c r="ED22" s="169" t="n"/>
      <c r="EE22" s="64" t="n"/>
      <c r="EF22" s="60" t="n"/>
      <c r="EG22" s="59" t="n"/>
      <c r="EI22" s="174" t="n"/>
      <c r="EJ22" s="175" t="n"/>
      <c r="EK22" s="176" t="n"/>
      <c r="EL22" s="176" t="n"/>
      <c r="EM22" s="176" t="n"/>
      <c r="EN22" s="176" t="n"/>
      <c r="EO22" s="179" t="n"/>
      <c r="EP22" s="179" t="n"/>
      <c r="EQ22" s="178" t="n"/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n"/>
      <c r="FF22" s="181" t="n"/>
      <c r="FG22" s="185" t="n"/>
      <c r="FH22" s="183" t="n"/>
      <c r="FI22" s="178" t="n"/>
      <c r="FJ22" s="176" t="n"/>
      <c r="FK22" s="185" t="n"/>
      <c r="FL22" s="178" t="n"/>
      <c r="FM22" s="176" t="n"/>
      <c r="FN22" s="176" t="n"/>
      <c r="FO22" s="176" t="n"/>
      <c r="FP22" s="176" t="n"/>
      <c r="FQ22" s="176" t="n"/>
      <c r="FR22" s="179" t="n"/>
      <c r="FS22" s="176" t="n"/>
      <c r="FT22" s="179" t="n"/>
      <c r="FU22" s="176" t="n"/>
      <c r="FV22" s="179" t="n"/>
      <c r="FW22" s="179" t="n"/>
      <c r="FX22" s="178" t="n"/>
      <c r="FY22" s="186" t="n"/>
      <c r="FZ22" s="183" t="n"/>
      <c r="GA22" s="176" t="n"/>
      <c r="GB22" s="176" t="n"/>
      <c r="GC22" s="185" t="n"/>
      <c r="GD22" s="185" t="n"/>
      <c r="GE22" s="176" t="n"/>
      <c r="GF22" s="176" t="n"/>
      <c r="GG22" s="179" t="n"/>
      <c r="GH22" s="181" t="n"/>
      <c r="GI22" s="183" t="n"/>
      <c r="GJ22" s="183" t="n"/>
      <c r="GK22" s="176" t="n"/>
      <c r="GL22" s="176" t="n"/>
      <c r="GM22" s="176" t="n"/>
      <c r="GN22" s="183" t="n"/>
      <c r="GO22" s="183" t="n"/>
      <c r="GP22" s="183" t="n"/>
      <c r="GQ22" s="183" t="n"/>
      <c r="GR22" s="183" t="n"/>
      <c r="GS22" s="181" t="n"/>
      <c r="GT22" s="181" t="n"/>
    </row>
    <row r="23" ht="68" customFormat="1" customHeight="1" s="11">
      <c r="A23" s="43" t="n"/>
      <c r="B23" s="47" t="n"/>
      <c r="C23" s="44" t="n"/>
      <c r="D23" s="130" t="n"/>
      <c r="E23" s="48" t="n"/>
      <c r="F23" s="43" t="n"/>
      <c r="G23" s="43" t="n"/>
      <c r="H23" s="43" t="n"/>
      <c r="I23" s="131" t="n"/>
      <c r="J23" s="148" t="n"/>
      <c r="K23" s="133" t="n"/>
      <c r="M23" s="67" t="n"/>
      <c r="R23" s="67" t="n"/>
      <c r="S23" s="67" t="n"/>
      <c r="T23" s="147" t="n"/>
      <c r="U23" s="147" t="n"/>
      <c r="V23" s="169" t="n"/>
      <c r="W23" s="169" t="n"/>
      <c r="X23" s="170" t="n"/>
      <c r="Y23" s="26" t="n"/>
      <c r="Z23" s="137" t="n"/>
      <c r="AA23" s="137" t="n"/>
      <c r="AB23" s="137" t="n"/>
      <c r="AC23" s="137" t="n"/>
      <c r="AD23" s="137" t="n"/>
      <c r="AE23" s="137" t="n"/>
      <c r="AF23" s="137" t="n"/>
      <c r="AG23" s="137" t="n"/>
      <c r="AH23" s="137" t="n"/>
      <c r="AI23" s="137" t="n"/>
      <c r="AJ23" s="137" t="n"/>
      <c r="AK23" s="137" t="n"/>
      <c r="AL23" s="137" t="n"/>
      <c r="AM23" s="137" t="n"/>
      <c r="AN23" s="137" t="n"/>
      <c r="AO23" s="137" t="n"/>
      <c r="AP23" s="137" t="n"/>
      <c r="AQ23" s="137" t="n"/>
      <c r="AR23" s="142" t="n"/>
      <c r="AS23" s="142" t="n"/>
      <c r="AT23" s="84" t="n"/>
      <c r="AU23" s="51" t="n"/>
      <c r="AV23" s="51" t="n"/>
      <c r="AW23" s="136" t="n"/>
      <c r="AX23" s="137" t="n"/>
      <c r="AY23" s="117" t="n"/>
      <c r="AZ23" s="117" t="n"/>
      <c r="BA23" s="117" t="n"/>
      <c r="BB23" s="138" t="n"/>
      <c r="BC23" s="139" t="n"/>
      <c r="BD23" s="80" t="n"/>
      <c r="BE23" s="161" t="n"/>
      <c r="BF23" s="161" t="n"/>
      <c r="BG23" s="161" t="n"/>
      <c r="BH23" s="161" t="n"/>
      <c r="BI23" s="161" t="n"/>
      <c r="BJ23" s="162" t="n"/>
      <c r="BK23" s="163" t="n"/>
      <c r="BL23" s="161" t="n"/>
      <c r="BM23" s="164" t="n"/>
      <c r="BN23" s="165" t="n"/>
      <c r="BO23" s="51" t="n"/>
      <c r="BP23" s="135" t="n"/>
      <c r="BQ23" s="135" t="n"/>
      <c r="BR23" s="137" t="n"/>
      <c r="BS23" s="51" t="n"/>
      <c r="BT23" s="142" t="n"/>
      <c r="BU23" s="60" t="n"/>
      <c r="BV23" s="89" t="n"/>
      <c r="BW23" s="61" t="n"/>
      <c r="BX23" s="77" t="n"/>
      <c r="BY23" s="77" t="n"/>
      <c r="BZ23" s="78" t="n"/>
      <c r="CA23" s="60" t="n"/>
      <c r="CB23" s="76" t="n"/>
      <c r="CC23" s="140" t="n"/>
      <c r="CD23" s="171" t="n"/>
      <c r="CE23" s="76" t="n"/>
      <c r="CF23" s="89" t="n"/>
      <c r="CG23" s="91" t="n"/>
      <c r="CH23" s="60" t="n"/>
      <c r="CI23" s="141" t="n"/>
      <c r="CJ23" s="141" t="n"/>
      <c r="CK23" s="141" t="n"/>
      <c r="CL23" s="141" t="n"/>
      <c r="CM23" s="141" t="n"/>
      <c r="CN23" s="64" t="n"/>
      <c r="CO23" s="64" t="n"/>
      <c r="CP23" s="64" t="n"/>
      <c r="CQ23" s="141" t="n"/>
      <c r="CR23" s="141" t="n"/>
      <c r="CS23" s="63" t="n"/>
      <c r="CT23" s="64" t="n"/>
      <c r="CU23" s="64" t="n"/>
      <c r="CV23" s="59" t="n"/>
      <c r="CW23" s="64" t="n"/>
      <c r="CX23" s="51" t="n"/>
      <c r="CY23" s="142" t="n"/>
      <c r="CZ23" s="136" t="n"/>
      <c r="DA23" s="143" t="n"/>
      <c r="DB23" s="63" t="n"/>
      <c r="DC23" s="63" t="n"/>
      <c r="DD23" s="59" t="n"/>
      <c r="DE23" s="141" t="n"/>
      <c r="DF23" s="141" t="n"/>
      <c r="DG23" s="63" t="n"/>
      <c r="DH23" s="63" t="n"/>
      <c r="DI23" s="63" t="n"/>
      <c r="DJ23" s="63" t="n"/>
      <c r="DK23" s="169" t="n"/>
      <c r="DL23" s="59" t="n"/>
      <c r="DM23" s="144" t="n"/>
      <c r="DN23" s="142" t="n"/>
      <c r="DO23" s="51" t="n"/>
      <c r="DP23" s="142" t="n"/>
      <c r="DQ23" s="59" t="n"/>
      <c r="DR23" s="63" t="n"/>
      <c r="DS23" s="142" t="n"/>
      <c r="DT23" s="80" t="n"/>
      <c r="DU23" s="142" t="n"/>
      <c r="DV23" s="144" t="n"/>
      <c r="DW23" s="145" t="n"/>
      <c r="DX23" s="169" t="n"/>
      <c r="DY23" s="172" t="n"/>
      <c r="DZ23" s="146" t="n"/>
      <c r="EA23" s="146" t="n"/>
      <c r="EB23" s="146" t="n"/>
      <c r="EC23" s="63" t="n"/>
      <c r="ED23" s="169" t="n"/>
      <c r="EE23" s="64" t="n"/>
      <c r="EF23" s="60" t="n"/>
      <c r="EG23" s="59" t="n"/>
      <c r="EI23" s="174" t="n"/>
      <c r="EJ23" s="175" t="n"/>
      <c r="EK23" s="176" t="n"/>
      <c r="EL23" s="176" t="n"/>
      <c r="EM23" s="176" t="n"/>
      <c r="EN23" s="176" t="n"/>
      <c r="EO23" s="179" t="n"/>
      <c r="EP23" s="179" t="n"/>
      <c r="EQ23" s="178" t="n"/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n"/>
      <c r="FF23" s="181" t="n"/>
      <c r="FG23" s="185" t="n"/>
      <c r="FH23" s="183" t="n"/>
      <c r="FI23" s="178" t="n"/>
      <c r="FJ23" s="176" t="n"/>
      <c r="FK23" s="185" t="n"/>
      <c r="FL23" s="178" t="n"/>
      <c r="FM23" s="176" t="n"/>
      <c r="FN23" s="176" t="n"/>
      <c r="FO23" s="176" t="n"/>
      <c r="FP23" s="176" t="n"/>
      <c r="FQ23" s="176" t="n"/>
      <c r="FR23" s="179" t="n"/>
      <c r="FS23" s="176" t="n"/>
      <c r="FT23" s="179" t="n"/>
      <c r="FU23" s="176" t="n"/>
      <c r="FV23" s="179" t="n"/>
      <c r="FW23" s="179" t="n"/>
      <c r="FX23" s="178" t="n"/>
      <c r="FY23" s="186" t="n"/>
      <c r="FZ23" s="183" t="n"/>
      <c r="GA23" s="176" t="n"/>
      <c r="GB23" s="176" t="n"/>
      <c r="GC23" s="185" t="n"/>
      <c r="GD23" s="185" t="n"/>
      <c r="GE23" s="176" t="n"/>
      <c r="GF23" s="176" t="n"/>
      <c r="GG23" s="179" t="n"/>
      <c r="GH23" s="181" t="n"/>
      <c r="GI23" s="183" t="n"/>
      <c r="GJ23" s="183" t="n"/>
      <c r="GK23" s="176" t="n"/>
      <c r="GL23" s="176" t="n"/>
      <c r="GM23" s="176" t="n"/>
      <c r="GN23" s="183" t="n"/>
      <c r="GO23" s="183" t="n"/>
      <c r="GP23" s="183" t="n"/>
      <c r="GQ23" s="183" t="n"/>
      <c r="GR23" s="183" t="n"/>
      <c r="GS23" s="181" t="n"/>
      <c r="GT23" s="181" t="n"/>
    </row>
    <row r="24" ht="68" customFormat="1" customHeight="1" s="11">
      <c r="A24" s="43" t="n"/>
      <c r="B24" s="47" t="n"/>
      <c r="C24" s="44" t="n"/>
      <c r="D24" s="130" t="n"/>
      <c r="E24" s="48" t="n"/>
      <c r="F24" s="43" t="n"/>
      <c r="G24" s="43" t="n"/>
      <c r="H24" s="43" t="n"/>
      <c r="I24" s="131" t="n"/>
      <c r="J24" s="148" t="n"/>
      <c r="K24" s="133" t="n"/>
      <c r="M24" s="67" t="n"/>
      <c r="R24" s="67" t="n"/>
      <c r="S24" s="67" t="n"/>
      <c r="T24" s="147" t="n"/>
      <c r="U24" s="147" t="n"/>
      <c r="V24" s="169" t="n"/>
      <c r="W24" s="169" t="n"/>
      <c r="X24" s="170" t="n"/>
      <c r="Y24" s="26" t="n"/>
      <c r="Z24" s="137" t="n"/>
      <c r="AA24" s="137" t="n"/>
      <c r="AB24" s="137" t="n"/>
      <c r="AC24" s="137" t="n"/>
      <c r="AD24" s="137" t="n"/>
      <c r="AE24" s="137" t="n"/>
      <c r="AF24" s="137" t="n"/>
      <c r="AG24" s="137" t="n"/>
      <c r="AH24" s="137" t="n"/>
      <c r="AI24" s="137" t="n"/>
      <c r="AJ24" s="137" t="n"/>
      <c r="AK24" s="137" t="n"/>
      <c r="AL24" s="137" t="n"/>
      <c r="AM24" s="137" t="n"/>
      <c r="AN24" s="137" t="n"/>
      <c r="AO24" s="137" t="n"/>
      <c r="AP24" s="137" t="n"/>
      <c r="AQ24" s="137" t="n"/>
      <c r="AR24" s="142" t="n"/>
      <c r="AS24" s="142" t="n"/>
      <c r="AT24" s="84" t="n"/>
      <c r="AU24" s="51" t="n"/>
      <c r="AV24" s="51" t="n"/>
      <c r="AW24" s="136" t="n"/>
      <c r="AX24" s="137" t="n"/>
      <c r="AY24" s="117" t="n"/>
      <c r="AZ24" s="117" t="n"/>
      <c r="BA24" s="117" t="n"/>
      <c r="BB24" s="138" t="n"/>
      <c r="BC24" s="139" t="n"/>
      <c r="BD24" s="80" t="n"/>
      <c r="BE24" s="161" t="n"/>
      <c r="BF24" s="161" t="n"/>
      <c r="BG24" s="161" t="n"/>
      <c r="BH24" s="161" t="n"/>
      <c r="BI24" s="161" t="n"/>
      <c r="BJ24" s="162" t="n"/>
      <c r="BK24" s="163" t="n"/>
      <c r="BL24" s="161" t="n"/>
      <c r="BM24" s="164" t="n"/>
      <c r="BN24" s="165" t="n"/>
      <c r="BO24" s="51" t="n"/>
      <c r="BP24" s="135" t="n"/>
      <c r="BQ24" s="135" t="n"/>
      <c r="BR24" s="137" t="n"/>
      <c r="BS24" s="51" t="n"/>
      <c r="BT24" s="142" t="n"/>
      <c r="BU24" s="60" t="n"/>
      <c r="BV24" s="89" t="n"/>
      <c r="BW24" s="61" t="n"/>
      <c r="BX24" s="77" t="n"/>
      <c r="BY24" s="77" t="n"/>
      <c r="BZ24" s="78" t="n"/>
      <c r="CA24" s="60" t="n"/>
      <c r="CB24" s="76" t="n"/>
      <c r="CC24" s="140" t="n"/>
      <c r="CD24" s="171" t="n"/>
      <c r="CE24" s="76" t="n"/>
      <c r="CF24" s="89" t="n"/>
      <c r="CG24" s="91" t="n"/>
      <c r="CH24" s="60" t="n"/>
      <c r="CI24" s="141" t="n"/>
      <c r="CJ24" s="141" t="n"/>
      <c r="CK24" s="141" t="n"/>
      <c r="CL24" s="141" t="n"/>
      <c r="CM24" s="141" t="n"/>
      <c r="CN24" s="64" t="n"/>
      <c r="CO24" s="64" t="n"/>
      <c r="CP24" s="64" t="n"/>
      <c r="CQ24" s="141" t="n"/>
      <c r="CR24" s="141" t="n"/>
      <c r="CS24" s="63" t="n"/>
      <c r="CT24" s="64" t="n"/>
      <c r="CU24" s="64" t="n"/>
      <c r="CV24" s="59" t="n"/>
      <c r="CW24" s="64" t="n"/>
      <c r="CX24" s="51" t="n"/>
      <c r="CY24" s="142" t="n"/>
      <c r="CZ24" s="136" t="n"/>
      <c r="DA24" s="143" t="n"/>
      <c r="DB24" s="63" t="n"/>
      <c r="DC24" s="63" t="n"/>
      <c r="DD24" s="59" t="n"/>
      <c r="DE24" s="141" t="n"/>
      <c r="DF24" s="141" t="n"/>
      <c r="DG24" s="63" t="n"/>
      <c r="DH24" s="63" t="n"/>
      <c r="DI24" s="63" t="n"/>
      <c r="DJ24" s="63" t="n"/>
      <c r="DK24" s="169" t="n"/>
      <c r="DL24" s="59" t="n"/>
      <c r="DM24" s="144" t="n"/>
      <c r="DN24" s="142" t="n"/>
      <c r="DO24" s="51" t="n"/>
      <c r="DP24" s="142" t="n"/>
      <c r="DQ24" s="59" t="n"/>
      <c r="DR24" s="63" t="n"/>
      <c r="DS24" s="142" t="n"/>
      <c r="DT24" s="80" t="n"/>
      <c r="DU24" s="142" t="n"/>
      <c r="DV24" s="144" t="n"/>
      <c r="DW24" s="145" t="n"/>
      <c r="DX24" s="169" t="n"/>
      <c r="DY24" s="172" t="n"/>
      <c r="DZ24" s="146" t="n"/>
      <c r="EA24" s="146" t="n"/>
      <c r="EB24" s="146" t="n"/>
      <c r="EC24" s="63" t="n"/>
      <c r="ED24" s="169" t="n"/>
      <c r="EE24" s="64" t="n"/>
      <c r="EF24" s="60" t="n"/>
      <c r="EG24" s="59" t="n"/>
      <c r="EI24" s="174" t="n"/>
      <c r="EJ24" s="175" t="n"/>
      <c r="EK24" s="176" t="n"/>
      <c r="EL24" s="176" t="n"/>
      <c r="EM24" s="176" t="n"/>
      <c r="EN24" s="176" t="n"/>
      <c r="EO24" s="179" t="n"/>
      <c r="EP24" s="179" t="n"/>
      <c r="EQ24" s="178" t="n"/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n"/>
      <c r="FF24" s="181" t="n"/>
      <c r="FG24" s="185" t="n"/>
      <c r="FH24" s="183" t="n"/>
      <c r="FI24" s="178" t="n"/>
      <c r="FJ24" s="176" t="n"/>
      <c r="FK24" s="185" t="n"/>
      <c r="FL24" s="178" t="n"/>
      <c r="FM24" s="176" t="n"/>
      <c r="FN24" s="176" t="n"/>
      <c r="FO24" s="176" t="n"/>
      <c r="FP24" s="176" t="n"/>
      <c r="FQ24" s="176" t="n"/>
      <c r="FR24" s="179" t="n"/>
      <c r="FS24" s="176" t="n"/>
      <c r="FT24" s="179" t="n"/>
      <c r="FU24" s="176" t="n"/>
      <c r="FV24" s="179" t="n"/>
      <c r="FW24" s="179" t="n"/>
      <c r="FX24" s="178" t="n"/>
      <c r="FY24" s="186" t="n"/>
      <c r="FZ24" s="183" t="n"/>
      <c r="GA24" s="176" t="n"/>
      <c r="GB24" s="176" t="n"/>
      <c r="GC24" s="185" t="n"/>
      <c r="GD24" s="185" t="n"/>
      <c r="GE24" s="176" t="n"/>
      <c r="GF24" s="176" t="n"/>
      <c r="GG24" s="179" t="n"/>
      <c r="GH24" s="181" t="n"/>
      <c r="GI24" s="183" t="n"/>
      <c r="GJ24" s="183" t="n"/>
      <c r="GK24" s="176" t="n"/>
      <c r="GL24" s="176" t="n"/>
      <c r="GM24" s="176" t="n"/>
      <c r="GN24" s="183" t="n"/>
      <c r="GO24" s="183" t="n"/>
      <c r="GP24" s="183" t="n"/>
      <c r="GQ24" s="183" t="n"/>
      <c r="GR24" s="183" t="n"/>
      <c r="GS24" s="181" t="n"/>
      <c r="GT24" s="181" t="n"/>
    </row>
    <row r="25" ht="51" customFormat="1" customHeight="1" s="11">
      <c r="A25" s="43" t="n"/>
      <c r="B25" s="47" t="n"/>
      <c r="C25" s="44" t="n"/>
      <c r="D25" s="130" t="n"/>
      <c r="E25" s="48" t="n"/>
      <c r="F25" s="43" t="n"/>
      <c r="G25" s="43" t="n"/>
      <c r="H25" s="43" t="n"/>
      <c r="I25" s="131" t="n"/>
      <c r="J25" s="148" t="n"/>
      <c r="K25" s="133" t="n"/>
      <c r="M25" s="67" t="n"/>
      <c r="R25" s="67" t="n"/>
      <c r="S25" s="67" t="n"/>
      <c r="T25" s="147" t="n"/>
      <c r="U25" s="147" t="n"/>
      <c r="V25" s="169" t="n"/>
      <c r="W25" s="169" t="n"/>
      <c r="X25" s="170" t="n"/>
      <c r="Y25" s="26" t="n"/>
      <c r="Z25" s="137" t="n"/>
      <c r="AA25" s="137" t="n"/>
      <c r="AB25" s="137" t="n"/>
      <c r="AC25" s="137" t="n"/>
      <c r="AD25" s="137" t="n"/>
      <c r="AE25" s="137" t="n"/>
      <c r="AF25" s="137" t="n"/>
      <c r="AG25" s="137" t="n"/>
      <c r="AH25" s="137" t="n"/>
      <c r="AI25" s="137" t="n"/>
      <c r="AJ25" s="137" t="n"/>
      <c r="AK25" s="137" t="n"/>
      <c r="AL25" s="137" t="n"/>
      <c r="AM25" s="137" t="n"/>
      <c r="AN25" s="137" t="n"/>
      <c r="AO25" s="137" t="n"/>
      <c r="AP25" s="137" t="n"/>
      <c r="AQ25" s="137" t="n"/>
      <c r="AR25" s="142" t="n"/>
      <c r="AS25" s="142" t="n"/>
      <c r="AT25" s="84" t="n"/>
      <c r="AU25" s="51" t="n"/>
      <c r="AV25" s="51" t="n"/>
      <c r="AW25" s="136" t="n"/>
      <c r="AX25" s="137" t="n"/>
      <c r="AY25" s="117" t="n"/>
      <c r="AZ25" s="117" t="n"/>
      <c r="BA25" s="117" t="n"/>
      <c r="BB25" s="138" t="n"/>
      <c r="BC25" s="139" t="n"/>
      <c r="BD25" s="80" t="n"/>
      <c r="BE25" s="161" t="n"/>
      <c r="BF25" s="161" t="n"/>
      <c r="BG25" s="161" t="n"/>
      <c r="BH25" s="161" t="n"/>
      <c r="BI25" s="161" t="n"/>
      <c r="BJ25" s="162" t="n"/>
      <c r="BK25" s="163" t="n"/>
      <c r="BL25" s="161" t="n"/>
      <c r="BM25" s="164" t="n"/>
      <c r="BN25" s="165" t="n"/>
      <c r="BO25" s="51" t="n"/>
      <c r="BP25" s="135" t="n"/>
      <c r="BQ25" s="135" t="n"/>
      <c r="BR25" s="137" t="n"/>
      <c r="BS25" s="51" t="n"/>
      <c r="BT25" s="142" t="n"/>
      <c r="BU25" s="60" t="n"/>
      <c r="BV25" s="89" t="n"/>
      <c r="BW25" s="61" t="n"/>
      <c r="BX25" s="77" t="n"/>
      <c r="BY25" s="77" t="n"/>
      <c r="BZ25" s="78" t="n"/>
      <c r="CA25" s="60" t="n"/>
      <c r="CB25" s="76" t="n"/>
      <c r="CC25" s="140" t="n"/>
      <c r="CD25" s="171" t="n"/>
      <c r="CE25" s="76" t="n"/>
      <c r="CF25" s="89" t="n"/>
      <c r="CG25" s="91" t="n"/>
      <c r="CH25" s="60" t="n"/>
      <c r="CI25" s="141" t="n"/>
      <c r="CJ25" s="141" t="n"/>
      <c r="CK25" s="141" t="n"/>
      <c r="CL25" s="141" t="n"/>
      <c r="CM25" s="141" t="n"/>
      <c r="CN25" s="64" t="n"/>
      <c r="CO25" s="64" t="n"/>
      <c r="CP25" s="64" t="n"/>
      <c r="CQ25" s="141" t="n"/>
      <c r="CR25" s="141" t="n"/>
      <c r="CS25" s="63" t="n"/>
      <c r="CT25" s="64" t="n"/>
      <c r="CU25" s="64" t="n"/>
      <c r="CV25" s="59" t="n"/>
      <c r="CW25" s="64" t="n"/>
      <c r="CX25" s="51" t="n"/>
      <c r="CY25" s="142" t="n"/>
      <c r="CZ25" s="136" t="n"/>
      <c r="DA25" s="143" t="n"/>
      <c r="DB25" s="63" t="n"/>
      <c r="DC25" s="63" t="n"/>
      <c r="DD25" s="59" t="n"/>
      <c r="DE25" s="141" t="n"/>
      <c r="DF25" s="141" t="n"/>
      <c r="DG25" s="63" t="n"/>
      <c r="DH25" s="63" t="n"/>
      <c r="DI25" s="63" t="n"/>
      <c r="DJ25" s="63" t="n"/>
      <c r="DK25" s="169" t="n"/>
      <c r="DL25" s="59" t="n"/>
      <c r="DM25" s="144" t="n"/>
      <c r="DN25" s="142" t="n"/>
      <c r="DO25" s="51" t="n"/>
      <c r="DP25" s="142" t="n"/>
      <c r="DQ25" s="59" t="n"/>
      <c r="DR25" s="63" t="n"/>
      <c r="DS25" s="142" t="n"/>
      <c r="DT25" s="80" t="n"/>
      <c r="DU25" s="142" t="n"/>
      <c r="DV25" s="144" t="n"/>
      <c r="DW25" s="145" t="n"/>
      <c r="DX25" s="169" t="n"/>
      <c r="DY25" s="172" t="n"/>
      <c r="DZ25" s="146" t="n"/>
      <c r="EA25" s="146" t="n"/>
      <c r="EB25" s="146" t="n"/>
      <c r="EC25" s="63" t="n"/>
      <c r="ED25" s="169" t="n"/>
      <c r="EE25" s="64" t="n"/>
      <c r="EF25" s="60" t="n"/>
      <c r="EG25" s="59" t="n"/>
      <c r="EI25" s="174" t="n"/>
      <c r="EJ25" s="175" t="n"/>
      <c r="EK25" s="176" t="n"/>
      <c r="EL25" s="176" t="n"/>
      <c r="EM25" s="176" t="n"/>
      <c r="EN25" s="176" t="n"/>
      <c r="EO25" s="179" t="n"/>
      <c r="EP25" s="179" t="n"/>
      <c r="EQ25" s="178" t="n"/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n"/>
      <c r="FF25" s="181" t="n"/>
      <c r="FG25" s="185" t="n"/>
      <c r="FH25" s="183" t="n"/>
      <c r="FI25" s="178" t="n"/>
      <c r="FJ25" s="176" t="n"/>
      <c r="FK25" s="185" t="n"/>
      <c r="FL25" s="178" t="n"/>
      <c r="FM25" s="176" t="n"/>
      <c r="FN25" s="176" t="n"/>
      <c r="FO25" s="176" t="n"/>
      <c r="FP25" s="176" t="n"/>
      <c r="FQ25" s="176" t="n"/>
      <c r="FR25" s="179" t="n"/>
      <c r="FS25" s="176" t="n"/>
      <c r="FT25" s="179" t="n"/>
      <c r="FU25" s="176" t="n"/>
      <c r="FV25" s="179" t="n"/>
      <c r="FW25" s="179" t="n"/>
      <c r="FX25" s="178" t="n"/>
      <c r="FY25" s="186" t="n"/>
      <c r="FZ25" s="183" t="n"/>
      <c r="GA25" s="176" t="n"/>
      <c r="GB25" s="176" t="n"/>
      <c r="GC25" s="185" t="n"/>
      <c r="GD25" s="185" t="n"/>
      <c r="GE25" s="176" t="n"/>
      <c r="GF25" s="176" t="n"/>
      <c r="GG25" s="179" t="n"/>
      <c r="GH25" s="181" t="n"/>
      <c r="GI25" s="183" t="n"/>
      <c r="GJ25" s="183" t="n"/>
      <c r="GK25" s="176" t="n"/>
      <c r="GL25" s="176" t="n"/>
      <c r="GM25" s="176" t="n"/>
      <c r="GN25" s="183" t="n"/>
      <c r="GO25" s="183" t="n"/>
      <c r="GP25" s="183" t="n"/>
      <c r="GQ25" s="183" t="n"/>
      <c r="GR25" s="183" t="n"/>
      <c r="GS25" s="181" t="n"/>
      <c r="GT25" s="181" t="n"/>
    </row>
    <row r="26" ht="34" customFormat="1" customHeight="1" s="11">
      <c r="A26" s="43" t="n"/>
      <c r="B26" s="47" t="n"/>
      <c r="C26" s="44" t="n"/>
      <c r="D26" s="130" t="n"/>
      <c r="E26" s="48" t="n"/>
      <c r="F26" s="43" t="n"/>
      <c r="G26" s="43" t="n"/>
      <c r="H26" s="43" t="n"/>
      <c r="I26" s="131" t="n"/>
      <c r="J26" s="148" t="n"/>
      <c r="K26" s="133" t="n"/>
      <c r="M26" s="67" t="n"/>
      <c r="R26" s="67" t="n"/>
      <c r="S26" s="67" t="n"/>
      <c r="T26" s="147" t="n"/>
      <c r="U26" s="147" t="n"/>
      <c r="V26" s="169" t="n"/>
      <c r="W26" s="169" t="n"/>
      <c r="X26" s="170" t="n"/>
      <c r="Y26" s="26" t="n"/>
      <c r="Z26" s="137" t="n"/>
      <c r="AA26" s="137" t="n"/>
      <c r="AB26" s="137" t="n"/>
      <c r="AC26" s="137" t="n"/>
      <c r="AD26" s="137" t="n"/>
      <c r="AE26" s="137" t="n"/>
      <c r="AF26" s="137" t="n"/>
      <c r="AG26" s="137" t="n"/>
      <c r="AH26" s="137" t="n"/>
      <c r="AI26" s="137" t="n"/>
      <c r="AJ26" s="137" t="n"/>
      <c r="AK26" s="137" t="n"/>
      <c r="AL26" s="137" t="n"/>
      <c r="AM26" s="137" t="n"/>
      <c r="AN26" s="137" t="n"/>
      <c r="AO26" s="137" t="n"/>
      <c r="AP26" s="137" t="n"/>
      <c r="AQ26" s="137" t="n"/>
      <c r="AR26" s="142" t="n"/>
      <c r="AS26" s="142" t="n"/>
      <c r="AT26" s="84" t="n"/>
      <c r="AU26" s="51" t="n"/>
      <c r="AV26" s="51" t="n"/>
      <c r="AW26" s="136" t="n"/>
      <c r="AX26" s="137" t="n"/>
      <c r="AY26" s="117" t="n"/>
      <c r="AZ26" s="117" t="n"/>
      <c r="BA26" s="117" t="n"/>
      <c r="BB26" s="138" t="n"/>
      <c r="BC26" s="139" t="n"/>
      <c r="BD26" s="80" t="n"/>
      <c r="BE26" s="161" t="n"/>
      <c r="BF26" s="161" t="n"/>
      <c r="BG26" s="161" t="n"/>
      <c r="BH26" s="161" t="n"/>
      <c r="BI26" s="161" t="n"/>
      <c r="BJ26" s="162" t="n"/>
      <c r="BK26" s="163" t="n"/>
      <c r="BL26" s="161" t="n"/>
      <c r="BM26" s="164" t="n"/>
      <c r="BN26" s="165" t="n"/>
      <c r="BO26" s="51" t="n"/>
      <c r="BP26" s="135" t="n"/>
      <c r="BQ26" s="135" t="n"/>
      <c r="BR26" s="137" t="n"/>
      <c r="BS26" s="51" t="n"/>
      <c r="BT26" s="142" t="n"/>
      <c r="BU26" s="60" t="n"/>
      <c r="BV26" s="89" t="n"/>
      <c r="BW26" s="61" t="n"/>
      <c r="BX26" s="77" t="n"/>
      <c r="BY26" s="77" t="n"/>
      <c r="BZ26" s="78" t="n"/>
      <c r="CA26" s="60" t="n"/>
      <c r="CB26" s="76" t="n"/>
      <c r="CC26" s="140" t="n"/>
      <c r="CD26" s="171" t="n"/>
      <c r="CE26" s="76" t="n"/>
      <c r="CF26" s="89" t="n"/>
      <c r="CG26" s="91" t="n"/>
      <c r="CH26" s="60" t="n"/>
      <c r="CI26" s="141" t="n"/>
      <c r="CJ26" s="141" t="n"/>
      <c r="CK26" s="141" t="n"/>
      <c r="CL26" s="141" t="n"/>
      <c r="CM26" s="141" t="n"/>
      <c r="CN26" s="64" t="n"/>
      <c r="CO26" s="64" t="n"/>
      <c r="CP26" s="64" t="n"/>
      <c r="CQ26" s="141" t="n"/>
      <c r="CR26" s="141" t="n"/>
      <c r="CS26" s="63" t="n"/>
      <c r="CT26" s="64" t="n"/>
      <c r="CU26" s="64" t="n"/>
      <c r="CV26" s="59" t="n"/>
      <c r="CW26" s="64" t="n"/>
      <c r="CX26" s="51" t="n"/>
      <c r="CY26" s="142" t="n"/>
      <c r="CZ26" s="136" t="n"/>
      <c r="DA26" s="143" t="n"/>
      <c r="DB26" s="63" t="n"/>
      <c r="DC26" s="63" t="n"/>
      <c r="DD26" s="59" t="n"/>
      <c r="DE26" s="141" t="n"/>
      <c r="DF26" s="141" t="n"/>
      <c r="DG26" s="63" t="n"/>
      <c r="DH26" s="63" t="n"/>
      <c r="DI26" s="63" t="n"/>
      <c r="DJ26" s="63" t="n"/>
      <c r="DK26" s="169" t="n"/>
      <c r="DL26" s="59" t="n"/>
      <c r="DM26" s="144" t="n"/>
      <c r="DN26" s="142" t="n"/>
      <c r="DO26" s="51" t="n"/>
      <c r="DP26" s="142" t="n"/>
      <c r="DQ26" s="59" t="n"/>
      <c r="DR26" s="63" t="n"/>
      <c r="DS26" s="142" t="n"/>
      <c r="DT26" s="80" t="n"/>
      <c r="DU26" s="142" t="n"/>
      <c r="DV26" s="144" t="n"/>
      <c r="DW26" s="145" t="n"/>
      <c r="DX26" s="169" t="n"/>
      <c r="DY26" s="172" t="n"/>
      <c r="DZ26" s="146" t="n"/>
      <c r="EA26" s="146" t="n"/>
      <c r="EB26" s="146" t="n"/>
      <c r="EC26" s="63" t="n"/>
      <c r="ED26" s="169" t="n"/>
      <c r="EE26" s="64" t="n"/>
      <c r="EF26" s="60" t="n"/>
      <c r="EG26" s="59" t="n"/>
      <c r="EI26" s="174" t="n"/>
      <c r="EJ26" s="175" t="n"/>
      <c r="EK26" s="176" t="n"/>
      <c r="EL26" s="176" t="n"/>
      <c r="EM26" s="176" t="n"/>
      <c r="EN26" s="176" t="n"/>
      <c r="EO26" s="179" t="n"/>
      <c r="EP26" s="179" t="n"/>
      <c r="EQ26" s="178" t="n"/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n"/>
      <c r="FF26" s="181" t="n"/>
      <c r="FG26" s="185" t="n"/>
      <c r="FH26" s="183" t="n"/>
      <c r="FI26" s="178" t="n"/>
      <c r="FJ26" s="176" t="n"/>
      <c r="FK26" s="185" t="n"/>
      <c r="FL26" s="178" t="n"/>
      <c r="FM26" s="176" t="n"/>
      <c r="FN26" s="176" t="n"/>
      <c r="FO26" s="176" t="n"/>
      <c r="FP26" s="176" t="n"/>
      <c r="FQ26" s="176" t="n"/>
      <c r="FR26" s="179" t="n"/>
      <c r="FS26" s="176" t="n"/>
      <c r="FT26" s="179" t="n"/>
      <c r="FU26" s="176" t="n"/>
      <c r="FV26" s="179" t="n"/>
      <c r="FW26" s="179" t="n"/>
      <c r="FX26" s="178" t="n"/>
      <c r="FY26" s="186" t="n"/>
      <c r="FZ26" s="183" t="n"/>
      <c r="GA26" s="176" t="n"/>
      <c r="GB26" s="176" t="n"/>
      <c r="GC26" s="185" t="n"/>
      <c r="GD26" s="185" t="n"/>
      <c r="GE26" s="176" t="n"/>
      <c r="GF26" s="176" t="n"/>
      <c r="GG26" s="179" t="n"/>
      <c r="GH26" s="181" t="n"/>
      <c r="GI26" s="183" t="n"/>
      <c r="GJ26" s="183" t="n"/>
      <c r="GK26" s="176" t="n"/>
      <c r="GL26" s="176" t="n"/>
      <c r="GM26" s="176" t="n"/>
      <c r="GN26" s="183" t="n"/>
      <c r="GO26" s="183" t="n"/>
      <c r="GP26" s="183" t="n"/>
      <c r="GQ26" s="183" t="n"/>
      <c r="GR26" s="183" t="n"/>
      <c r="GS26" s="181" t="n"/>
      <c r="GT26" s="181" t="n"/>
    </row>
    <row r="27" ht="51" customFormat="1" customHeight="1" s="11">
      <c r="A27" s="43" t="n"/>
      <c r="B27" s="47" t="n"/>
      <c r="C27" s="44" t="n"/>
      <c r="D27" s="130" t="n"/>
      <c r="E27" s="48" t="n"/>
      <c r="F27" s="43" t="n"/>
      <c r="G27" s="43" t="n"/>
      <c r="H27" s="43" t="n"/>
      <c r="I27" s="131" t="n"/>
      <c r="J27" s="148" t="n"/>
      <c r="K27" s="133" t="n"/>
      <c r="M27" s="67" t="n"/>
      <c r="R27" s="67" t="n"/>
      <c r="S27" s="67" t="n"/>
      <c r="T27" s="147" t="n"/>
      <c r="U27" s="147" t="n"/>
      <c r="V27" s="169" t="n"/>
      <c r="W27" s="169" t="n"/>
      <c r="X27" s="170" t="n"/>
      <c r="Y27" s="26" t="n"/>
      <c r="Z27" s="137" t="n"/>
      <c r="AA27" s="137" t="n"/>
      <c r="AB27" s="137" t="n"/>
      <c r="AC27" s="137" t="n"/>
      <c r="AD27" s="137" t="n"/>
      <c r="AE27" s="137" t="n"/>
      <c r="AF27" s="137" t="n"/>
      <c r="AG27" s="137" t="n"/>
      <c r="AH27" s="137" t="n"/>
      <c r="AI27" s="137" t="n"/>
      <c r="AJ27" s="137" t="n"/>
      <c r="AK27" s="137" t="n"/>
      <c r="AL27" s="137" t="n"/>
      <c r="AM27" s="137" t="n"/>
      <c r="AN27" s="137" t="n"/>
      <c r="AO27" s="137" t="n"/>
      <c r="AP27" s="137" t="n"/>
      <c r="AQ27" s="137" t="n"/>
      <c r="AR27" s="142" t="n"/>
      <c r="AS27" s="142" t="n"/>
      <c r="AT27" s="84" t="n"/>
      <c r="AU27" s="51" t="n"/>
      <c r="AV27" s="51" t="n"/>
      <c r="AW27" s="136" t="n"/>
      <c r="AX27" s="137" t="n"/>
      <c r="AY27" s="117" t="n"/>
      <c r="AZ27" s="117" t="n"/>
      <c r="BA27" s="117" t="n"/>
      <c r="BB27" s="138" t="n"/>
      <c r="BC27" s="139" t="n"/>
      <c r="BD27" s="80" t="n"/>
      <c r="BE27" s="161" t="n"/>
      <c r="BF27" s="161" t="n"/>
      <c r="BG27" s="161" t="n"/>
      <c r="BH27" s="161" t="n"/>
      <c r="BI27" s="161" t="n"/>
      <c r="BJ27" s="162" t="n"/>
      <c r="BK27" s="163" t="n"/>
      <c r="BL27" s="161" t="n"/>
      <c r="BM27" s="164" t="n"/>
      <c r="BN27" s="165" t="n"/>
      <c r="BO27" s="51" t="n"/>
      <c r="BP27" s="135" t="n"/>
      <c r="BQ27" s="135" t="n"/>
      <c r="BR27" s="137" t="n"/>
      <c r="BS27" s="51" t="n"/>
      <c r="BT27" s="142" t="n"/>
      <c r="BU27" s="60" t="n"/>
      <c r="BV27" s="89" t="n"/>
      <c r="BW27" s="61" t="n"/>
      <c r="BX27" s="77" t="n"/>
      <c r="BY27" s="77" t="n"/>
      <c r="BZ27" s="78" t="n"/>
      <c r="CA27" s="60" t="n"/>
      <c r="CB27" s="76" t="n"/>
      <c r="CC27" s="140" t="n"/>
      <c r="CD27" s="171" t="n"/>
      <c r="CE27" s="76" t="n"/>
      <c r="CF27" s="89" t="n"/>
      <c r="CG27" s="91" t="n"/>
      <c r="CH27" s="60" t="n"/>
      <c r="CI27" s="141" t="n"/>
      <c r="CJ27" s="141" t="n"/>
      <c r="CK27" s="141" t="n"/>
      <c r="CL27" s="141" t="n"/>
      <c r="CM27" s="141" t="n"/>
      <c r="CN27" s="64" t="n"/>
      <c r="CO27" s="64" t="n"/>
      <c r="CP27" s="64" t="n"/>
      <c r="CQ27" s="141" t="n"/>
      <c r="CR27" s="141" t="n"/>
      <c r="CS27" s="63" t="n"/>
      <c r="CT27" s="64" t="n"/>
      <c r="CU27" s="64" t="n"/>
      <c r="CV27" s="59" t="n"/>
      <c r="CW27" s="64" t="n"/>
      <c r="CX27" s="51" t="n"/>
      <c r="CY27" s="142" t="n"/>
      <c r="CZ27" s="136" t="n"/>
      <c r="DA27" s="143" t="n"/>
      <c r="DB27" s="63" t="n"/>
      <c r="DC27" s="63" t="n"/>
      <c r="DD27" s="59" t="n"/>
      <c r="DE27" s="141" t="n"/>
      <c r="DF27" s="141" t="n"/>
      <c r="DG27" s="63" t="n"/>
      <c r="DH27" s="63" t="n"/>
      <c r="DI27" s="63" t="n"/>
      <c r="DJ27" s="63" t="n"/>
      <c r="DK27" s="169" t="n"/>
      <c r="DL27" s="59" t="n"/>
      <c r="DM27" s="144" t="n"/>
      <c r="DN27" s="142" t="n"/>
      <c r="DO27" s="51" t="n"/>
      <c r="DP27" s="142" t="n"/>
      <c r="DQ27" s="59" t="n"/>
      <c r="DR27" s="63" t="n"/>
      <c r="DS27" s="142" t="n"/>
      <c r="DT27" s="80" t="n"/>
      <c r="DU27" s="142" t="n"/>
      <c r="DV27" s="144" t="n"/>
      <c r="DW27" s="145" t="n"/>
      <c r="DX27" s="169" t="n"/>
      <c r="DY27" s="172" t="n"/>
      <c r="DZ27" s="146" t="n"/>
      <c r="EA27" s="146" t="n"/>
      <c r="EB27" s="146" t="n"/>
      <c r="EC27" s="63" t="n"/>
      <c r="ED27" s="169" t="n"/>
      <c r="EE27" s="64" t="n"/>
      <c r="EF27" s="60" t="n"/>
      <c r="EG27" s="59" t="n"/>
      <c r="EI27" s="174" t="n"/>
      <c r="EJ27" s="175" t="n"/>
      <c r="EK27" s="176" t="n"/>
      <c r="EL27" s="176" t="n"/>
      <c r="EM27" s="176" t="n"/>
      <c r="EN27" s="176" t="n"/>
      <c r="EO27" s="179" t="n"/>
      <c r="EP27" s="179" t="n"/>
      <c r="EQ27" s="178" t="n"/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n"/>
      <c r="FF27" s="181" t="n"/>
      <c r="FG27" s="185" t="n"/>
      <c r="FH27" s="183" t="n"/>
      <c r="FI27" s="178" t="n"/>
      <c r="FJ27" s="176" t="n"/>
      <c r="FK27" s="185" t="n"/>
      <c r="FL27" s="178" t="n"/>
      <c r="FM27" s="176" t="n"/>
      <c r="FN27" s="176" t="n"/>
      <c r="FO27" s="176" t="n"/>
      <c r="FP27" s="176" t="n"/>
      <c r="FQ27" s="176" t="n"/>
      <c r="FR27" s="179" t="n"/>
      <c r="FS27" s="176" t="n"/>
      <c r="FT27" s="179" t="n"/>
      <c r="FU27" s="176" t="n"/>
      <c r="FV27" s="179" t="n"/>
      <c r="FW27" s="179" t="n"/>
      <c r="FX27" s="178" t="n"/>
      <c r="FY27" s="186" t="n"/>
      <c r="FZ27" s="183" t="n"/>
      <c r="GA27" s="176" t="n"/>
      <c r="GB27" s="176" t="n"/>
      <c r="GC27" s="185" t="n"/>
      <c r="GD27" s="185" t="n"/>
      <c r="GE27" s="176" t="n"/>
      <c r="GF27" s="176" t="n"/>
      <c r="GG27" s="179" t="n"/>
      <c r="GH27" s="181" t="n"/>
      <c r="GI27" s="183" t="n"/>
      <c r="GJ27" s="183" t="n"/>
      <c r="GK27" s="176" t="n"/>
      <c r="GL27" s="176" t="n"/>
      <c r="GM27" s="176" t="n"/>
      <c r="GN27" s="183" t="n"/>
      <c r="GO27" s="183" t="n"/>
      <c r="GP27" s="183" t="n"/>
      <c r="GQ27" s="183" t="n"/>
      <c r="GR27" s="183" t="n"/>
      <c r="GS27" s="181" t="n"/>
      <c r="GT27" s="181" t="n"/>
    </row>
    <row r="28" ht="51" customFormat="1" customHeight="1" s="11">
      <c r="A28" s="43" t="n"/>
      <c r="B28" s="47" t="n"/>
      <c r="C28" s="44" t="n"/>
      <c r="D28" s="130" t="n"/>
      <c r="E28" s="48" t="n"/>
      <c r="F28" s="43" t="n"/>
      <c r="G28" s="43" t="n"/>
      <c r="H28" s="43" t="n"/>
      <c r="I28" s="131" t="n"/>
      <c r="J28" s="148" t="n"/>
      <c r="K28" s="133" t="n"/>
      <c r="M28" s="67" t="n"/>
      <c r="R28" s="67" t="n"/>
      <c r="S28" s="67" t="n"/>
      <c r="T28" s="147" t="n"/>
      <c r="U28" s="147" t="n"/>
      <c r="V28" s="169" t="n"/>
      <c r="W28" s="169" t="n"/>
      <c r="X28" s="170" t="n"/>
      <c r="Y28" s="26" t="n"/>
      <c r="Z28" s="137" t="n"/>
      <c r="AA28" s="137" t="n"/>
      <c r="AB28" s="137" t="n"/>
      <c r="AC28" s="137" t="n"/>
      <c r="AD28" s="137" t="n"/>
      <c r="AE28" s="137" t="n"/>
      <c r="AF28" s="137" t="n"/>
      <c r="AG28" s="137" t="n"/>
      <c r="AH28" s="137" t="n"/>
      <c r="AI28" s="137" t="n"/>
      <c r="AJ28" s="137" t="n"/>
      <c r="AK28" s="137" t="n"/>
      <c r="AL28" s="137" t="n"/>
      <c r="AM28" s="137" t="n"/>
      <c r="AN28" s="137" t="n"/>
      <c r="AO28" s="137" t="n"/>
      <c r="AP28" s="137" t="n"/>
      <c r="AQ28" s="137" t="n"/>
      <c r="AR28" s="142" t="n"/>
      <c r="AS28" s="142" t="n"/>
      <c r="AT28" s="84" t="n"/>
      <c r="AU28" s="51" t="n"/>
      <c r="AV28" s="51" t="n"/>
      <c r="AW28" s="136" t="n"/>
      <c r="AX28" s="137" t="n"/>
      <c r="AY28" s="117" t="n"/>
      <c r="AZ28" s="117" t="n"/>
      <c r="BA28" s="117" t="n"/>
      <c r="BB28" s="138" t="n"/>
      <c r="BC28" s="139" t="n"/>
      <c r="BD28" s="80" t="n"/>
      <c r="BE28" s="161" t="n"/>
      <c r="BF28" s="161" t="n"/>
      <c r="BG28" s="161" t="n"/>
      <c r="BH28" s="161" t="n"/>
      <c r="BI28" s="161" t="n"/>
      <c r="BJ28" s="162" t="n"/>
      <c r="BK28" s="163" t="n"/>
      <c r="BL28" s="161" t="n"/>
      <c r="BM28" s="164" t="n"/>
      <c r="BN28" s="165" t="n"/>
      <c r="BO28" s="51" t="n"/>
      <c r="BP28" s="135" t="n"/>
      <c r="BQ28" s="135" t="n"/>
      <c r="BR28" s="137" t="n"/>
      <c r="BS28" s="51" t="n"/>
      <c r="BT28" s="142" t="n"/>
      <c r="BU28" s="60" t="n"/>
      <c r="BV28" s="89" t="n"/>
      <c r="BW28" s="61" t="n"/>
      <c r="BX28" s="77" t="n"/>
      <c r="BY28" s="77" t="n"/>
      <c r="BZ28" s="78" t="n"/>
      <c r="CA28" s="60" t="n"/>
      <c r="CB28" s="76" t="n"/>
      <c r="CC28" s="140" t="n"/>
      <c r="CD28" s="171" t="n"/>
      <c r="CE28" s="76" t="n"/>
      <c r="CF28" s="89" t="n"/>
      <c r="CG28" s="91" t="n"/>
      <c r="CH28" s="60" t="n"/>
      <c r="CI28" s="141" t="n"/>
      <c r="CJ28" s="141" t="n"/>
      <c r="CK28" s="141" t="n"/>
      <c r="CL28" s="141" t="n"/>
      <c r="CM28" s="141" t="n"/>
      <c r="CN28" s="64" t="n"/>
      <c r="CO28" s="64" t="n"/>
      <c r="CP28" s="64" t="n"/>
      <c r="CQ28" s="141" t="n"/>
      <c r="CR28" s="141" t="n"/>
      <c r="CS28" s="63" t="n"/>
      <c r="CT28" s="64" t="n"/>
      <c r="CU28" s="64" t="n"/>
      <c r="CV28" s="59" t="n"/>
      <c r="CW28" s="64" t="n"/>
      <c r="CX28" s="51" t="n"/>
      <c r="CY28" s="142" t="n"/>
      <c r="CZ28" s="136" t="n"/>
      <c r="DA28" s="143" t="n"/>
      <c r="DB28" s="63" t="n"/>
      <c r="DC28" s="63" t="n"/>
      <c r="DD28" s="59" t="n"/>
      <c r="DE28" s="141" t="n"/>
      <c r="DF28" s="141" t="n"/>
      <c r="DG28" s="63" t="n"/>
      <c r="DH28" s="63" t="n"/>
      <c r="DI28" s="63" t="n"/>
      <c r="DJ28" s="63" t="n"/>
      <c r="DK28" s="169" t="n"/>
      <c r="DL28" s="59" t="n"/>
      <c r="DM28" s="144" t="n"/>
      <c r="DN28" s="142" t="n"/>
      <c r="DO28" s="51" t="n"/>
      <c r="DP28" s="142" t="n"/>
      <c r="DQ28" s="59" t="n"/>
      <c r="DR28" s="63" t="n"/>
      <c r="DS28" s="142" t="n"/>
      <c r="DT28" s="80" t="n"/>
      <c r="DU28" s="142" t="n"/>
      <c r="DV28" s="144" t="n"/>
      <c r="DW28" s="145" t="n"/>
      <c r="DX28" s="169" t="n"/>
      <c r="DY28" s="172" t="n"/>
      <c r="DZ28" s="146" t="n"/>
      <c r="EA28" s="146" t="n"/>
      <c r="EB28" s="146" t="n"/>
      <c r="EC28" s="63" t="n"/>
      <c r="ED28" s="169" t="n"/>
      <c r="EE28" s="64" t="n"/>
      <c r="EF28" s="60" t="n"/>
      <c r="EG28" s="59" t="n"/>
      <c r="EI28" s="174" t="n"/>
      <c r="EJ28" s="175" t="n"/>
      <c r="EK28" s="176" t="n"/>
      <c r="EL28" s="176" t="n"/>
      <c r="EM28" s="176" t="n"/>
      <c r="EN28" s="176" t="n"/>
      <c r="EO28" s="179" t="n"/>
      <c r="EP28" s="179" t="n"/>
      <c r="EQ28" s="178" t="n"/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n"/>
      <c r="FF28" s="181" t="n"/>
      <c r="FG28" s="185" t="n"/>
      <c r="FH28" s="183" t="n"/>
      <c r="FI28" s="178" t="n"/>
      <c r="FJ28" s="176" t="n"/>
      <c r="FK28" s="185" t="n"/>
      <c r="FL28" s="178" t="n"/>
      <c r="FM28" s="176" t="n"/>
      <c r="FN28" s="176" t="n"/>
      <c r="FO28" s="176" t="n"/>
      <c r="FP28" s="176" t="n"/>
      <c r="FQ28" s="176" t="n"/>
      <c r="FR28" s="179" t="n"/>
      <c r="FS28" s="176" t="n"/>
      <c r="FT28" s="179" t="n"/>
      <c r="FU28" s="176" t="n"/>
      <c r="FV28" s="179" t="n"/>
      <c r="FW28" s="179" t="n"/>
      <c r="FX28" s="178" t="n"/>
      <c r="FY28" s="186" t="n"/>
      <c r="FZ28" s="183" t="n"/>
      <c r="GA28" s="176" t="n"/>
      <c r="GB28" s="176" t="n"/>
      <c r="GC28" s="185" t="n"/>
      <c r="GD28" s="185" t="n"/>
      <c r="GE28" s="176" t="n"/>
      <c r="GF28" s="176" t="n"/>
      <c r="GG28" s="179" t="n"/>
      <c r="GH28" s="181" t="n"/>
      <c r="GI28" s="183" t="n"/>
      <c r="GJ28" s="183" t="n"/>
      <c r="GK28" s="176" t="n"/>
      <c r="GL28" s="176" t="n"/>
      <c r="GM28" s="176" t="n"/>
      <c r="GN28" s="183" t="n"/>
      <c r="GO28" s="183" t="n"/>
      <c r="GP28" s="183" t="n"/>
      <c r="GQ28" s="183" t="n"/>
      <c r="GR28" s="183" t="n"/>
      <c r="GS28" s="181" t="n"/>
      <c r="GT28" s="181" t="n"/>
    </row>
    <row r="29" ht="51" customFormat="1" customHeight="1" s="11">
      <c r="A29" s="43" t="n"/>
      <c r="B29" s="47" t="n"/>
      <c r="C29" s="44" t="n"/>
      <c r="D29" s="130" t="n"/>
      <c r="E29" s="48" t="n"/>
      <c r="F29" s="43" t="n"/>
      <c r="G29" s="43" t="n"/>
      <c r="H29" s="43" t="n"/>
      <c r="I29" s="131" t="n"/>
      <c r="J29" s="148" t="n"/>
      <c r="K29" s="133" t="n"/>
      <c r="M29" s="67" t="n"/>
      <c r="R29" s="67" t="n"/>
      <c r="S29" s="67" t="n"/>
      <c r="T29" s="147" t="n"/>
      <c r="U29" s="147" t="n"/>
      <c r="V29" s="169" t="n"/>
      <c r="W29" s="169" t="n"/>
      <c r="X29" s="170" t="n"/>
      <c r="Y29" s="26" t="n"/>
      <c r="Z29" s="137" t="n"/>
      <c r="AA29" s="137" t="n"/>
      <c r="AB29" s="137" t="n"/>
      <c r="AC29" s="137" t="n"/>
      <c r="AD29" s="137" t="n"/>
      <c r="AE29" s="137" t="n"/>
      <c r="AF29" s="137" t="n"/>
      <c r="AG29" s="137" t="n"/>
      <c r="AH29" s="137" t="n"/>
      <c r="AI29" s="137" t="n"/>
      <c r="AJ29" s="137" t="n"/>
      <c r="AK29" s="137" t="n"/>
      <c r="AL29" s="137" t="n"/>
      <c r="AM29" s="137" t="n"/>
      <c r="AN29" s="137" t="n"/>
      <c r="AO29" s="137" t="n"/>
      <c r="AP29" s="137" t="n"/>
      <c r="AQ29" s="137" t="n"/>
      <c r="AR29" s="142" t="n"/>
      <c r="AS29" s="142" t="n"/>
      <c r="AT29" s="84" t="n"/>
      <c r="AU29" s="51" t="n"/>
      <c r="AV29" s="51" t="n"/>
      <c r="AW29" s="136" t="n"/>
      <c r="AX29" s="137" t="n"/>
      <c r="AY29" s="117" t="n"/>
      <c r="AZ29" s="117" t="n"/>
      <c r="BA29" s="117" t="n"/>
      <c r="BB29" s="138" t="n"/>
      <c r="BC29" s="139" t="n"/>
      <c r="BD29" s="80" t="n"/>
      <c r="BE29" s="161" t="n"/>
      <c r="BF29" s="161" t="n"/>
      <c r="BG29" s="161" t="n"/>
      <c r="BH29" s="161" t="n"/>
      <c r="BI29" s="161" t="n"/>
      <c r="BJ29" s="162" t="n"/>
      <c r="BK29" s="163" t="n"/>
      <c r="BL29" s="161" t="n"/>
      <c r="BM29" s="164" t="n"/>
      <c r="BN29" s="165" t="n"/>
      <c r="BO29" s="51" t="n"/>
      <c r="BP29" s="135" t="n"/>
      <c r="BQ29" s="135" t="n"/>
      <c r="BR29" s="137" t="n"/>
      <c r="BS29" s="51" t="n"/>
      <c r="BT29" s="142" t="n"/>
      <c r="BU29" s="60" t="n"/>
      <c r="BV29" s="89" t="n"/>
      <c r="BW29" s="61" t="n"/>
      <c r="BX29" s="77" t="n"/>
      <c r="BY29" s="77" t="n"/>
      <c r="BZ29" s="78" t="n"/>
      <c r="CA29" s="60" t="n"/>
      <c r="CB29" s="76" t="n"/>
      <c r="CC29" s="140" t="n"/>
      <c r="CD29" s="171" t="n"/>
      <c r="CE29" s="76" t="n"/>
      <c r="CF29" s="89" t="n"/>
      <c r="CG29" s="91" t="n"/>
      <c r="CH29" s="60" t="n"/>
      <c r="CI29" s="141" t="n"/>
      <c r="CJ29" s="141" t="n"/>
      <c r="CK29" s="141" t="n"/>
      <c r="CL29" s="141" t="n"/>
      <c r="CM29" s="141" t="n"/>
      <c r="CN29" s="64" t="n"/>
      <c r="CO29" s="64" t="n"/>
      <c r="CP29" s="64" t="n"/>
      <c r="CQ29" s="141" t="n"/>
      <c r="CR29" s="141" t="n"/>
      <c r="CS29" s="63" t="n"/>
      <c r="CT29" s="64" t="n"/>
      <c r="CU29" s="64" t="n"/>
      <c r="CV29" s="59" t="n"/>
      <c r="CW29" s="64" t="n"/>
      <c r="CX29" s="51" t="n"/>
      <c r="CY29" s="142" t="n"/>
      <c r="CZ29" s="136" t="n"/>
      <c r="DA29" s="143" t="n"/>
      <c r="DB29" s="63" t="n"/>
      <c r="DC29" s="63" t="n"/>
      <c r="DD29" s="59" t="n"/>
      <c r="DE29" s="141" t="n"/>
      <c r="DF29" s="141" t="n"/>
      <c r="DG29" s="63" t="n"/>
      <c r="DH29" s="63" t="n"/>
      <c r="DI29" s="63" t="n"/>
      <c r="DJ29" s="63" t="n"/>
      <c r="DK29" s="169" t="n"/>
      <c r="DL29" s="59" t="n"/>
      <c r="DM29" s="144" t="n"/>
      <c r="DN29" s="142" t="n"/>
      <c r="DO29" s="51" t="n"/>
      <c r="DP29" s="142" t="n"/>
      <c r="DQ29" s="59" t="n"/>
      <c r="DR29" s="63" t="n"/>
      <c r="DS29" s="142" t="n"/>
      <c r="DT29" s="80" t="n"/>
      <c r="DU29" s="142" t="n"/>
      <c r="DV29" s="144" t="n"/>
      <c r="DW29" s="145" t="n"/>
      <c r="DX29" s="169" t="n"/>
      <c r="DY29" s="172" t="n"/>
      <c r="DZ29" s="146" t="n"/>
      <c r="EA29" s="146" t="n"/>
      <c r="EB29" s="146" t="n"/>
      <c r="EC29" s="63" t="n"/>
      <c r="ED29" s="169" t="n"/>
      <c r="EE29" s="64" t="n"/>
      <c r="EF29" s="60" t="n"/>
      <c r="EG29" s="59" t="n"/>
      <c r="EI29" s="174" t="n"/>
      <c r="EJ29" s="175" t="n"/>
      <c r="EK29" s="176" t="n"/>
      <c r="EL29" s="176" t="n"/>
      <c r="EM29" s="176" t="n"/>
      <c r="EN29" s="176" t="n"/>
      <c r="EO29" s="179" t="n"/>
      <c r="EP29" s="179" t="n"/>
      <c r="EQ29" s="178" t="n"/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n"/>
      <c r="FF29" s="181" t="n"/>
      <c r="FG29" s="185" t="n"/>
      <c r="FH29" s="183" t="n"/>
      <c r="FI29" s="178" t="n"/>
      <c r="FJ29" s="176" t="n"/>
      <c r="FK29" s="185" t="n"/>
      <c r="FL29" s="178" t="n"/>
      <c r="FM29" s="176" t="n"/>
      <c r="FN29" s="176" t="n"/>
      <c r="FO29" s="176" t="n"/>
      <c r="FP29" s="176" t="n"/>
      <c r="FQ29" s="176" t="n"/>
      <c r="FR29" s="179" t="n"/>
      <c r="FS29" s="176" t="n"/>
      <c r="FT29" s="179" t="n"/>
      <c r="FU29" s="176" t="n"/>
      <c r="FV29" s="179" t="n"/>
      <c r="FW29" s="179" t="n"/>
      <c r="FX29" s="178" t="n"/>
      <c r="FY29" s="186" t="n"/>
      <c r="FZ29" s="183" t="n"/>
      <c r="GA29" s="176" t="n"/>
      <c r="GB29" s="176" t="n"/>
      <c r="GC29" s="185" t="n"/>
      <c r="GD29" s="185" t="n"/>
      <c r="GE29" s="176" t="n"/>
      <c r="GF29" s="176" t="n"/>
      <c r="GG29" s="179" t="n"/>
      <c r="GH29" s="181" t="n"/>
      <c r="GI29" s="183" t="n"/>
      <c r="GJ29" s="183" t="n"/>
      <c r="GK29" s="176" t="n"/>
      <c r="GL29" s="176" t="n"/>
      <c r="GM29" s="176" t="n"/>
      <c r="GN29" s="183" t="n"/>
      <c r="GO29" s="183" t="n"/>
      <c r="GP29" s="183" t="n"/>
      <c r="GQ29" s="183" t="n"/>
      <c r="GR29" s="183" t="n"/>
      <c r="GS29" s="181" t="n"/>
      <c r="GT29" s="181" t="n"/>
    </row>
    <row r="30" ht="68" customFormat="1" customHeight="1" s="11">
      <c r="A30" s="43" t="n"/>
      <c r="B30" s="47" t="n"/>
      <c r="C30" s="44" t="n"/>
      <c r="D30" s="130" t="n"/>
      <c r="E30" s="48" t="n"/>
      <c r="F30" s="43" t="n"/>
      <c r="G30" s="43" t="n"/>
      <c r="H30" s="43" t="n"/>
      <c r="I30" s="131" t="n"/>
      <c r="J30" s="148" t="n"/>
      <c r="K30" s="133" t="n"/>
      <c r="M30" s="67" t="n"/>
      <c r="R30" s="67" t="n"/>
      <c r="S30" s="67" t="n"/>
      <c r="T30" s="147" t="n"/>
      <c r="U30" s="147" t="n"/>
      <c r="V30" s="169" t="n"/>
      <c r="W30" s="169" t="n"/>
      <c r="X30" s="170" t="n"/>
      <c r="Y30" s="26" t="n"/>
      <c r="Z30" s="137" t="n"/>
      <c r="AA30" s="137" t="n"/>
      <c r="AB30" s="137" t="n"/>
      <c r="AC30" s="137" t="n"/>
      <c r="AD30" s="137" t="n"/>
      <c r="AE30" s="137" t="n"/>
      <c r="AF30" s="137" t="n"/>
      <c r="AG30" s="137" t="n"/>
      <c r="AH30" s="137" t="n"/>
      <c r="AI30" s="137" t="n"/>
      <c r="AJ30" s="137" t="n"/>
      <c r="AK30" s="137" t="n"/>
      <c r="AL30" s="137" t="n"/>
      <c r="AM30" s="137" t="n"/>
      <c r="AN30" s="137" t="n"/>
      <c r="AO30" s="137" t="n"/>
      <c r="AP30" s="137" t="n"/>
      <c r="AQ30" s="137" t="n"/>
      <c r="AR30" s="142" t="n"/>
      <c r="AS30" s="142" t="n"/>
      <c r="AT30" s="84" t="n"/>
      <c r="AU30" s="51" t="n"/>
      <c r="AV30" s="51" t="n"/>
      <c r="AW30" s="136" t="n"/>
      <c r="AX30" s="137" t="n"/>
      <c r="AY30" s="117" t="n"/>
      <c r="AZ30" s="117" t="n"/>
      <c r="BA30" s="117" t="n"/>
      <c r="BB30" s="138" t="n"/>
      <c r="BC30" s="139" t="n"/>
      <c r="BD30" s="80" t="n"/>
      <c r="BE30" s="161" t="n"/>
      <c r="BF30" s="161" t="n"/>
      <c r="BG30" s="161" t="n"/>
      <c r="BH30" s="161" t="n"/>
      <c r="BI30" s="161" t="n"/>
      <c r="BJ30" s="162" t="n"/>
      <c r="BK30" s="163" t="n"/>
      <c r="BL30" s="161" t="n"/>
      <c r="BM30" s="164" t="n"/>
      <c r="BN30" s="165" t="n"/>
      <c r="BO30" s="51" t="n"/>
      <c r="BP30" s="135" t="n"/>
      <c r="BQ30" s="135" t="n"/>
      <c r="BR30" s="137" t="n"/>
      <c r="BS30" s="51" t="n"/>
      <c r="BT30" s="142" t="n"/>
      <c r="BU30" s="60" t="n"/>
      <c r="BV30" s="89" t="n"/>
      <c r="BW30" s="61" t="n"/>
      <c r="BX30" s="77" t="n"/>
      <c r="BY30" s="77" t="n"/>
      <c r="BZ30" s="78" t="n"/>
      <c r="CA30" s="60" t="n"/>
      <c r="CB30" s="76" t="n"/>
      <c r="CC30" s="140" t="n"/>
      <c r="CD30" s="171" t="n"/>
      <c r="CE30" s="76" t="n"/>
      <c r="CF30" s="89" t="n"/>
      <c r="CG30" s="91" t="n"/>
      <c r="CH30" s="60" t="n"/>
      <c r="CI30" s="141" t="n"/>
      <c r="CJ30" s="141" t="n"/>
      <c r="CK30" s="141" t="n"/>
      <c r="CL30" s="141" t="n"/>
      <c r="CM30" s="141" t="n"/>
      <c r="CN30" s="64" t="n"/>
      <c r="CO30" s="64" t="n"/>
      <c r="CP30" s="64" t="n"/>
      <c r="CQ30" s="141" t="n"/>
      <c r="CR30" s="141" t="n"/>
      <c r="CS30" s="63" t="n"/>
      <c r="CT30" s="64" t="n"/>
      <c r="CU30" s="64" t="n"/>
      <c r="CV30" s="59" t="n"/>
      <c r="CW30" s="64" t="n"/>
      <c r="CX30" s="51" t="n"/>
      <c r="CY30" s="142" t="n"/>
      <c r="CZ30" s="136" t="n"/>
      <c r="DA30" s="143" t="n"/>
      <c r="DB30" s="63" t="n"/>
      <c r="DC30" s="63" t="n"/>
      <c r="DD30" s="59" t="n"/>
      <c r="DE30" s="141" t="n"/>
      <c r="DF30" s="141" t="n"/>
      <c r="DG30" s="63" t="n"/>
      <c r="DH30" s="63" t="n"/>
      <c r="DI30" s="63" t="n"/>
      <c r="DJ30" s="63" t="n"/>
      <c r="DK30" s="169" t="n"/>
      <c r="DL30" s="59" t="n"/>
      <c r="DM30" s="144" t="n"/>
      <c r="DN30" s="142" t="n"/>
      <c r="DO30" s="51" t="n"/>
      <c r="DP30" s="142" t="n"/>
      <c r="DQ30" s="59" t="n"/>
      <c r="DR30" s="63" t="n"/>
      <c r="DS30" s="142" t="n"/>
      <c r="DT30" s="80" t="n"/>
      <c r="DU30" s="142" t="n"/>
      <c r="DV30" s="144" t="n"/>
      <c r="DW30" s="145" t="n"/>
      <c r="DX30" s="169" t="n"/>
      <c r="DY30" s="172" t="n"/>
      <c r="DZ30" s="146" t="n"/>
      <c r="EA30" s="146" t="n"/>
      <c r="EB30" s="146" t="n"/>
      <c r="EC30" s="63" t="n"/>
      <c r="ED30" s="169" t="n"/>
      <c r="EE30" s="64" t="n"/>
      <c r="EF30" s="60" t="n"/>
      <c r="EG30" s="59" t="n"/>
      <c r="EI30" s="174" t="n"/>
      <c r="EJ30" s="175" t="n"/>
      <c r="EK30" s="176" t="n"/>
      <c r="EL30" s="176" t="n"/>
      <c r="EM30" s="176" t="n"/>
      <c r="EN30" s="176" t="n"/>
      <c r="EO30" s="179" t="n"/>
      <c r="EP30" s="179" t="n"/>
      <c r="EQ30" s="178" t="n"/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n"/>
      <c r="FF30" s="181" t="n"/>
      <c r="FG30" s="185" t="n"/>
      <c r="FH30" s="183" t="n"/>
      <c r="FI30" s="178" t="n"/>
      <c r="FJ30" s="176" t="n"/>
      <c r="FK30" s="185" t="n"/>
      <c r="FL30" s="178" t="n"/>
      <c r="FM30" s="176" t="n"/>
      <c r="FN30" s="176" t="n"/>
      <c r="FO30" s="176" t="n"/>
      <c r="FP30" s="176" t="n"/>
      <c r="FQ30" s="176" t="n"/>
      <c r="FR30" s="179" t="n"/>
      <c r="FS30" s="176" t="n"/>
      <c r="FT30" s="179" t="n"/>
      <c r="FU30" s="176" t="n"/>
      <c r="FV30" s="179" t="n"/>
      <c r="FW30" s="179" t="n"/>
      <c r="FX30" s="178" t="n"/>
      <c r="FY30" s="186" t="n"/>
      <c r="FZ30" s="183" t="n"/>
      <c r="GA30" s="176" t="n"/>
      <c r="GB30" s="176" t="n"/>
      <c r="GC30" s="185" t="n"/>
      <c r="GD30" s="185" t="n"/>
      <c r="GE30" s="176" t="n"/>
      <c r="GF30" s="176" t="n"/>
      <c r="GG30" s="179" t="n"/>
      <c r="GH30" s="181" t="n"/>
      <c r="GI30" s="183" t="n"/>
      <c r="GJ30" s="183" t="n"/>
      <c r="GK30" s="176" t="n"/>
      <c r="GL30" s="176" t="n"/>
      <c r="GM30" s="176" t="n"/>
      <c r="GN30" s="183" t="n"/>
      <c r="GO30" s="183" t="n"/>
      <c r="GP30" s="183" t="n"/>
      <c r="GQ30" s="183" t="n"/>
      <c r="GR30" s="183" t="n"/>
      <c r="GS30" s="181" t="n"/>
      <c r="GT30" s="181" t="n"/>
    </row>
    <row r="31" ht="119" customFormat="1" customHeight="1" s="11">
      <c r="A31" s="43" t="n"/>
      <c r="B31" s="47" t="n"/>
      <c r="C31" s="44" t="n"/>
      <c r="D31" s="130" t="n"/>
      <c r="E31" s="48" t="n"/>
      <c r="F31" s="43" t="n"/>
      <c r="G31" s="43" t="n"/>
      <c r="H31" s="43" t="n"/>
      <c r="I31" s="131" t="n"/>
      <c r="J31" s="148" t="n"/>
      <c r="K31" s="133" t="n"/>
      <c r="M31" s="67" t="n"/>
      <c r="R31" s="67" t="n"/>
      <c r="S31" s="67" t="n"/>
      <c r="T31" s="147" t="n"/>
      <c r="U31" s="147" t="n"/>
      <c r="V31" s="169" t="n"/>
      <c r="W31" s="169" t="n"/>
      <c r="X31" s="170" t="n"/>
      <c r="Y31" s="26" t="n"/>
      <c r="Z31" s="137" t="n"/>
      <c r="AA31" s="137" t="n"/>
      <c r="AB31" s="137" t="n"/>
      <c r="AC31" s="137" t="n"/>
      <c r="AD31" s="137" t="n"/>
      <c r="AE31" s="137" t="n"/>
      <c r="AF31" s="137" t="n"/>
      <c r="AG31" s="137" t="n"/>
      <c r="AH31" s="137" t="n"/>
      <c r="AI31" s="137" t="n"/>
      <c r="AJ31" s="137" t="n"/>
      <c r="AK31" s="137" t="n"/>
      <c r="AL31" s="137" t="n"/>
      <c r="AM31" s="137" t="n"/>
      <c r="AN31" s="137" t="n"/>
      <c r="AO31" s="137" t="n"/>
      <c r="AP31" s="137" t="n"/>
      <c r="AQ31" s="137" t="n"/>
      <c r="AR31" s="142" t="n"/>
      <c r="AS31" s="142" t="n"/>
      <c r="AT31" s="84" t="n"/>
      <c r="AU31" s="51" t="n"/>
      <c r="AV31" s="51" t="n"/>
      <c r="AW31" s="136" t="n"/>
      <c r="AX31" s="137" t="n"/>
      <c r="AY31" s="117" t="n"/>
      <c r="AZ31" s="117" t="n"/>
      <c r="BA31" s="117" t="n"/>
      <c r="BB31" s="138" t="n"/>
      <c r="BC31" s="139" t="n"/>
      <c r="BD31" s="80" t="n"/>
      <c r="BE31" s="161" t="n"/>
      <c r="BF31" s="161" t="n"/>
      <c r="BG31" s="161" t="n"/>
      <c r="BH31" s="161" t="n"/>
      <c r="BI31" s="161" t="n"/>
      <c r="BJ31" s="162" t="n"/>
      <c r="BK31" s="163" t="n"/>
      <c r="BL31" s="161" t="n"/>
      <c r="BM31" s="164" t="n"/>
      <c r="BN31" s="165" t="n"/>
      <c r="BO31" s="51" t="n"/>
      <c r="BP31" s="135" t="n"/>
      <c r="BQ31" s="135" t="n"/>
      <c r="BR31" s="137" t="n"/>
      <c r="BS31" s="51" t="n"/>
      <c r="BT31" s="142" t="n"/>
      <c r="BU31" s="60" t="n"/>
      <c r="BV31" s="89" t="n"/>
      <c r="BW31" s="61" t="n"/>
      <c r="BX31" s="77" t="n"/>
      <c r="BY31" s="77" t="n"/>
      <c r="BZ31" s="78" t="n"/>
      <c r="CA31" s="60" t="n"/>
      <c r="CB31" s="76" t="n"/>
      <c r="CC31" s="140" t="n"/>
      <c r="CD31" s="171" t="n"/>
      <c r="CE31" s="76" t="n"/>
      <c r="CF31" s="89" t="n"/>
      <c r="CG31" s="91" t="n"/>
      <c r="CH31" s="60" t="n"/>
      <c r="CI31" s="141" t="n"/>
      <c r="CJ31" s="141" t="n"/>
      <c r="CK31" s="141" t="n"/>
      <c r="CL31" s="141" t="n"/>
      <c r="CM31" s="141" t="n"/>
      <c r="CN31" s="64" t="n"/>
      <c r="CO31" s="64" t="n"/>
      <c r="CP31" s="64" t="n"/>
      <c r="CQ31" s="141" t="n"/>
      <c r="CR31" s="141" t="n"/>
      <c r="CS31" s="63" t="n"/>
      <c r="CT31" s="64" t="n"/>
      <c r="CU31" s="64" t="n"/>
      <c r="CV31" s="59" t="n"/>
      <c r="CW31" s="64" t="n"/>
      <c r="CX31" s="51" t="n"/>
      <c r="CY31" s="142" t="n"/>
      <c r="CZ31" s="136" t="n"/>
      <c r="DA31" s="143" t="n"/>
      <c r="DB31" s="63" t="n"/>
      <c r="DC31" s="63" t="n"/>
      <c r="DD31" s="59" t="n"/>
      <c r="DE31" s="141" t="n"/>
      <c r="DF31" s="141" t="n"/>
      <c r="DG31" s="63" t="n"/>
      <c r="DH31" s="63" t="n"/>
      <c r="DI31" s="63" t="n"/>
      <c r="DJ31" s="63" t="n"/>
      <c r="DK31" s="169" t="n"/>
      <c r="DL31" s="59" t="n"/>
      <c r="DM31" s="144" t="n"/>
      <c r="DN31" s="142" t="n"/>
      <c r="DO31" s="51" t="n"/>
      <c r="DP31" s="142" t="n"/>
      <c r="DQ31" s="59" t="n"/>
      <c r="DR31" s="63" t="n"/>
      <c r="DS31" s="142" t="n"/>
      <c r="DT31" s="80" t="n"/>
      <c r="DU31" s="142" t="n"/>
      <c r="DV31" s="144" t="n"/>
      <c r="DW31" s="145" t="n"/>
      <c r="DX31" s="169" t="n"/>
      <c r="DY31" s="172" t="n"/>
      <c r="DZ31" s="146" t="n"/>
      <c r="EA31" s="146" t="n"/>
      <c r="EB31" s="146" t="n"/>
      <c r="EC31" s="63" t="n"/>
      <c r="ED31" s="169" t="n"/>
      <c r="EE31" s="64" t="n"/>
      <c r="EF31" s="60" t="n"/>
      <c r="EG31" s="59" t="n"/>
      <c r="EI31" s="174" t="n"/>
      <c r="EJ31" s="175" t="n"/>
      <c r="EK31" s="176" t="n"/>
      <c r="EL31" s="176" t="n"/>
      <c r="EM31" s="176" t="n"/>
      <c r="EN31" s="176" t="n"/>
      <c r="EO31" s="179" t="n"/>
      <c r="EP31" s="179" t="n"/>
      <c r="EQ31" s="178" t="n"/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n"/>
      <c r="FF31" s="181" t="n"/>
      <c r="FG31" s="185" t="n"/>
      <c r="FH31" s="183" t="n"/>
      <c r="FI31" s="178" t="n"/>
      <c r="FJ31" s="176" t="n"/>
      <c r="FK31" s="185" t="n"/>
      <c r="FL31" s="178" t="n"/>
      <c r="FM31" s="176" t="n"/>
      <c r="FN31" s="176" t="n"/>
      <c r="FO31" s="176" t="n"/>
      <c r="FP31" s="176" t="n"/>
      <c r="FQ31" s="176" t="n"/>
      <c r="FR31" s="179" t="n"/>
      <c r="FS31" s="176" t="n"/>
      <c r="FT31" s="179" t="n"/>
      <c r="FU31" s="176" t="n"/>
      <c r="FV31" s="179" t="n"/>
      <c r="FW31" s="179" t="n"/>
      <c r="FX31" s="178" t="n"/>
      <c r="FY31" s="186" t="n"/>
      <c r="FZ31" s="183" t="n"/>
      <c r="GA31" s="176" t="n"/>
      <c r="GB31" s="176" t="n"/>
      <c r="GC31" s="185" t="n"/>
      <c r="GD31" s="185" t="n"/>
      <c r="GE31" s="176" t="n"/>
      <c r="GF31" s="176" t="n"/>
      <c r="GG31" s="179" t="n"/>
      <c r="GH31" s="181" t="n"/>
      <c r="GI31" s="183" t="n"/>
      <c r="GJ31" s="183" t="n"/>
      <c r="GK31" s="176" t="n"/>
      <c r="GL31" s="176" t="n"/>
      <c r="GM31" s="176" t="n"/>
      <c r="GN31" s="183" t="n"/>
      <c r="GO31" s="183" t="n"/>
      <c r="GP31" s="183" t="n"/>
      <c r="GQ31" s="183" t="n"/>
      <c r="GR31" s="183" t="n"/>
      <c r="GS31" s="181" t="n"/>
      <c r="GT31" s="181" t="n"/>
    </row>
    <row r="32" ht="51" customFormat="1" customHeight="1" s="11">
      <c r="A32" s="43" t="n"/>
      <c r="B32" s="47" t="n"/>
      <c r="C32" s="44" t="n"/>
      <c r="D32" s="130" t="n"/>
      <c r="E32" s="48" t="n"/>
      <c r="F32" s="43" t="n"/>
      <c r="G32" s="43" t="n"/>
      <c r="H32" s="43" t="n"/>
      <c r="I32" s="131" t="n"/>
      <c r="J32" s="148" t="n"/>
      <c r="K32" s="133" t="n"/>
      <c r="M32" s="67" t="n"/>
      <c r="R32" s="67" t="n"/>
      <c r="S32" s="67" t="n"/>
      <c r="T32" s="147" t="n"/>
      <c r="U32" s="147" t="n"/>
      <c r="V32" s="169" t="n"/>
      <c r="W32" s="169" t="n"/>
      <c r="X32" s="170" t="n"/>
      <c r="Y32" s="26" t="n"/>
      <c r="Z32" s="137" t="n"/>
      <c r="AA32" s="137" t="n"/>
      <c r="AB32" s="137" t="n"/>
      <c r="AC32" s="137" t="n"/>
      <c r="AD32" s="137" t="n"/>
      <c r="AE32" s="137" t="n"/>
      <c r="AF32" s="137" t="n"/>
      <c r="AG32" s="137" t="n"/>
      <c r="AH32" s="137" t="n"/>
      <c r="AI32" s="137" t="n"/>
      <c r="AJ32" s="137" t="n"/>
      <c r="AK32" s="137" t="n"/>
      <c r="AL32" s="137" t="n"/>
      <c r="AM32" s="137" t="n"/>
      <c r="AN32" s="137" t="n"/>
      <c r="AO32" s="137" t="n"/>
      <c r="AP32" s="137" t="n"/>
      <c r="AQ32" s="137" t="n"/>
      <c r="AR32" s="142" t="n"/>
      <c r="AS32" s="142" t="n"/>
      <c r="AT32" s="84" t="n"/>
      <c r="AU32" s="51" t="n"/>
      <c r="AV32" s="51" t="n"/>
      <c r="AW32" s="136" t="n"/>
      <c r="AX32" s="137" t="n"/>
      <c r="AY32" s="117" t="n"/>
      <c r="AZ32" s="117" t="n"/>
      <c r="BA32" s="117" t="n"/>
      <c r="BB32" s="138" t="n"/>
      <c r="BC32" s="139" t="n"/>
      <c r="BD32" s="80" t="n"/>
      <c r="BE32" s="161" t="n"/>
      <c r="BF32" s="161" t="n"/>
      <c r="BG32" s="161" t="n"/>
      <c r="BH32" s="161" t="n"/>
      <c r="BI32" s="161" t="n"/>
      <c r="BJ32" s="162" t="n"/>
      <c r="BK32" s="163" t="n"/>
      <c r="BL32" s="161" t="n"/>
      <c r="BM32" s="164" t="n"/>
      <c r="BN32" s="165" t="n"/>
      <c r="BO32" s="51" t="n"/>
      <c r="BP32" s="135" t="n"/>
      <c r="BQ32" s="135" t="n"/>
      <c r="BR32" s="137" t="n"/>
      <c r="BS32" s="51" t="n"/>
      <c r="BT32" s="142" t="n"/>
      <c r="BU32" s="60" t="n"/>
      <c r="BV32" s="89" t="n"/>
      <c r="BW32" s="61" t="n"/>
      <c r="BX32" s="77" t="n"/>
      <c r="BY32" s="77" t="n"/>
      <c r="BZ32" s="78" t="n"/>
      <c r="CA32" s="60" t="n"/>
      <c r="CB32" s="76" t="n"/>
      <c r="CC32" s="140" t="n"/>
      <c r="CD32" s="171" t="n"/>
      <c r="CE32" s="76" t="n"/>
      <c r="CF32" s="89" t="n"/>
      <c r="CG32" s="91" t="n"/>
      <c r="CH32" s="60" t="n"/>
      <c r="CI32" s="141" t="n"/>
      <c r="CJ32" s="141" t="n"/>
      <c r="CK32" s="141" t="n"/>
      <c r="CL32" s="141" t="n"/>
      <c r="CM32" s="141" t="n"/>
      <c r="CN32" s="64" t="n"/>
      <c r="CO32" s="64" t="n"/>
      <c r="CP32" s="64" t="n"/>
      <c r="CQ32" s="141" t="n"/>
      <c r="CR32" s="141" t="n"/>
      <c r="CS32" s="63" t="n"/>
      <c r="CT32" s="64" t="n"/>
      <c r="CU32" s="64" t="n"/>
      <c r="CV32" s="59" t="n"/>
      <c r="CW32" s="64" t="n"/>
      <c r="CX32" s="51" t="n"/>
      <c r="CY32" s="142" t="n"/>
      <c r="CZ32" s="136" t="n"/>
      <c r="DA32" s="143" t="n"/>
      <c r="DB32" s="63" t="n"/>
      <c r="DC32" s="63" t="n"/>
      <c r="DD32" s="59" t="n"/>
      <c r="DE32" s="141" t="n"/>
      <c r="DF32" s="141" t="n"/>
      <c r="DG32" s="63" t="n"/>
      <c r="DH32" s="63" t="n"/>
      <c r="DI32" s="63" t="n"/>
      <c r="DJ32" s="63" t="n"/>
      <c r="DK32" s="169" t="n"/>
      <c r="DL32" s="59" t="n"/>
      <c r="DM32" s="144" t="n"/>
      <c r="DN32" s="142" t="n"/>
      <c r="DO32" s="51" t="n"/>
      <c r="DP32" s="142" t="n"/>
      <c r="DQ32" s="59" t="n"/>
      <c r="DR32" s="63" t="n"/>
      <c r="DS32" s="142" t="n"/>
      <c r="DT32" s="80" t="n"/>
      <c r="DU32" s="142" t="n"/>
      <c r="DV32" s="144" t="n"/>
      <c r="DW32" s="145" t="n"/>
      <c r="DX32" s="169" t="n"/>
      <c r="DY32" s="172" t="n"/>
      <c r="DZ32" s="146" t="n"/>
      <c r="EA32" s="146" t="n"/>
      <c r="EB32" s="146" t="n"/>
      <c r="EC32" s="63" t="n"/>
      <c r="ED32" s="169" t="n"/>
      <c r="EE32" s="64" t="n"/>
      <c r="EF32" s="60" t="n"/>
      <c r="EG32" s="59" t="n"/>
      <c r="EI32" s="174" t="n"/>
      <c r="EJ32" s="175" t="n"/>
      <c r="EK32" s="176" t="n"/>
      <c r="EL32" s="176" t="n"/>
      <c r="EM32" s="176" t="n"/>
      <c r="EN32" s="176" t="n"/>
      <c r="EO32" s="179" t="n"/>
      <c r="EP32" s="179" t="n"/>
      <c r="EQ32" s="178" t="n"/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n"/>
      <c r="FF32" s="181" t="n"/>
      <c r="FG32" s="185" t="n"/>
      <c r="FH32" s="183" t="n"/>
      <c r="FI32" s="178" t="n"/>
      <c r="FJ32" s="176" t="n"/>
      <c r="FK32" s="185" t="n"/>
      <c r="FL32" s="178" t="n"/>
      <c r="FM32" s="176" t="n"/>
      <c r="FN32" s="176" t="n"/>
      <c r="FO32" s="176" t="n"/>
      <c r="FP32" s="176" t="n"/>
      <c r="FQ32" s="176" t="n"/>
      <c r="FR32" s="179" t="n"/>
      <c r="FS32" s="176" t="n"/>
      <c r="FT32" s="179" t="n"/>
      <c r="FU32" s="176" t="n"/>
      <c r="FV32" s="179" t="n"/>
      <c r="FW32" s="179" t="n"/>
      <c r="FX32" s="178" t="n"/>
      <c r="FY32" s="186" t="n"/>
      <c r="FZ32" s="183" t="n"/>
      <c r="GA32" s="176" t="n"/>
      <c r="GB32" s="176" t="n"/>
      <c r="GC32" s="185" t="n"/>
      <c r="GD32" s="185" t="n"/>
      <c r="GE32" s="176" t="n"/>
      <c r="GF32" s="176" t="n"/>
      <c r="GG32" s="179" t="n"/>
      <c r="GH32" s="181" t="n"/>
      <c r="GI32" s="183" t="n"/>
      <c r="GJ32" s="183" t="n"/>
      <c r="GK32" s="176" t="n"/>
      <c r="GL32" s="176" t="n"/>
      <c r="GM32" s="176" t="n"/>
      <c r="GN32" s="183" t="n"/>
      <c r="GO32" s="183" t="n"/>
      <c r="GP32" s="183" t="n"/>
      <c r="GQ32" s="183" t="n"/>
      <c r="GR32" s="183" t="n"/>
      <c r="GS32" s="181" t="n"/>
      <c r="GT32" s="181" t="n"/>
    </row>
    <row r="33" ht="51" customFormat="1" customHeight="1" s="11">
      <c r="A33" s="43" t="n"/>
      <c r="B33" s="47" t="n"/>
      <c r="C33" s="44" t="n"/>
      <c r="D33" s="130" t="n"/>
      <c r="E33" s="48" t="n"/>
      <c r="F33" s="43" t="n"/>
      <c r="G33" s="43" t="n"/>
      <c r="H33" s="43" t="n"/>
      <c r="I33" s="131" t="n"/>
      <c r="J33" s="148" t="n"/>
      <c r="K33" s="133" t="n"/>
      <c r="M33" s="67" t="n"/>
      <c r="R33" s="67" t="n"/>
      <c r="S33" s="67" t="n"/>
      <c r="T33" s="147" t="n"/>
      <c r="U33" s="147" t="n"/>
      <c r="V33" s="169" t="n"/>
      <c r="W33" s="169" t="n"/>
      <c r="X33" s="170" t="n"/>
      <c r="Y33" s="26" t="n"/>
      <c r="Z33" s="137" t="n"/>
      <c r="AA33" s="137" t="n"/>
      <c r="AB33" s="137" t="n"/>
      <c r="AC33" s="137" t="n"/>
      <c r="AD33" s="137" t="n"/>
      <c r="AE33" s="137" t="n"/>
      <c r="AF33" s="137" t="n"/>
      <c r="AG33" s="137" t="n"/>
      <c r="AH33" s="137" t="n"/>
      <c r="AI33" s="137" t="n"/>
      <c r="AJ33" s="137" t="n"/>
      <c r="AK33" s="137" t="n"/>
      <c r="AL33" s="137" t="n"/>
      <c r="AM33" s="137" t="n"/>
      <c r="AN33" s="137" t="n"/>
      <c r="AO33" s="137" t="n"/>
      <c r="AP33" s="137" t="n"/>
      <c r="AQ33" s="137" t="n"/>
      <c r="AR33" s="142" t="n"/>
      <c r="AS33" s="142" t="n"/>
      <c r="AT33" s="84" t="n"/>
      <c r="AU33" s="51" t="n"/>
      <c r="AV33" s="51" t="n"/>
      <c r="AW33" s="136" t="n"/>
      <c r="AX33" s="137" t="n"/>
      <c r="AY33" s="117" t="n"/>
      <c r="AZ33" s="117" t="n"/>
      <c r="BA33" s="117" t="n"/>
      <c r="BB33" s="138" t="n"/>
      <c r="BC33" s="139" t="n"/>
      <c r="BD33" s="80" t="n"/>
      <c r="BE33" s="161" t="n"/>
      <c r="BF33" s="161" t="n"/>
      <c r="BG33" s="161" t="n"/>
      <c r="BH33" s="161" t="n"/>
      <c r="BI33" s="161" t="n"/>
      <c r="BJ33" s="162" t="n"/>
      <c r="BK33" s="163" t="n"/>
      <c r="BL33" s="161" t="n"/>
      <c r="BM33" s="164" t="n"/>
      <c r="BN33" s="165" t="n"/>
      <c r="BO33" s="51" t="n"/>
      <c r="BP33" s="135" t="n"/>
      <c r="BQ33" s="135" t="n"/>
      <c r="BR33" s="137" t="n"/>
      <c r="BS33" s="51" t="n"/>
      <c r="BT33" s="142" t="n"/>
      <c r="BU33" s="60" t="n"/>
      <c r="BV33" s="89" t="n"/>
      <c r="BW33" s="61" t="n"/>
      <c r="BX33" s="77" t="n"/>
      <c r="BY33" s="77" t="n"/>
      <c r="BZ33" s="78" t="n"/>
      <c r="CA33" s="60" t="n"/>
      <c r="CB33" s="76" t="n"/>
      <c r="CC33" s="140" t="n"/>
      <c r="CD33" s="171" t="n"/>
      <c r="CE33" s="76" t="n"/>
      <c r="CF33" s="89" t="n"/>
      <c r="CG33" s="91" t="n"/>
      <c r="CH33" s="60" t="n"/>
      <c r="CI33" s="141" t="n"/>
      <c r="CJ33" s="141" t="n"/>
      <c r="CK33" s="141" t="n"/>
      <c r="CL33" s="141" t="n"/>
      <c r="CM33" s="141" t="n"/>
      <c r="CN33" s="64" t="n"/>
      <c r="CO33" s="64" t="n"/>
      <c r="CP33" s="64" t="n"/>
      <c r="CQ33" s="141" t="n"/>
      <c r="CR33" s="141" t="n"/>
      <c r="CS33" s="63" t="n"/>
      <c r="CT33" s="64" t="n"/>
      <c r="CU33" s="64" t="n"/>
      <c r="CV33" s="59" t="n"/>
      <c r="CW33" s="64" t="n"/>
      <c r="CX33" s="51" t="n"/>
      <c r="CY33" s="142" t="n"/>
      <c r="CZ33" s="136" t="n"/>
      <c r="DA33" s="143" t="n"/>
      <c r="DB33" s="63" t="n"/>
      <c r="DC33" s="63" t="n"/>
      <c r="DD33" s="59" t="n"/>
      <c r="DE33" s="141" t="n"/>
      <c r="DF33" s="141" t="n"/>
      <c r="DG33" s="63" t="n"/>
      <c r="DH33" s="63" t="n"/>
      <c r="DI33" s="63" t="n"/>
      <c r="DJ33" s="63" t="n"/>
      <c r="DK33" s="169" t="n"/>
      <c r="DL33" s="59" t="n"/>
      <c r="DM33" s="144" t="n"/>
      <c r="DN33" s="142" t="n"/>
      <c r="DO33" s="51" t="n"/>
      <c r="DP33" s="142" t="n"/>
      <c r="DQ33" s="59" t="n"/>
      <c r="DR33" s="63" t="n"/>
      <c r="DS33" s="142" t="n"/>
      <c r="DT33" s="80" t="n"/>
      <c r="DU33" s="142" t="n"/>
      <c r="DV33" s="144" t="n"/>
      <c r="DW33" s="145" t="n"/>
      <c r="DX33" s="169" t="n"/>
      <c r="DY33" s="172" t="n"/>
      <c r="DZ33" s="146" t="n"/>
      <c r="EA33" s="146" t="n"/>
      <c r="EB33" s="146" t="n"/>
      <c r="EC33" s="63" t="n"/>
      <c r="ED33" s="169" t="n"/>
      <c r="EE33" s="64" t="n"/>
      <c r="EF33" s="60" t="n"/>
      <c r="EG33" s="59" t="n"/>
      <c r="EI33" s="174" t="n"/>
      <c r="EJ33" s="175" t="n"/>
      <c r="EK33" s="176" t="n"/>
      <c r="EL33" s="176" t="n"/>
      <c r="EM33" s="176" t="n"/>
      <c r="EN33" s="176" t="n"/>
      <c r="EO33" s="179" t="n"/>
      <c r="EP33" s="179" t="n"/>
      <c r="EQ33" s="178" t="n"/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n"/>
      <c r="FF33" s="181" t="n"/>
      <c r="FG33" s="185" t="n"/>
      <c r="FH33" s="183" t="n"/>
      <c r="FI33" s="178" t="n"/>
      <c r="FJ33" s="176" t="n"/>
      <c r="FK33" s="185" t="n"/>
      <c r="FL33" s="178" t="n"/>
      <c r="FM33" s="176" t="n"/>
      <c r="FN33" s="176" t="n"/>
      <c r="FO33" s="176" t="n"/>
      <c r="FP33" s="176" t="n"/>
      <c r="FQ33" s="176" t="n"/>
      <c r="FR33" s="179" t="n"/>
      <c r="FS33" s="176" t="n"/>
      <c r="FT33" s="179" t="n"/>
      <c r="FU33" s="176" t="n"/>
      <c r="FV33" s="179" t="n"/>
      <c r="FW33" s="179" t="n"/>
      <c r="FX33" s="178" t="n"/>
      <c r="FY33" s="186" t="n"/>
      <c r="FZ33" s="183" t="n"/>
      <c r="GA33" s="176" t="n"/>
      <c r="GB33" s="176" t="n"/>
      <c r="GC33" s="185" t="n"/>
      <c r="GD33" s="185" t="n"/>
      <c r="GE33" s="176" t="n"/>
      <c r="GF33" s="176" t="n"/>
      <c r="GG33" s="179" t="n"/>
      <c r="GH33" s="181" t="n"/>
      <c r="GI33" s="183" t="n"/>
      <c r="GJ33" s="183" t="n"/>
      <c r="GK33" s="176" t="n"/>
      <c r="GL33" s="176" t="n"/>
      <c r="GM33" s="176" t="n"/>
      <c r="GN33" s="183" t="n"/>
      <c r="GO33" s="183" t="n"/>
      <c r="GP33" s="183" t="n"/>
      <c r="GQ33" s="183" t="n"/>
      <c r="GR33" s="183" t="n"/>
      <c r="GS33" s="181" t="n"/>
      <c r="GT33" s="181" t="n"/>
    </row>
    <row r="34" ht="68" customFormat="1" customHeight="1" s="11">
      <c r="A34" s="43" t="n"/>
      <c r="B34" s="47" t="n"/>
      <c r="C34" s="44" t="n"/>
      <c r="D34" s="130" t="n"/>
      <c r="E34" s="48" t="n"/>
      <c r="F34" s="43" t="n"/>
      <c r="G34" s="43" t="n"/>
      <c r="H34" s="43" t="n"/>
      <c r="I34" s="131" t="n"/>
      <c r="J34" s="148" t="n"/>
      <c r="K34" s="133" t="n"/>
      <c r="M34" s="67" t="n"/>
      <c r="R34" s="67" t="n"/>
      <c r="S34" s="67" t="n"/>
      <c r="T34" s="147" t="n"/>
      <c r="U34" s="147" t="n"/>
      <c r="V34" s="169" t="n"/>
      <c r="W34" s="169" t="n"/>
      <c r="X34" s="170" t="n"/>
      <c r="Y34" s="26" t="n"/>
      <c r="Z34" s="137" t="n"/>
      <c r="AA34" s="137" t="n"/>
      <c r="AB34" s="137" t="n"/>
      <c r="AC34" s="137" t="n"/>
      <c r="AD34" s="137" t="n"/>
      <c r="AE34" s="137" t="n"/>
      <c r="AF34" s="137" t="n"/>
      <c r="AG34" s="137" t="n"/>
      <c r="AH34" s="137" t="n"/>
      <c r="AI34" s="137" t="n"/>
      <c r="AJ34" s="137" t="n"/>
      <c r="AK34" s="137" t="n"/>
      <c r="AL34" s="137" t="n"/>
      <c r="AM34" s="137" t="n"/>
      <c r="AN34" s="137" t="n"/>
      <c r="AO34" s="137" t="n"/>
      <c r="AP34" s="137" t="n"/>
      <c r="AQ34" s="137" t="n"/>
      <c r="AR34" s="142" t="n"/>
      <c r="AS34" s="142" t="n"/>
      <c r="AT34" s="84" t="n"/>
      <c r="AU34" s="51" t="n"/>
      <c r="AV34" s="51" t="n"/>
      <c r="AW34" s="136" t="n"/>
      <c r="AX34" s="137" t="n"/>
      <c r="AY34" s="117" t="n"/>
      <c r="AZ34" s="117" t="n"/>
      <c r="BA34" s="117" t="n"/>
      <c r="BB34" s="138" t="n"/>
      <c r="BC34" s="139" t="n"/>
      <c r="BD34" s="80" t="n"/>
      <c r="BE34" s="161" t="n"/>
      <c r="BF34" s="161" t="n"/>
      <c r="BG34" s="161" t="n"/>
      <c r="BH34" s="161" t="n"/>
      <c r="BI34" s="161" t="n"/>
      <c r="BJ34" s="162" t="n"/>
      <c r="BK34" s="163" t="n"/>
      <c r="BL34" s="161" t="n"/>
      <c r="BM34" s="164" t="n"/>
      <c r="BN34" s="165" t="n"/>
      <c r="BO34" s="51" t="n"/>
      <c r="BP34" s="135" t="n"/>
      <c r="BQ34" s="135" t="n"/>
      <c r="BR34" s="137" t="n"/>
      <c r="BS34" s="51" t="n"/>
      <c r="BT34" s="142" t="n"/>
      <c r="BU34" s="60" t="n"/>
      <c r="BV34" s="89" t="n"/>
      <c r="BW34" s="61" t="n"/>
      <c r="BX34" s="77" t="n"/>
      <c r="BY34" s="77" t="n"/>
      <c r="BZ34" s="78" t="n"/>
      <c r="CA34" s="60" t="n"/>
      <c r="CB34" s="76" t="n"/>
      <c r="CC34" s="140" t="n"/>
      <c r="CD34" s="171" t="n"/>
      <c r="CE34" s="76" t="n"/>
      <c r="CF34" s="89" t="n"/>
      <c r="CG34" s="91" t="n"/>
      <c r="CH34" s="60" t="n"/>
      <c r="CI34" s="141" t="n"/>
      <c r="CJ34" s="141" t="n"/>
      <c r="CK34" s="141" t="n"/>
      <c r="CL34" s="141" t="n"/>
      <c r="CM34" s="141" t="n"/>
      <c r="CN34" s="64" t="n"/>
      <c r="CO34" s="64" t="n"/>
      <c r="CP34" s="64" t="n"/>
      <c r="CQ34" s="141" t="n"/>
      <c r="CR34" s="141" t="n"/>
      <c r="CS34" s="63" t="n"/>
      <c r="CT34" s="64" t="n"/>
      <c r="CU34" s="64" t="n"/>
      <c r="CV34" s="59" t="n"/>
      <c r="CW34" s="64" t="n"/>
      <c r="CX34" s="51" t="n"/>
      <c r="CY34" s="142" t="n"/>
      <c r="CZ34" s="136" t="n"/>
      <c r="DA34" s="143" t="n"/>
      <c r="DB34" s="63" t="n"/>
      <c r="DC34" s="63" t="n"/>
      <c r="DD34" s="59" t="n"/>
      <c r="DE34" s="141" t="n"/>
      <c r="DF34" s="141" t="n"/>
      <c r="DG34" s="63" t="n"/>
      <c r="DH34" s="63" t="n"/>
      <c r="DI34" s="63" t="n"/>
      <c r="DJ34" s="63" t="n"/>
      <c r="DK34" s="169" t="n"/>
      <c r="DL34" s="59" t="n"/>
      <c r="DM34" s="144" t="n"/>
      <c r="DN34" s="142" t="n"/>
      <c r="DO34" s="51" t="n"/>
      <c r="DP34" s="142" t="n"/>
      <c r="DQ34" s="59" t="n"/>
      <c r="DR34" s="63" t="n"/>
      <c r="DS34" s="142" t="n"/>
      <c r="DT34" s="80" t="n"/>
      <c r="DU34" s="142" t="n"/>
      <c r="DV34" s="144" t="n"/>
      <c r="DW34" s="145" t="n"/>
      <c r="DX34" s="169" t="n"/>
      <c r="DY34" s="172" t="n"/>
      <c r="DZ34" s="146" t="n"/>
      <c r="EA34" s="146" t="n"/>
      <c r="EB34" s="146" t="n"/>
      <c r="EC34" s="63" t="n"/>
      <c r="ED34" s="169" t="n"/>
      <c r="EE34" s="64" t="n"/>
      <c r="EF34" s="60" t="n"/>
      <c r="EG34" s="59" t="n"/>
      <c r="EI34" s="174" t="n"/>
      <c r="EJ34" s="175" t="n"/>
      <c r="EK34" s="176" t="n"/>
      <c r="EL34" s="176" t="n"/>
      <c r="EM34" s="176" t="n"/>
      <c r="EN34" s="176" t="n"/>
      <c r="EO34" s="179" t="n"/>
      <c r="EP34" s="179" t="n"/>
      <c r="EQ34" s="178" t="n"/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n"/>
      <c r="FF34" s="181" t="n"/>
      <c r="FG34" s="185" t="n"/>
      <c r="FH34" s="183" t="n"/>
      <c r="FI34" s="178" t="n"/>
      <c r="FJ34" s="176" t="n"/>
      <c r="FK34" s="185" t="n"/>
      <c r="FL34" s="178" t="n"/>
      <c r="FM34" s="176" t="n"/>
      <c r="FN34" s="176" t="n"/>
      <c r="FO34" s="176" t="n"/>
      <c r="FP34" s="176" t="n"/>
      <c r="FQ34" s="176" t="n"/>
      <c r="FR34" s="179" t="n"/>
      <c r="FS34" s="176" t="n"/>
      <c r="FT34" s="179" t="n"/>
      <c r="FU34" s="176" t="n"/>
      <c r="FV34" s="179" t="n"/>
      <c r="FW34" s="179" t="n"/>
      <c r="FX34" s="178" t="n"/>
      <c r="FY34" s="186" t="n"/>
      <c r="FZ34" s="183" t="n"/>
      <c r="GA34" s="176" t="n"/>
      <c r="GB34" s="176" t="n"/>
      <c r="GC34" s="185" t="n"/>
      <c r="GD34" s="185" t="n"/>
      <c r="GE34" s="176" t="n"/>
      <c r="GF34" s="176" t="n"/>
      <c r="GG34" s="179" t="n"/>
      <c r="GH34" s="181" t="n"/>
      <c r="GI34" s="183" t="n"/>
      <c r="GJ34" s="183" t="n"/>
      <c r="GK34" s="176" t="n"/>
      <c r="GL34" s="176" t="n"/>
      <c r="GM34" s="176" t="n"/>
      <c r="GN34" s="183" t="n"/>
      <c r="GO34" s="183" t="n"/>
      <c r="GP34" s="183" t="n"/>
      <c r="GQ34" s="183" t="n"/>
      <c r="GR34" s="183" t="n"/>
      <c r="GS34" s="181" t="n"/>
      <c r="GT34" s="181" t="n"/>
    </row>
    <row r="35" ht="34" customFormat="1" customHeight="1" s="11">
      <c r="A35" s="43" t="n"/>
      <c r="B35" s="47" t="n"/>
      <c r="C35" s="44" t="n"/>
      <c r="D35" s="130" t="n"/>
      <c r="E35" s="48" t="n"/>
      <c r="F35" s="43" t="n"/>
      <c r="G35" s="43" t="n"/>
      <c r="H35" s="43" t="n"/>
      <c r="I35" s="131" t="n"/>
      <c r="J35" s="148" t="n"/>
      <c r="K35" s="133" t="n"/>
      <c r="M35" s="67" t="n"/>
      <c r="R35" s="67" t="n"/>
      <c r="S35" s="67" t="n"/>
      <c r="T35" s="147" t="n"/>
      <c r="U35" s="147" t="n"/>
      <c r="V35" s="169" t="n"/>
      <c r="W35" s="169" t="n"/>
      <c r="X35" s="170" t="n"/>
      <c r="Y35" s="26" t="n"/>
      <c r="Z35" s="137" t="n"/>
      <c r="AA35" s="137" t="n"/>
      <c r="AB35" s="137" t="n"/>
      <c r="AC35" s="137" t="n"/>
      <c r="AD35" s="137" t="n"/>
      <c r="AE35" s="137" t="n"/>
      <c r="AF35" s="137" t="n"/>
      <c r="AG35" s="137" t="n"/>
      <c r="AH35" s="137" t="n"/>
      <c r="AI35" s="137" t="n"/>
      <c r="AJ35" s="137" t="n"/>
      <c r="AK35" s="137" t="n"/>
      <c r="AL35" s="137" t="n"/>
      <c r="AM35" s="137" t="n"/>
      <c r="AN35" s="137" t="n"/>
      <c r="AO35" s="137" t="n"/>
      <c r="AP35" s="137" t="n"/>
      <c r="AQ35" s="137" t="n"/>
      <c r="AR35" s="142" t="n"/>
      <c r="AS35" s="142" t="n"/>
      <c r="AT35" s="84" t="n"/>
      <c r="AU35" s="51" t="n"/>
      <c r="AV35" s="51" t="n"/>
      <c r="AW35" s="136" t="n"/>
      <c r="AX35" s="137" t="n"/>
      <c r="AY35" s="117" t="n"/>
      <c r="AZ35" s="117" t="n"/>
      <c r="BA35" s="117" t="n"/>
      <c r="BB35" s="138" t="n"/>
      <c r="BC35" s="139" t="n"/>
      <c r="BD35" s="80" t="n"/>
      <c r="BE35" s="161" t="n"/>
      <c r="BF35" s="161" t="n"/>
      <c r="BG35" s="161" t="n"/>
      <c r="BH35" s="161" t="n"/>
      <c r="BI35" s="161" t="n"/>
      <c r="BJ35" s="162" t="n"/>
      <c r="BK35" s="163" t="n"/>
      <c r="BL35" s="161" t="n"/>
      <c r="BM35" s="164" t="n"/>
      <c r="BN35" s="165" t="n"/>
      <c r="BO35" s="51" t="n"/>
      <c r="BP35" s="135" t="n"/>
      <c r="BQ35" s="135" t="n"/>
      <c r="BR35" s="137" t="n"/>
      <c r="BS35" s="51" t="n"/>
      <c r="BT35" s="142" t="n"/>
      <c r="BU35" s="60" t="n"/>
      <c r="BV35" s="89" t="n"/>
      <c r="BW35" s="61" t="n"/>
      <c r="BX35" s="77" t="n"/>
      <c r="BY35" s="77" t="n"/>
      <c r="BZ35" s="78" t="n"/>
      <c r="CA35" s="60" t="n"/>
      <c r="CB35" s="76" t="n"/>
      <c r="CC35" s="140" t="n"/>
      <c r="CD35" s="171" t="n"/>
      <c r="CE35" s="76" t="n"/>
      <c r="CF35" s="89" t="n"/>
      <c r="CG35" s="91" t="n"/>
      <c r="CH35" s="60" t="n"/>
      <c r="CI35" s="141" t="n"/>
      <c r="CJ35" s="141" t="n"/>
      <c r="CK35" s="141" t="n"/>
      <c r="CL35" s="141" t="n"/>
      <c r="CM35" s="141" t="n"/>
      <c r="CN35" s="64" t="n"/>
      <c r="CO35" s="64" t="n"/>
      <c r="CP35" s="64" t="n"/>
      <c r="CQ35" s="141" t="n"/>
      <c r="CR35" s="141" t="n"/>
      <c r="CS35" s="63" t="n"/>
      <c r="CT35" s="64" t="n"/>
      <c r="CU35" s="64" t="n"/>
      <c r="CV35" s="59" t="n"/>
      <c r="CW35" s="64" t="n"/>
      <c r="CX35" s="51" t="n"/>
      <c r="CY35" s="142" t="n"/>
      <c r="CZ35" s="136" t="n"/>
      <c r="DA35" s="143" t="n"/>
      <c r="DB35" s="63" t="n"/>
      <c r="DC35" s="63" t="n"/>
      <c r="DD35" s="59" t="n"/>
      <c r="DE35" s="141" t="n"/>
      <c r="DF35" s="141" t="n"/>
      <c r="DG35" s="63" t="n"/>
      <c r="DH35" s="63" t="n"/>
      <c r="DI35" s="63" t="n"/>
      <c r="DJ35" s="63" t="n"/>
      <c r="DK35" s="169" t="n"/>
      <c r="DL35" s="59" t="n"/>
      <c r="DM35" s="144" t="n"/>
      <c r="DN35" s="142" t="n"/>
      <c r="DO35" s="51" t="n"/>
      <c r="DP35" s="142" t="n"/>
      <c r="DQ35" s="59" t="n"/>
      <c r="DR35" s="63" t="n"/>
      <c r="DS35" s="142" t="n"/>
      <c r="DT35" s="80" t="n"/>
      <c r="DU35" s="142" t="n"/>
      <c r="DV35" s="144" t="n"/>
      <c r="DW35" s="145" t="n"/>
      <c r="DX35" s="169" t="n"/>
      <c r="DY35" s="172" t="n"/>
      <c r="DZ35" s="146" t="n"/>
      <c r="EA35" s="146" t="n"/>
      <c r="EB35" s="146" t="n"/>
      <c r="EC35" s="63" t="n"/>
      <c r="ED35" s="169" t="n"/>
      <c r="EE35" s="64" t="n"/>
      <c r="EF35" s="60" t="n"/>
      <c r="EG35" s="59" t="n"/>
      <c r="EI35" s="174" t="n"/>
      <c r="EJ35" s="175" t="n"/>
      <c r="EK35" s="176" t="n"/>
      <c r="EL35" s="176" t="n"/>
      <c r="EM35" s="176" t="n"/>
      <c r="EN35" s="176" t="n"/>
      <c r="EO35" s="179" t="n"/>
      <c r="EP35" s="179" t="n"/>
      <c r="EQ35" s="178" t="n"/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n"/>
      <c r="FF35" s="181" t="n"/>
      <c r="FG35" s="185" t="n"/>
      <c r="FH35" s="183" t="n"/>
      <c r="FI35" s="178" t="n"/>
      <c r="FJ35" s="176" t="n"/>
      <c r="FK35" s="185" t="n"/>
      <c r="FL35" s="178" t="n"/>
      <c r="FM35" s="176" t="n"/>
      <c r="FN35" s="176" t="n"/>
      <c r="FO35" s="176" t="n"/>
      <c r="FP35" s="176" t="n"/>
      <c r="FQ35" s="176" t="n"/>
      <c r="FR35" s="179" t="n"/>
      <c r="FS35" s="176" t="n"/>
      <c r="FT35" s="179" t="n"/>
      <c r="FU35" s="176" t="n"/>
      <c r="FV35" s="179" t="n"/>
      <c r="FW35" s="179" t="n"/>
      <c r="FX35" s="178" t="n"/>
      <c r="FY35" s="186" t="n"/>
      <c r="FZ35" s="183" t="n"/>
      <c r="GA35" s="176" t="n"/>
      <c r="GB35" s="176" t="n"/>
      <c r="GC35" s="185" t="n"/>
      <c r="GD35" s="185" t="n"/>
      <c r="GE35" s="176" t="n"/>
      <c r="GF35" s="176" t="n"/>
      <c r="GG35" s="179" t="n"/>
      <c r="GH35" s="181" t="n"/>
      <c r="GI35" s="183" t="n"/>
      <c r="GJ35" s="183" t="n"/>
      <c r="GK35" s="176" t="n"/>
      <c r="GL35" s="176" t="n"/>
      <c r="GM35" s="176" t="n"/>
      <c r="GN35" s="183" t="n"/>
      <c r="GO35" s="183" t="n"/>
      <c r="GP35" s="183" t="n"/>
      <c r="GQ35" s="183" t="n"/>
      <c r="GR35" s="183" t="n"/>
      <c r="GS35" s="181" t="n"/>
      <c r="GT35" s="181" t="n"/>
    </row>
    <row r="36" ht="51" customFormat="1" customHeight="1" s="11">
      <c r="A36" s="43" t="n"/>
      <c r="B36" s="47" t="n"/>
      <c r="C36" s="44" t="n"/>
      <c r="D36" s="130" t="n"/>
      <c r="E36" s="48" t="n"/>
      <c r="F36" s="43" t="n"/>
      <c r="G36" s="43" t="n"/>
      <c r="H36" s="43" t="n"/>
      <c r="I36" s="131" t="n"/>
      <c r="J36" s="148" t="n"/>
      <c r="K36" s="133" t="n"/>
      <c r="M36" s="67" t="n"/>
      <c r="R36" s="67" t="n"/>
      <c r="S36" s="67" t="n"/>
      <c r="T36" s="147" t="n"/>
      <c r="U36" s="147" t="n"/>
      <c r="V36" s="169" t="n"/>
      <c r="W36" s="169" t="n"/>
      <c r="X36" s="170" t="n"/>
      <c r="Y36" s="26" t="n"/>
      <c r="Z36" s="137" t="n"/>
      <c r="AA36" s="137" t="n"/>
      <c r="AB36" s="137" t="n"/>
      <c r="AC36" s="137" t="n"/>
      <c r="AD36" s="137" t="n"/>
      <c r="AE36" s="137" t="n"/>
      <c r="AF36" s="137" t="n"/>
      <c r="AG36" s="137" t="n"/>
      <c r="AH36" s="137" t="n"/>
      <c r="AI36" s="137" t="n"/>
      <c r="AJ36" s="137" t="n"/>
      <c r="AK36" s="137" t="n"/>
      <c r="AL36" s="137" t="n"/>
      <c r="AM36" s="137" t="n"/>
      <c r="AN36" s="137" t="n"/>
      <c r="AO36" s="137" t="n"/>
      <c r="AP36" s="137" t="n"/>
      <c r="AQ36" s="137" t="n"/>
      <c r="AR36" s="142" t="n"/>
      <c r="AS36" s="142" t="n"/>
      <c r="AT36" s="84" t="n"/>
      <c r="AU36" s="51" t="n"/>
      <c r="AV36" s="51" t="n"/>
      <c r="AW36" s="136" t="n"/>
      <c r="AX36" s="137" t="n"/>
      <c r="AY36" s="117" t="n"/>
      <c r="AZ36" s="117" t="n"/>
      <c r="BA36" s="117" t="n"/>
      <c r="BB36" s="138" t="n"/>
      <c r="BC36" s="139" t="n"/>
      <c r="BD36" s="80" t="n"/>
      <c r="BE36" s="161" t="n"/>
      <c r="BF36" s="161" t="n"/>
      <c r="BG36" s="161" t="n"/>
      <c r="BH36" s="161" t="n"/>
      <c r="BI36" s="161" t="n"/>
      <c r="BJ36" s="162" t="n"/>
      <c r="BK36" s="163" t="n"/>
      <c r="BL36" s="161" t="n"/>
      <c r="BM36" s="164" t="n"/>
      <c r="BN36" s="165" t="n"/>
      <c r="BO36" s="51" t="n"/>
      <c r="BP36" s="135" t="n"/>
      <c r="BQ36" s="135" t="n"/>
      <c r="BR36" s="137" t="n"/>
      <c r="BS36" s="51" t="n"/>
      <c r="BT36" s="142" t="n"/>
      <c r="BU36" s="60" t="n"/>
      <c r="BV36" s="89" t="n"/>
      <c r="BW36" s="61" t="n"/>
      <c r="BX36" s="77" t="n"/>
      <c r="BY36" s="77" t="n"/>
      <c r="BZ36" s="78" t="n"/>
      <c r="CA36" s="60" t="n"/>
      <c r="CB36" s="76" t="n"/>
      <c r="CC36" s="140" t="n"/>
      <c r="CD36" s="171" t="n"/>
      <c r="CE36" s="76" t="n"/>
      <c r="CF36" s="89" t="n"/>
      <c r="CG36" s="91" t="n"/>
      <c r="CH36" s="60" t="n"/>
      <c r="CI36" s="141" t="n"/>
      <c r="CJ36" s="141" t="n"/>
      <c r="CK36" s="141" t="n"/>
      <c r="CL36" s="141" t="n"/>
      <c r="CM36" s="141" t="n"/>
      <c r="CN36" s="64" t="n"/>
      <c r="CO36" s="64" t="n"/>
      <c r="CP36" s="64" t="n"/>
      <c r="CQ36" s="141" t="n"/>
      <c r="CR36" s="141" t="n"/>
      <c r="CS36" s="63" t="n"/>
      <c r="CT36" s="64" t="n"/>
      <c r="CU36" s="64" t="n"/>
      <c r="CV36" s="59" t="n"/>
      <c r="CW36" s="64" t="n"/>
      <c r="CX36" s="51" t="n"/>
      <c r="CY36" s="142" t="n"/>
      <c r="CZ36" s="136" t="n"/>
      <c r="DA36" s="143" t="n"/>
      <c r="DB36" s="63" t="n"/>
      <c r="DC36" s="63" t="n"/>
      <c r="DD36" s="59" t="n"/>
      <c r="DE36" s="141" t="n"/>
      <c r="DF36" s="141" t="n"/>
      <c r="DG36" s="63" t="n"/>
      <c r="DH36" s="63" t="n"/>
      <c r="DI36" s="63" t="n"/>
      <c r="DJ36" s="63" t="n"/>
      <c r="DK36" s="169" t="n"/>
      <c r="DL36" s="59" t="n"/>
      <c r="DM36" s="144" t="n"/>
      <c r="DN36" s="142" t="n"/>
      <c r="DO36" s="51" t="n"/>
      <c r="DP36" s="142" t="n"/>
      <c r="DQ36" s="59" t="n"/>
      <c r="DR36" s="63" t="n"/>
      <c r="DS36" s="142" t="n"/>
      <c r="DT36" s="80" t="n"/>
      <c r="DU36" s="142" t="n"/>
      <c r="DV36" s="144" t="n"/>
      <c r="DW36" s="145" t="n"/>
      <c r="DX36" s="169" t="n"/>
      <c r="DY36" s="172" t="n"/>
      <c r="DZ36" s="146" t="n"/>
      <c r="EA36" s="146" t="n"/>
      <c r="EB36" s="146" t="n"/>
      <c r="EC36" s="63" t="n"/>
      <c r="ED36" s="169" t="n"/>
      <c r="EE36" s="64" t="n"/>
      <c r="EF36" s="60" t="n"/>
      <c r="EG36" s="59" t="n"/>
      <c r="EI36" s="174" t="n"/>
      <c r="EJ36" s="175" t="n"/>
      <c r="EK36" s="176" t="n"/>
      <c r="EL36" s="176" t="n"/>
      <c r="EM36" s="176" t="n"/>
      <c r="EN36" s="176" t="n"/>
      <c r="EO36" s="179" t="n"/>
      <c r="EP36" s="179" t="n"/>
      <c r="EQ36" s="178" t="n"/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n"/>
      <c r="FF36" s="181" t="n"/>
      <c r="FG36" s="185" t="n"/>
      <c r="FH36" s="183" t="n"/>
      <c r="FI36" s="178" t="n"/>
      <c r="FJ36" s="176" t="n"/>
      <c r="FK36" s="185" t="n"/>
      <c r="FL36" s="178" t="n"/>
      <c r="FM36" s="176" t="n"/>
      <c r="FN36" s="176" t="n"/>
      <c r="FO36" s="176" t="n"/>
      <c r="FP36" s="176" t="n"/>
      <c r="FQ36" s="176" t="n"/>
      <c r="FR36" s="179" t="n"/>
      <c r="FS36" s="176" t="n"/>
      <c r="FT36" s="179" t="n"/>
      <c r="FU36" s="176" t="n"/>
      <c r="FV36" s="179" t="n"/>
      <c r="FW36" s="179" t="n"/>
      <c r="FX36" s="178" t="n"/>
      <c r="FY36" s="186" t="n"/>
      <c r="FZ36" s="183" t="n"/>
      <c r="GA36" s="176" t="n"/>
      <c r="GB36" s="176" t="n"/>
      <c r="GC36" s="185" t="n"/>
      <c r="GD36" s="185" t="n"/>
      <c r="GE36" s="176" t="n"/>
      <c r="GF36" s="176" t="n"/>
      <c r="GG36" s="179" t="n"/>
      <c r="GH36" s="181" t="n"/>
      <c r="GI36" s="183" t="n"/>
      <c r="GJ36" s="183" t="n"/>
      <c r="GK36" s="176" t="n"/>
      <c r="GL36" s="176" t="n"/>
      <c r="GM36" s="176" t="n"/>
      <c r="GN36" s="183" t="n"/>
      <c r="GO36" s="183" t="n"/>
      <c r="GP36" s="183" t="n"/>
      <c r="GQ36" s="183" t="n"/>
      <c r="GR36" s="183" t="n"/>
      <c r="GS36" s="181" t="n"/>
      <c r="GT36" s="181" t="n"/>
    </row>
    <row r="37" ht="34" customFormat="1" customHeight="1" s="12">
      <c r="A37" s="43" t="n"/>
      <c r="B37" s="47" t="n"/>
      <c r="C37" s="44" t="n"/>
      <c r="D37" s="130" t="n"/>
      <c r="E37" s="48" t="n"/>
      <c r="F37" s="43" t="n"/>
      <c r="G37" s="43" t="n"/>
      <c r="H37" s="43" t="n"/>
      <c r="I37" s="131" t="n"/>
      <c r="J37" s="148" t="n"/>
      <c r="K37" s="133" t="n"/>
      <c r="M37" s="67" t="n"/>
      <c r="R37" s="67" t="n"/>
      <c r="S37" s="67" t="n"/>
      <c r="T37" s="147" t="n"/>
      <c r="U37" s="147" t="n"/>
      <c r="V37" s="169" t="n"/>
      <c r="W37" s="169" t="n"/>
      <c r="X37" s="170" t="n"/>
      <c r="Y37" s="26" t="n"/>
      <c r="Z37" s="137" t="n"/>
      <c r="AA37" s="137" t="n"/>
      <c r="AB37" s="137" t="n"/>
      <c r="AC37" s="137" t="n"/>
      <c r="AD37" s="137" t="n"/>
      <c r="AE37" s="137" t="n"/>
      <c r="AF37" s="137" t="n"/>
      <c r="AG37" s="137" t="n"/>
      <c r="AH37" s="137" t="n"/>
      <c r="AI37" s="137" t="n"/>
      <c r="AJ37" s="137" t="n"/>
      <c r="AK37" s="137" t="n"/>
      <c r="AL37" s="137" t="n"/>
      <c r="AM37" s="137" t="n"/>
      <c r="AN37" s="137" t="n"/>
      <c r="AO37" s="137" t="n"/>
      <c r="AP37" s="137" t="n"/>
      <c r="AQ37" s="137" t="n"/>
      <c r="AR37" s="142" t="n"/>
      <c r="AS37" s="142" t="n"/>
      <c r="AT37" s="84" t="n"/>
      <c r="AU37" s="51" t="n"/>
      <c r="AV37" s="51" t="n"/>
      <c r="AW37" s="136" t="n"/>
      <c r="AX37" s="137" t="n"/>
      <c r="AY37" s="117" t="n"/>
      <c r="AZ37" s="117" t="n"/>
      <c r="BA37" s="117" t="n"/>
      <c r="BB37" s="138" t="n"/>
      <c r="BC37" s="139" t="n"/>
      <c r="BD37" s="80" t="n"/>
      <c r="BE37" s="161" t="n"/>
      <c r="BF37" s="161" t="n"/>
      <c r="BG37" s="161" t="n"/>
      <c r="BH37" s="161" t="n"/>
      <c r="BI37" s="161" t="n"/>
      <c r="BJ37" s="162" t="n"/>
      <c r="BK37" s="163" t="n"/>
      <c r="BL37" s="161" t="n"/>
      <c r="BM37" s="164" t="n"/>
      <c r="BN37" s="165" t="n"/>
      <c r="BO37" s="51" t="n"/>
      <c r="BP37" s="135" t="n"/>
      <c r="BQ37" s="135" t="n"/>
      <c r="BR37" s="137" t="n"/>
      <c r="BS37" s="51" t="n"/>
      <c r="BT37" s="142" t="n"/>
      <c r="BU37" s="60" t="n"/>
      <c r="BV37" s="89" t="n"/>
      <c r="BW37" s="61" t="n"/>
      <c r="BX37" s="77" t="n"/>
      <c r="BY37" s="77" t="n"/>
      <c r="BZ37" s="78" t="n"/>
      <c r="CA37" s="60" t="n"/>
      <c r="CB37" s="76" t="n"/>
      <c r="CC37" s="140" t="n"/>
      <c r="CD37" s="171" t="n"/>
      <c r="CE37" s="76" t="n"/>
      <c r="CF37" s="89" t="n"/>
      <c r="CG37" s="91" t="n"/>
      <c r="CH37" s="60" t="n"/>
      <c r="CI37" s="141" t="n"/>
      <c r="CJ37" s="141" t="n"/>
      <c r="CK37" s="141" t="n"/>
      <c r="CL37" s="141" t="n"/>
      <c r="CM37" s="141" t="n"/>
      <c r="CN37" s="64" t="n"/>
      <c r="CO37" s="64" t="n"/>
      <c r="CP37" s="64" t="n"/>
      <c r="CQ37" s="141" t="n"/>
      <c r="CR37" s="141" t="n"/>
      <c r="CS37" s="63" t="n"/>
      <c r="CT37" s="64" t="n"/>
      <c r="CU37" s="64" t="n"/>
      <c r="CV37" s="59" t="n"/>
      <c r="CW37" s="64" t="n"/>
      <c r="CX37" s="51" t="n"/>
      <c r="CY37" s="142" t="n"/>
      <c r="CZ37" s="136" t="n"/>
      <c r="DA37" s="143" t="n"/>
      <c r="DB37" s="63" t="n"/>
      <c r="DC37" s="63" t="n"/>
      <c r="DD37" s="59" t="n"/>
      <c r="DE37" s="141" t="n"/>
      <c r="DF37" s="141" t="n"/>
      <c r="DG37" s="63" t="n"/>
      <c r="DH37" s="63" t="n"/>
      <c r="DI37" s="63" t="n"/>
      <c r="DJ37" s="63" t="n"/>
      <c r="DK37" s="169" t="n"/>
      <c r="DL37" s="59" t="n"/>
      <c r="DM37" s="144" t="n"/>
      <c r="DN37" s="142" t="n"/>
      <c r="DO37" s="51" t="n"/>
      <c r="DP37" s="142" t="n"/>
      <c r="DQ37" s="59" t="n"/>
      <c r="DR37" s="63" t="n"/>
      <c r="DS37" s="142" t="n"/>
      <c r="DT37" s="80" t="n"/>
      <c r="DU37" s="142" t="n"/>
      <c r="DV37" s="144" t="n"/>
      <c r="DW37" s="145" t="n"/>
      <c r="DX37" s="169" t="n"/>
      <c r="DY37" s="172" t="n"/>
      <c r="DZ37" s="146" t="n"/>
      <c r="EA37" s="146" t="n"/>
      <c r="EB37" s="146" t="n"/>
      <c r="EC37" s="63" t="n"/>
      <c r="ED37" s="169" t="n"/>
      <c r="EE37" s="64" t="n"/>
      <c r="EF37" s="60" t="n"/>
      <c r="EG37" s="59" t="n"/>
      <c r="EI37" s="174" t="n"/>
      <c r="EJ37" s="175" t="n"/>
      <c r="EK37" s="176" t="n"/>
      <c r="EL37" s="176" t="n"/>
      <c r="EM37" s="176" t="n"/>
      <c r="EN37" s="176" t="n"/>
      <c r="EO37" s="179" t="n"/>
      <c r="EP37" s="179" t="n"/>
      <c r="EQ37" s="178" t="n"/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n"/>
      <c r="FF37" s="181" t="n"/>
      <c r="FG37" s="185" t="n"/>
      <c r="FH37" s="183" t="n"/>
      <c r="FI37" s="178" t="n"/>
      <c r="FJ37" s="176" t="n"/>
      <c r="FK37" s="185" t="n"/>
      <c r="FL37" s="178" t="n"/>
      <c r="FM37" s="176" t="n"/>
      <c r="FN37" s="176" t="n"/>
      <c r="FO37" s="176" t="n"/>
      <c r="FP37" s="176" t="n"/>
      <c r="FQ37" s="176" t="n"/>
      <c r="FR37" s="179" t="n"/>
      <c r="FS37" s="176" t="n"/>
      <c r="FT37" s="179" t="n"/>
      <c r="FU37" s="176" t="n"/>
      <c r="FV37" s="179" t="n"/>
      <c r="FW37" s="179" t="n"/>
      <c r="FX37" s="178" t="n"/>
      <c r="FY37" s="186" t="n"/>
      <c r="FZ37" s="183" t="n"/>
      <c r="GA37" s="176" t="n"/>
      <c r="GB37" s="176" t="n"/>
      <c r="GC37" s="185" t="n"/>
      <c r="GD37" s="185" t="n"/>
      <c r="GE37" s="176" t="n"/>
      <c r="GF37" s="176" t="n"/>
      <c r="GG37" s="179" t="n"/>
      <c r="GH37" s="181" t="n"/>
      <c r="GI37" s="183" t="n"/>
      <c r="GJ37" s="183" t="n"/>
      <c r="GK37" s="176" t="n"/>
      <c r="GL37" s="176" t="n"/>
      <c r="GM37" s="176" t="n"/>
      <c r="GN37" s="183" t="n"/>
      <c r="GO37" s="183" t="n"/>
      <c r="GP37" s="183" t="n"/>
      <c r="GQ37" s="183" t="n"/>
      <c r="GR37" s="183" t="n"/>
      <c r="GS37" s="181" t="n"/>
      <c r="GT37" s="181" t="n"/>
    </row>
    <row r="38" ht="34" customFormat="1" customHeight="1" s="12">
      <c r="A38" s="43" t="n"/>
      <c r="B38" s="47" t="n"/>
      <c r="C38" s="44" t="n"/>
      <c r="D38" s="130" t="n"/>
      <c r="E38" s="48" t="n"/>
      <c r="F38" s="43" t="n"/>
      <c r="G38" s="43" t="n"/>
      <c r="H38" s="43" t="n"/>
      <c r="I38" s="131" t="n"/>
      <c r="J38" s="148" t="n"/>
      <c r="K38" s="133" t="n"/>
      <c r="M38" s="67" t="n"/>
      <c r="R38" s="67" t="n"/>
      <c r="S38" s="67" t="n"/>
      <c r="T38" s="147" t="n"/>
      <c r="U38" s="147" t="n"/>
      <c r="V38" s="169" t="n"/>
      <c r="W38" s="169" t="n"/>
      <c r="X38" s="170" t="n"/>
      <c r="Y38" s="26" t="n"/>
      <c r="Z38" s="137" t="n"/>
      <c r="AA38" s="137" t="n"/>
      <c r="AB38" s="137" t="n"/>
      <c r="AC38" s="137" t="n"/>
      <c r="AD38" s="137" t="n"/>
      <c r="AE38" s="137" t="n"/>
      <c r="AF38" s="137" t="n"/>
      <c r="AG38" s="137" t="n"/>
      <c r="AH38" s="137" t="n"/>
      <c r="AI38" s="137" t="n"/>
      <c r="AJ38" s="137" t="n"/>
      <c r="AK38" s="137" t="n"/>
      <c r="AL38" s="137" t="n"/>
      <c r="AM38" s="137" t="n"/>
      <c r="AN38" s="137" t="n"/>
      <c r="AO38" s="137" t="n"/>
      <c r="AP38" s="137" t="n"/>
      <c r="AQ38" s="137" t="n"/>
      <c r="AR38" s="142" t="n"/>
      <c r="AS38" s="142" t="n"/>
      <c r="AT38" s="84" t="n"/>
      <c r="AU38" s="51" t="n"/>
      <c r="AV38" s="51" t="n"/>
      <c r="AW38" s="136" t="n"/>
      <c r="AX38" s="137" t="n"/>
      <c r="AY38" s="117" t="n"/>
      <c r="AZ38" s="117" t="n"/>
      <c r="BA38" s="117" t="n"/>
      <c r="BB38" s="138" t="n"/>
      <c r="BC38" s="139" t="n"/>
      <c r="BD38" s="80" t="n"/>
      <c r="BE38" s="161" t="n"/>
      <c r="BF38" s="161" t="n"/>
      <c r="BG38" s="161" t="n"/>
      <c r="BH38" s="161" t="n"/>
      <c r="BI38" s="161" t="n"/>
      <c r="BJ38" s="162" t="n"/>
      <c r="BK38" s="163" t="n"/>
      <c r="BL38" s="161" t="n"/>
      <c r="BM38" s="164" t="n"/>
      <c r="BN38" s="165" t="n"/>
      <c r="BO38" s="51" t="n"/>
      <c r="BP38" s="135" t="n"/>
      <c r="BQ38" s="135" t="n"/>
      <c r="BR38" s="137" t="n"/>
      <c r="BS38" s="51" t="n"/>
      <c r="BT38" s="142" t="n"/>
      <c r="BU38" s="60" t="n"/>
      <c r="BV38" s="89" t="n"/>
      <c r="BW38" s="61" t="n"/>
      <c r="BX38" s="77" t="n"/>
      <c r="BY38" s="77" t="n"/>
      <c r="BZ38" s="78" t="n"/>
      <c r="CA38" s="60" t="n"/>
      <c r="CB38" s="76" t="n"/>
      <c r="CC38" s="140" t="n"/>
      <c r="CD38" s="171" t="n"/>
      <c r="CE38" s="76" t="n"/>
      <c r="CF38" s="89" t="n"/>
      <c r="CG38" s="91" t="n"/>
      <c r="CH38" s="60" t="n"/>
      <c r="CI38" s="141" t="n"/>
      <c r="CJ38" s="141" t="n"/>
      <c r="CK38" s="141" t="n"/>
      <c r="CL38" s="141" t="n"/>
      <c r="CM38" s="141" t="n"/>
      <c r="CN38" s="64" t="n"/>
      <c r="CO38" s="64" t="n"/>
      <c r="CP38" s="64" t="n"/>
      <c r="CQ38" s="141" t="n"/>
      <c r="CR38" s="141" t="n"/>
      <c r="CS38" s="63" t="n"/>
      <c r="CT38" s="64" t="n"/>
      <c r="CU38" s="64" t="n"/>
      <c r="CV38" s="59" t="n"/>
      <c r="CW38" s="64" t="n"/>
      <c r="CX38" s="51" t="n"/>
      <c r="CY38" s="142" t="n"/>
      <c r="CZ38" s="136" t="n"/>
      <c r="DA38" s="143" t="n"/>
      <c r="DB38" s="63" t="n"/>
      <c r="DC38" s="63" t="n"/>
      <c r="DD38" s="59" t="n"/>
      <c r="DE38" s="141" t="n"/>
      <c r="DF38" s="141" t="n"/>
      <c r="DG38" s="63" t="n"/>
      <c r="DH38" s="63" t="n"/>
      <c r="DI38" s="63" t="n"/>
      <c r="DJ38" s="63" t="n"/>
      <c r="DK38" s="169" t="n"/>
      <c r="DL38" s="59" t="n"/>
      <c r="DM38" s="144" t="n"/>
      <c r="DN38" s="142" t="n"/>
      <c r="DO38" s="51" t="n"/>
      <c r="DP38" s="142" t="n"/>
      <c r="DQ38" s="59" t="n"/>
      <c r="DR38" s="63" t="n"/>
      <c r="DS38" s="142" t="n"/>
      <c r="DT38" s="80" t="n"/>
      <c r="DU38" s="142" t="n"/>
      <c r="DV38" s="144" t="n"/>
      <c r="DW38" s="145" t="n"/>
      <c r="DX38" s="169" t="n"/>
      <c r="DY38" s="172" t="n"/>
      <c r="DZ38" s="146" t="n"/>
      <c r="EA38" s="146" t="n"/>
      <c r="EB38" s="146" t="n"/>
      <c r="EC38" s="63" t="n"/>
      <c r="ED38" s="169" t="n"/>
      <c r="EE38" s="64" t="n"/>
      <c r="EF38" s="60" t="n"/>
      <c r="EG38" s="59" t="n"/>
      <c r="EI38" s="174" t="n"/>
      <c r="EJ38" s="175" t="n"/>
      <c r="EK38" s="176" t="n"/>
      <c r="EL38" s="176" t="n"/>
      <c r="EM38" s="176" t="n"/>
      <c r="EN38" s="176" t="n"/>
      <c r="EO38" s="179" t="n"/>
      <c r="EP38" s="179" t="n"/>
      <c r="EQ38" s="178" t="n"/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n"/>
      <c r="FF38" s="181" t="n"/>
      <c r="FG38" s="185" t="n"/>
      <c r="FH38" s="183" t="n"/>
      <c r="FI38" s="178" t="n"/>
      <c r="FJ38" s="176" t="n"/>
      <c r="FK38" s="185" t="n"/>
      <c r="FL38" s="178" t="n"/>
      <c r="FM38" s="176" t="n"/>
      <c r="FN38" s="176" t="n"/>
      <c r="FO38" s="176" t="n"/>
      <c r="FP38" s="176" t="n"/>
      <c r="FQ38" s="176" t="n"/>
      <c r="FR38" s="179" t="n"/>
      <c r="FS38" s="176" t="n"/>
      <c r="FT38" s="179" t="n"/>
      <c r="FU38" s="176" t="n"/>
      <c r="FV38" s="179" t="n"/>
      <c r="FW38" s="179" t="n"/>
      <c r="FX38" s="178" t="n"/>
      <c r="FY38" s="186" t="n"/>
      <c r="FZ38" s="183" t="n"/>
      <c r="GA38" s="176" t="n"/>
      <c r="GB38" s="176" t="n"/>
      <c r="GC38" s="185" t="n"/>
      <c r="GD38" s="185" t="n"/>
      <c r="GE38" s="176" t="n"/>
      <c r="GF38" s="176" t="n"/>
      <c r="GG38" s="179" t="n"/>
      <c r="GH38" s="181" t="n"/>
      <c r="GI38" s="183" t="n"/>
      <c r="GJ38" s="183" t="n"/>
      <c r="GK38" s="176" t="n"/>
      <c r="GL38" s="176" t="n"/>
      <c r="GM38" s="176" t="n"/>
      <c r="GN38" s="183" t="n"/>
      <c r="GO38" s="183" t="n"/>
      <c r="GP38" s="183" t="n"/>
      <c r="GQ38" s="183" t="n"/>
      <c r="GR38" s="183" t="n"/>
      <c r="GS38" s="181" t="n"/>
      <c r="GT38" s="181" t="n"/>
    </row>
    <row r="39" ht="51" customFormat="1" customHeight="1" s="12">
      <c r="A39" s="43" t="n"/>
      <c r="B39" s="47" t="n"/>
      <c r="C39" s="44" t="n"/>
      <c r="D39" s="130" t="n"/>
      <c r="E39" s="48" t="n"/>
      <c r="F39" s="43" t="n"/>
      <c r="G39" s="43" t="n"/>
      <c r="H39" s="43" t="n"/>
      <c r="I39" s="131" t="n"/>
      <c r="J39" s="148" t="n"/>
      <c r="K39" s="133" t="n"/>
      <c r="M39" s="67" t="n"/>
      <c r="R39" s="67" t="n"/>
      <c r="S39" s="67" t="n"/>
      <c r="T39" s="147" t="n"/>
      <c r="U39" s="147" t="n"/>
      <c r="V39" s="169" t="n"/>
      <c r="W39" s="169" t="n"/>
      <c r="X39" s="170" t="n"/>
      <c r="Y39" s="26" t="n"/>
      <c r="Z39" s="137" t="n"/>
      <c r="AA39" s="137" t="n"/>
      <c r="AB39" s="137" t="n"/>
      <c r="AC39" s="137" t="n"/>
      <c r="AD39" s="137" t="n"/>
      <c r="AE39" s="137" t="n"/>
      <c r="AF39" s="137" t="n"/>
      <c r="AG39" s="137" t="n"/>
      <c r="AH39" s="137" t="n"/>
      <c r="AI39" s="137" t="n"/>
      <c r="AJ39" s="137" t="n"/>
      <c r="AK39" s="137" t="n"/>
      <c r="AL39" s="137" t="n"/>
      <c r="AM39" s="137" t="n"/>
      <c r="AN39" s="137" t="n"/>
      <c r="AO39" s="137" t="n"/>
      <c r="AP39" s="137" t="n"/>
      <c r="AQ39" s="137" t="n"/>
      <c r="AR39" s="142" t="n"/>
      <c r="AS39" s="142" t="n"/>
      <c r="AT39" s="84" t="n"/>
      <c r="AU39" s="51" t="n"/>
      <c r="AV39" s="51" t="n"/>
      <c r="AW39" s="136" t="n"/>
      <c r="AX39" s="137" t="n"/>
      <c r="AY39" s="117" t="n"/>
      <c r="AZ39" s="117" t="n"/>
      <c r="BA39" s="117" t="n"/>
      <c r="BB39" s="138" t="n"/>
      <c r="BC39" s="139" t="n"/>
      <c r="BD39" s="80" t="n"/>
      <c r="BE39" s="161" t="n"/>
      <c r="BF39" s="161" t="n"/>
      <c r="BG39" s="161" t="n"/>
      <c r="BH39" s="161" t="n"/>
      <c r="BI39" s="161" t="n"/>
      <c r="BJ39" s="162" t="n"/>
      <c r="BK39" s="163" t="n"/>
      <c r="BL39" s="161" t="n"/>
      <c r="BM39" s="164" t="n"/>
      <c r="BN39" s="165" t="n"/>
      <c r="BO39" s="51" t="n"/>
      <c r="BP39" s="135" t="n"/>
      <c r="BQ39" s="135" t="n"/>
      <c r="BR39" s="137" t="n"/>
      <c r="BS39" s="51" t="n"/>
      <c r="BT39" s="142" t="n"/>
      <c r="BU39" s="60" t="n"/>
      <c r="BV39" s="89" t="n"/>
      <c r="BW39" s="61" t="n"/>
      <c r="BX39" s="77" t="n"/>
      <c r="BY39" s="77" t="n"/>
      <c r="BZ39" s="78" t="n"/>
      <c r="CA39" s="60" t="n"/>
      <c r="CB39" s="76" t="n"/>
      <c r="CC39" s="140" t="n"/>
      <c r="CD39" s="171" t="n"/>
      <c r="CE39" s="76" t="n"/>
      <c r="CF39" s="89" t="n"/>
      <c r="CG39" s="91" t="n"/>
      <c r="CH39" s="60" t="n"/>
      <c r="CI39" s="141" t="n"/>
      <c r="CJ39" s="141" t="n"/>
      <c r="CK39" s="141" t="n"/>
      <c r="CL39" s="141" t="n"/>
      <c r="CM39" s="141" t="n"/>
      <c r="CN39" s="64" t="n"/>
      <c r="CO39" s="64" t="n"/>
      <c r="CP39" s="64" t="n"/>
      <c r="CQ39" s="141" t="n"/>
      <c r="CR39" s="141" t="n"/>
      <c r="CS39" s="63" t="n"/>
      <c r="CT39" s="64" t="n"/>
      <c r="CU39" s="64" t="n"/>
      <c r="CV39" s="59" t="n"/>
      <c r="CW39" s="64" t="n"/>
      <c r="CX39" s="51" t="n"/>
      <c r="CY39" s="142" t="n"/>
      <c r="CZ39" s="136" t="n"/>
      <c r="DA39" s="143" t="n"/>
      <c r="DB39" s="63" t="n"/>
      <c r="DC39" s="63" t="n"/>
      <c r="DD39" s="59" t="n"/>
      <c r="DE39" s="141" t="n"/>
      <c r="DF39" s="141" t="n"/>
      <c r="DG39" s="63" t="n"/>
      <c r="DH39" s="63" t="n"/>
      <c r="DI39" s="63" t="n"/>
      <c r="DJ39" s="63" t="n"/>
      <c r="DK39" s="169" t="n"/>
      <c r="DL39" s="59" t="n"/>
      <c r="DM39" s="144" t="n"/>
      <c r="DN39" s="142" t="n"/>
      <c r="DO39" s="51" t="n"/>
      <c r="DP39" s="142" t="n"/>
      <c r="DQ39" s="59" t="n"/>
      <c r="DR39" s="63" t="n"/>
      <c r="DS39" s="142" t="n"/>
      <c r="DT39" s="80" t="n"/>
      <c r="DU39" s="142" t="n"/>
      <c r="DV39" s="144" t="n"/>
      <c r="DW39" s="145" t="n"/>
      <c r="DX39" s="169" t="n"/>
      <c r="DY39" s="172" t="n"/>
      <c r="DZ39" s="146" t="n"/>
      <c r="EA39" s="146" t="n"/>
      <c r="EB39" s="146" t="n"/>
      <c r="EC39" s="63" t="n"/>
      <c r="ED39" s="169" t="n"/>
      <c r="EE39" s="64" t="n"/>
      <c r="EF39" s="60" t="n"/>
      <c r="EG39" s="59" t="n"/>
      <c r="EI39" s="174" t="n"/>
      <c r="EJ39" s="175" t="n"/>
      <c r="EK39" s="176" t="n"/>
      <c r="EL39" s="176" t="n"/>
      <c r="EM39" s="176" t="n"/>
      <c r="EN39" s="176" t="n"/>
      <c r="EO39" s="179" t="n"/>
      <c r="EP39" s="179" t="n"/>
      <c r="EQ39" s="178" t="n"/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n"/>
      <c r="FF39" s="181" t="n"/>
      <c r="FG39" s="185" t="n"/>
      <c r="FH39" s="183" t="n"/>
      <c r="FI39" s="178" t="n"/>
      <c r="FJ39" s="176" t="n"/>
      <c r="FK39" s="185" t="n"/>
      <c r="FL39" s="178" t="n"/>
      <c r="FM39" s="176" t="n"/>
      <c r="FN39" s="176" t="n"/>
      <c r="FO39" s="176" t="n"/>
      <c r="FP39" s="176" t="n"/>
      <c r="FQ39" s="176" t="n"/>
      <c r="FR39" s="179" t="n"/>
      <c r="FS39" s="176" t="n"/>
      <c r="FT39" s="179" t="n"/>
      <c r="FU39" s="176" t="n"/>
      <c r="FV39" s="179" t="n"/>
      <c r="FW39" s="179" t="n"/>
      <c r="FX39" s="178" t="n"/>
      <c r="FY39" s="186" t="n"/>
      <c r="FZ39" s="183" t="n"/>
      <c r="GA39" s="176" t="n"/>
      <c r="GB39" s="176" t="n"/>
      <c r="GC39" s="185" t="n"/>
      <c r="GD39" s="185" t="n"/>
      <c r="GE39" s="176" t="n"/>
      <c r="GF39" s="176" t="n"/>
      <c r="GG39" s="179" t="n"/>
      <c r="GH39" s="181" t="n"/>
      <c r="GI39" s="183" t="n"/>
      <c r="GJ39" s="183" t="n"/>
      <c r="GK39" s="176" t="n"/>
      <c r="GL39" s="176" t="n"/>
      <c r="GM39" s="176" t="n"/>
      <c r="GN39" s="183" t="n"/>
      <c r="GO39" s="183" t="n"/>
      <c r="GP39" s="183" t="n"/>
      <c r="GQ39" s="183" t="n"/>
      <c r="GR39" s="183" t="n"/>
      <c r="GS39" s="181" t="n"/>
      <c r="GT39" s="181" t="n"/>
    </row>
    <row r="40" ht="17.25" customFormat="1" customHeight="1" s="12">
      <c r="A40" s="60" t="n"/>
      <c r="B40" s="93" t="n"/>
      <c r="C40" s="59" t="n"/>
      <c r="D40" s="149" t="n"/>
      <c r="E40" s="95" t="n"/>
      <c r="F40" s="60" t="n"/>
      <c r="G40" s="60" t="n"/>
      <c r="H40" s="60" t="n"/>
      <c r="I40" s="150" t="n"/>
      <c r="J40" s="148" t="n"/>
      <c r="K40" s="151" t="n"/>
      <c r="M40" s="98" t="n"/>
      <c r="R40" s="98" t="n"/>
      <c r="S40" s="98" t="n"/>
      <c r="T40" s="152" t="n"/>
      <c r="U40" s="152" t="n"/>
      <c r="Y40" s="26" t="n"/>
      <c r="Z40" s="137" t="n"/>
      <c r="AA40" s="137" t="n"/>
      <c r="AB40" s="137" t="n"/>
      <c r="AC40" s="137" t="n"/>
      <c r="AD40" s="137" t="n"/>
      <c r="AE40" s="137" t="n"/>
      <c r="AF40" s="137" t="n"/>
      <c r="AG40" s="137" t="n"/>
      <c r="AH40" s="137" t="n"/>
      <c r="AI40" s="137" t="n"/>
      <c r="AJ40" s="137" t="n"/>
      <c r="AK40" s="137" t="n"/>
      <c r="AL40" s="137" t="n"/>
      <c r="AM40" s="137" t="n"/>
      <c r="AN40" s="137" t="n"/>
      <c r="AO40" s="137" t="n"/>
      <c r="AP40" s="137" t="n"/>
      <c r="AQ40" s="137" t="n"/>
      <c r="AR40" s="153" t="n"/>
      <c r="AS40" s="153" t="n"/>
      <c r="AT40" s="101" t="n"/>
      <c r="AU40" s="102" t="n"/>
      <c r="AV40" s="102" t="n"/>
      <c r="AW40" s="154" t="n"/>
      <c r="AX40" s="137" t="n"/>
      <c r="AY40" s="117" t="n"/>
      <c r="AZ40" s="117" t="n"/>
      <c r="BA40" s="117" t="n"/>
      <c r="BB40" s="155" t="n"/>
      <c r="BC40" s="139" t="n"/>
      <c r="BD40" s="80" t="n"/>
      <c r="BO40" s="102" t="n"/>
      <c r="BP40" s="156" t="n"/>
      <c r="BQ40" s="156" t="n"/>
      <c r="BR40" s="137" t="n"/>
      <c r="BS40" s="102" t="n"/>
      <c r="BT40" s="153" t="n"/>
      <c r="BU40" s="60" t="n"/>
      <c r="BV40" s="89" t="n"/>
      <c r="BW40" s="61" t="n"/>
      <c r="BX40" s="77" t="n"/>
      <c r="BY40" s="77" t="n"/>
      <c r="BZ40" s="78" t="n"/>
      <c r="CA40" s="60" t="n"/>
      <c r="CB40" s="76" t="n"/>
      <c r="CC40" s="140" t="n"/>
      <c r="CE40" s="76" t="n"/>
      <c r="CF40" s="89" t="n"/>
      <c r="CG40" s="91" t="n"/>
      <c r="CH40" s="60" t="n"/>
      <c r="CI40" s="141" t="n"/>
      <c r="CJ40" s="141" t="n"/>
      <c r="CK40" s="141" t="n"/>
      <c r="CL40" s="141" t="n"/>
      <c r="CM40" s="141" t="n"/>
      <c r="CN40" s="64" t="n"/>
      <c r="CO40" s="64" t="n"/>
      <c r="CP40" s="64" t="n"/>
      <c r="CQ40" s="141" t="n"/>
      <c r="CR40" s="141" t="n"/>
      <c r="CS40" s="63" t="n"/>
      <c r="CT40" s="64" t="n"/>
      <c r="CU40" s="64" t="n"/>
      <c r="CV40" s="59" t="n"/>
      <c r="CW40" s="64" t="n"/>
      <c r="CX40" s="102" t="n"/>
      <c r="CY40" s="153" t="n"/>
      <c r="CZ40" s="154" t="n"/>
      <c r="DA40" s="143" t="n"/>
      <c r="DB40" s="63" t="n"/>
      <c r="DC40" s="63" t="n"/>
      <c r="DD40" s="59" t="n"/>
      <c r="DE40" s="141" t="n"/>
      <c r="DF40" s="141" t="n"/>
      <c r="DG40" s="63" t="n"/>
      <c r="DH40" s="63" t="n"/>
      <c r="DI40" s="63" t="n"/>
      <c r="DJ40" s="63" t="n"/>
      <c r="DL40" s="59" t="n"/>
      <c r="DM40" s="157" t="n"/>
      <c r="DN40" s="153" t="n"/>
      <c r="DO40" s="102" t="n"/>
      <c r="DP40" s="153" t="n"/>
      <c r="DQ40" s="59" t="n"/>
      <c r="DR40" s="63" t="n"/>
      <c r="DS40" s="153" t="n"/>
      <c r="DT40" s="80" t="n"/>
      <c r="DU40" s="153" t="n"/>
      <c r="DV40" s="157" t="n"/>
      <c r="DW40" s="158" t="n"/>
      <c r="DZ40" s="146" t="n"/>
      <c r="EA40" s="146" t="n"/>
      <c r="EB40" s="146" t="n"/>
      <c r="EC40" s="63" t="n"/>
      <c r="EE40" s="64" t="n"/>
      <c r="EF40" s="60" t="n"/>
      <c r="EG40" s="59" t="n"/>
    </row>
    <row r="41" ht="31.5" customFormat="1" customHeight="1" s="12">
      <c r="A41" s="60" t="n"/>
      <c r="B41" s="93" t="n"/>
      <c r="C41" s="59" t="n"/>
      <c r="D41" s="149" t="n"/>
      <c r="E41" s="95" t="n"/>
      <c r="F41" s="60" t="n"/>
      <c r="G41" s="60" t="n"/>
      <c r="H41" s="60" t="n"/>
      <c r="I41" s="150" t="n"/>
      <c r="J41" s="148" t="n"/>
      <c r="K41" s="151" t="n"/>
      <c r="M41" s="98" t="n"/>
      <c r="R41" s="98" t="n"/>
      <c r="S41" s="98" t="n"/>
      <c r="T41" s="152" t="n"/>
      <c r="U41" s="152" t="n"/>
      <c r="Y41" s="26" t="n"/>
      <c r="Z41" s="137" t="n"/>
      <c r="AA41" s="137" t="n"/>
      <c r="AB41" s="137" t="n"/>
      <c r="AC41" s="137" t="n"/>
      <c r="AD41" s="137" t="n"/>
      <c r="AE41" s="137" t="n"/>
      <c r="AF41" s="137" t="n"/>
      <c r="AG41" s="137" t="n"/>
      <c r="AH41" s="137" t="n"/>
      <c r="AI41" s="137" t="n"/>
      <c r="AJ41" s="137" t="n"/>
      <c r="AK41" s="137" t="n"/>
      <c r="AL41" s="137" t="n"/>
      <c r="AM41" s="137" t="n"/>
      <c r="AN41" s="137" t="n"/>
      <c r="AO41" s="137" t="n"/>
      <c r="AP41" s="137" t="n"/>
      <c r="AQ41" s="137" t="n"/>
      <c r="AR41" s="153" t="n"/>
      <c r="AS41" s="153" t="n"/>
      <c r="AT41" s="101" t="n"/>
      <c r="AU41" s="102" t="n"/>
      <c r="AV41" s="102" t="n"/>
      <c r="AW41" s="154" t="n"/>
      <c r="AX41" s="137" t="n"/>
      <c r="AY41" s="117" t="n"/>
      <c r="AZ41" s="117" t="n"/>
      <c r="BA41" s="117" t="n"/>
      <c r="BB41" s="155" t="n"/>
      <c r="BC41" s="139" t="n"/>
      <c r="BD41" s="80" t="n"/>
      <c r="BO41" s="102" t="n"/>
      <c r="BP41" s="156" t="n"/>
      <c r="BQ41" s="156" t="n"/>
      <c r="BR41" s="137" t="n"/>
      <c r="BS41" s="102" t="n"/>
      <c r="BT41" s="153" t="n"/>
      <c r="BU41" s="60" t="n"/>
      <c r="BV41" s="89" t="n"/>
      <c r="BW41" s="61" t="n"/>
      <c r="BX41" s="77" t="n"/>
      <c r="BY41" s="77" t="n"/>
      <c r="BZ41" s="78" t="n"/>
      <c r="CA41" s="60" t="n"/>
      <c r="CB41" s="76" t="n"/>
      <c r="CC41" s="140" t="n"/>
      <c r="CE41" s="76" t="n"/>
      <c r="CF41" s="89" t="n"/>
      <c r="CG41" s="91" t="n"/>
      <c r="CH41" s="60" t="n"/>
      <c r="CI41" s="141" t="n"/>
      <c r="CJ41" s="141" t="n"/>
      <c r="CK41" s="141" t="n"/>
      <c r="CL41" s="141" t="n"/>
      <c r="CM41" s="141" t="n"/>
      <c r="CN41" s="64" t="n"/>
      <c r="CO41" s="64" t="n"/>
      <c r="CP41" s="64" t="n"/>
      <c r="CQ41" s="141" t="n"/>
      <c r="CR41" s="141" t="n"/>
      <c r="CS41" s="63" t="n"/>
      <c r="CT41" s="64" t="n"/>
      <c r="CU41" s="64" t="n"/>
      <c r="CV41" s="59" t="n"/>
      <c r="CW41" s="64" t="n"/>
      <c r="CX41" s="102" t="n"/>
      <c r="CY41" s="153" t="n"/>
      <c r="CZ41" s="154" t="n"/>
      <c r="DA41" s="143" t="n"/>
      <c r="DB41" s="63" t="n"/>
      <c r="DC41" s="63" t="n"/>
      <c r="DD41" s="59" t="n"/>
      <c r="DE41" s="141" t="n"/>
      <c r="DF41" s="141" t="n"/>
      <c r="DG41" s="63" t="n"/>
      <c r="DH41" s="63" t="n"/>
      <c r="DI41" s="63" t="n"/>
      <c r="DJ41" s="63" t="n"/>
      <c r="DL41" s="59" t="n"/>
      <c r="DM41" s="157" t="n"/>
      <c r="DN41" s="153" t="n"/>
      <c r="DO41" s="102" t="n"/>
      <c r="DP41" s="153" t="n"/>
      <c r="DQ41" s="59" t="n"/>
      <c r="DR41" s="63" t="n"/>
      <c r="DS41" s="153" t="n"/>
      <c r="DT41" s="80" t="n"/>
      <c r="DU41" s="153" t="n"/>
      <c r="DV41" s="157" t="n"/>
      <c r="DW41" s="158" t="n"/>
      <c r="DZ41" s="146" t="n"/>
      <c r="EA41" s="146" t="n"/>
      <c r="EB41" s="146" t="n"/>
      <c r="EC41" s="63" t="n"/>
      <c r="EE41" s="64" t="n"/>
      <c r="EF41" s="60" t="n"/>
      <c r="EG41" s="59" t="n"/>
    </row>
    <row r="42" ht="17.25" customFormat="1" customHeight="1" s="12">
      <c r="A42" s="60" t="n"/>
      <c r="B42" s="93" t="n"/>
      <c r="C42" s="59" t="n"/>
      <c r="D42" s="149" t="n"/>
      <c r="E42" s="95" t="n"/>
      <c r="F42" s="60" t="n"/>
      <c r="G42" s="60" t="n"/>
      <c r="H42" s="60" t="n"/>
      <c r="I42" s="150" t="n"/>
      <c r="J42" s="148" t="n"/>
      <c r="K42" s="151" t="n"/>
      <c r="M42" s="98" t="n"/>
      <c r="R42" s="98" t="n"/>
      <c r="S42" s="98" t="n"/>
      <c r="T42" s="152" t="n"/>
      <c r="U42" s="152" t="n"/>
      <c r="Y42" s="26" t="n"/>
      <c r="Z42" s="137" t="n"/>
      <c r="AA42" s="137" t="n"/>
      <c r="AB42" s="137" t="n"/>
      <c r="AC42" s="137" t="n"/>
      <c r="AD42" s="137" t="n"/>
      <c r="AE42" s="137" t="n"/>
      <c r="AF42" s="137" t="n"/>
      <c r="AG42" s="137" t="n"/>
      <c r="AH42" s="137" t="n"/>
      <c r="AI42" s="137" t="n"/>
      <c r="AJ42" s="137" t="n"/>
      <c r="AK42" s="137" t="n"/>
      <c r="AL42" s="137" t="n"/>
      <c r="AM42" s="137" t="n"/>
      <c r="AN42" s="137" t="n"/>
      <c r="AO42" s="137" t="n"/>
      <c r="AP42" s="137" t="n"/>
      <c r="AQ42" s="137" t="n"/>
      <c r="AR42" s="153" t="n"/>
      <c r="AS42" s="153" t="n"/>
      <c r="AT42" s="101" t="n"/>
      <c r="AU42" s="102" t="n"/>
      <c r="AV42" s="102" t="n"/>
      <c r="AW42" s="154" t="n"/>
      <c r="AX42" s="137" t="n"/>
      <c r="AY42" s="117" t="n"/>
      <c r="AZ42" s="117" t="n"/>
      <c r="BA42" s="117" t="n"/>
      <c r="BB42" s="155" t="n"/>
      <c r="BC42" s="139" t="n"/>
      <c r="BD42" s="80" t="n"/>
      <c r="BO42" s="102" t="n"/>
      <c r="BP42" s="156" t="n"/>
      <c r="BQ42" s="156" t="n"/>
      <c r="BR42" s="137" t="n"/>
      <c r="BS42" s="102" t="n"/>
      <c r="BT42" s="153" t="n"/>
      <c r="BU42" s="60" t="n"/>
      <c r="BV42" s="89" t="n"/>
      <c r="BW42" s="61" t="n"/>
      <c r="BX42" s="77" t="n"/>
      <c r="BY42" s="77" t="n"/>
      <c r="BZ42" s="78" t="n"/>
      <c r="CA42" s="60" t="n"/>
      <c r="CB42" s="76" t="n"/>
      <c r="CC42" s="140" t="n"/>
      <c r="CE42" s="76" t="n"/>
      <c r="CF42" s="89" t="n"/>
      <c r="CG42" s="91" t="n"/>
      <c r="CH42" s="60" t="n"/>
      <c r="CI42" s="141" t="n"/>
      <c r="CJ42" s="141" t="n"/>
      <c r="CK42" s="141" t="n"/>
      <c r="CL42" s="141" t="n"/>
      <c r="CM42" s="141" t="n"/>
      <c r="CN42" s="64" t="n"/>
      <c r="CO42" s="64" t="n"/>
      <c r="CP42" s="64" t="n"/>
      <c r="CQ42" s="141" t="n"/>
      <c r="CR42" s="141" t="n"/>
      <c r="CS42" s="63" t="n"/>
      <c r="CT42" s="64" t="n"/>
      <c r="CU42" s="64" t="n"/>
      <c r="CV42" s="59" t="n"/>
      <c r="CW42" s="64" t="n"/>
      <c r="CX42" s="102" t="n"/>
      <c r="CY42" s="153" t="n"/>
      <c r="CZ42" s="154" t="n"/>
      <c r="DA42" s="143" t="n"/>
      <c r="DB42" s="63" t="n"/>
      <c r="DC42" s="63" t="n"/>
      <c r="DD42" s="59" t="n"/>
      <c r="DE42" s="141" t="n"/>
      <c r="DF42" s="141" t="n"/>
      <c r="DG42" s="63" t="n"/>
      <c r="DH42" s="63" t="n"/>
      <c r="DI42" s="63" t="n"/>
      <c r="DJ42" s="63" t="n"/>
      <c r="DL42" s="59" t="n"/>
      <c r="DM42" s="157" t="n"/>
      <c r="DN42" s="153" t="n"/>
      <c r="DO42" s="102" t="n"/>
      <c r="DP42" s="153" t="n"/>
      <c r="DQ42" s="59" t="n"/>
      <c r="DR42" s="63" t="n"/>
      <c r="DS42" s="153" t="n"/>
      <c r="DT42" s="80" t="n"/>
      <c r="DU42" s="153" t="n"/>
      <c r="DV42" s="157" t="n"/>
      <c r="DW42" s="158" t="n"/>
      <c r="DZ42" s="146" t="n"/>
      <c r="EA42" s="146" t="n"/>
      <c r="EB42" s="146" t="n"/>
      <c r="EC42" s="63" t="n"/>
      <c r="EE42" s="64" t="n"/>
      <c r="EF42" s="60" t="n"/>
      <c r="EG42" s="59" t="n"/>
    </row>
    <row r="43" ht="17.25" customFormat="1" customHeight="1" s="12">
      <c r="A43" s="60" t="n"/>
      <c r="B43" s="93" t="n"/>
      <c r="C43" s="59" t="n"/>
      <c r="D43" s="149" t="n"/>
      <c r="E43" s="95" t="n"/>
      <c r="F43" s="60" t="n"/>
      <c r="G43" s="60" t="n"/>
      <c r="H43" s="60" t="n"/>
      <c r="I43" s="150" t="n"/>
      <c r="J43" s="148" t="n"/>
      <c r="K43" s="151" t="n"/>
      <c r="M43" s="98" t="n"/>
      <c r="R43" s="98" t="n"/>
      <c r="S43" s="98" t="n"/>
      <c r="T43" s="152" t="n"/>
      <c r="U43" s="152" t="n"/>
      <c r="Y43" s="26" t="n"/>
      <c r="Z43" s="137" t="n"/>
      <c r="AA43" s="137" t="n"/>
      <c r="AB43" s="137" t="n"/>
      <c r="AC43" s="137" t="n"/>
      <c r="AD43" s="137" t="n"/>
      <c r="AE43" s="137" t="n"/>
      <c r="AF43" s="137" t="n"/>
      <c r="AG43" s="137" t="n"/>
      <c r="AH43" s="137" t="n"/>
      <c r="AI43" s="137" t="n"/>
      <c r="AJ43" s="137" t="n"/>
      <c r="AK43" s="137" t="n"/>
      <c r="AL43" s="137" t="n"/>
      <c r="AM43" s="137" t="n"/>
      <c r="AN43" s="137" t="n"/>
      <c r="AO43" s="137" t="n"/>
      <c r="AP43" s="137" t="n"/>
      <c r="AQ43" s="137" t="n"/>
      <c r="AR43" s="153" t="n"/>
      <c r="AS43" s="153" t="n"/>
      <c r="AT43" s="101" t="n"/>
      <c r="AU43" s="102" t="n"/>
      <c r="AV43" s="102" t="n"/>
      <c r="AW43" s="154" t="n"/>
      <c r="AX43" s="137" t="n"/>
      <c r="AY43" s="117" t="n"/>
      <c r="AZ43" s="117" t="n"/>
      <c r="BA43" s="117" t="n"/>
      <c r="BB43" s="155" t="n"/>
      <c r="BC43" s="139" t="n"/>
      <c r="BD43" s="80" t="n"/>
      <c r="BO43" s="102" t="n"/>
      <c r="BP43" s="156" t="n"/>
      <c r="BQ43" s="156" t="n"/>
      <c r="BR43" s="137" t="n"/>
      <c r="BS43" s="102" t="n"/>
      <c r="BT43" s="153" t="n"/>
      <c r="BU43" s="60" t="n"/>
      <c r="BV43" s="89" t="n"/>
      <c r="BW43" s="61" t="n"/>
      <c r="BX43" s="77" t="n"/>
      <c r="BY43" s="77" t="n"/>
      <c r="BZ43" s="78" t="n"/>
      <c r="CA43" s="60" t="n"/>
      <c r="CB43" s="76" t="n"/>
      <c r="CC43" s="140" t="n"/>
      <c r="CE43" s="76" t="n"/>
      <c r="CF43" s="89" t="n"/>
      <c r="CG43" s="91" t="n"/>
      <c r="CH43" s="60" t="n"/>
      <c r="CI43" s="141" t="n"/>
      <c r="CJ43" s="141" t="n"/>
      <c r="CK43" s="141" t="n"/>
      <c r="CL43" s="141" t="n"/>
      <c r="CM43" s="141" t="n"/>
      <c r="CN43" s="64" t="n"/>
      <c r="CO43" s="64" t="n"/>
      <c r="CP43" s="64" t="n"/>
      <c r="CQ43" s="141" t="n"/>
      <c r="CR43" s="141" t="n"/>
      <c r="CS43" s="63" t="n"/>
      <c r="CT43" s="64" t="n"/>
      <c r="CU43" s="64" t="n"/>
      <c r="CV43" s="59" t="n"/>
      <c r="CW43" s="64" t="n"/>
      <c r="CX43" s="102" t="n"/>
      <c r="CY43" s="153" t="n"/>
      <c r="CZ43" s="154" t="n"/>
      <c r="DA43" s="143" t="n"/>
      <c r="DB43" s="63" t="n"/>
      <c r="DC43" s="63" t="n"/>
      <c r="DD43" s="59" t="n"/>
      <c r="DE43" s="141" t="n"/>
      <c r="DF43" s="141" t="n"/>
      <c r="DG43" s="63" t="n"/>
      <c r="DH43" s="63" t="n"/>
      <c r="DI43" s="63" t="n"/>
      <c r="DJ43" s="63" t="n"/>
      <c r="DL43" s="59" t="n"/>
      <c r="DM43" s="157" t="n"/>
      <c r="DN43" s="153" t="n"/>
      <c r="DO43" s="102" t="n"/>
      <c r="DP43" s="153" t="n"/>
      <c r="DQ43" s="59" t="n"/>
      <c r="DR43" s="63" t="n"/>
      <c r="DS43" s="153" t="n"/>
      <c r="DT43" s="80" t="n"/>
      <c r="DU43" s="153" t="n"/>
      <c r="DV43" s="157" t="n"/>
      <c r="DW43" s="158" t="n"/>
      <c r="DZ43" s="146" t="n"/>
      <c r="EA43" s="146" t="n"/>
      <c r="EB43" s="146" t="n"/>
      <c r="EC43" s="63" t="n"/>
      <c r="EE43" s="64" t="n"/>
      <c r="EF43" s="60" t="n"/>
      <c r="EG43" s="59" t="n"/>
    </row>
    <row r="44" customFormat="1" s="12">
      <c r="A44" s="60" t="n"/>
      <c r="B44" s="93" t="n"/>
      <c r="C44" s="59" t="n"/>
      <c r="D44" s="149" t="n"/>
      <c r="E44" s="95" t="n"/>
      <c r="F44" s="60" t="n"/>
      <c r="G44" s="60" t="n"/>
      <c r="H44" s="60" t="n"/>
      <c r="I44" s="150" t="n"/>
      <c r="J44" s="148" t="n"/>
      <c r="K44" s="151" t="n"/>
      <c r="M44" s="98" t="n"/>
      <c r="R44" s="98" t="n"/>
      <c r="S44" s="98" t="n"/>
      <c r="T44" s="152" t="n"/>
      <c r="U44" s="152" t="n"/>
      <c r="Y44" s="26" t="n"/>
      <c r="Z44" s="137" t="n"/>
      <c r="AA44" s="137" t="n"/>
      <c r="AB44" s="137" t="n"/>
      <c r="AC44" s="137" t="n"/>
      <c r="AD44" s="137" t="n"/>
      <c r="AE44" s="137" t="n"/>
      <c r="AF44" s="137" t="n"/>
      <c r="AG44" s="137" t="n"/>
      <c r="AH44" s="137" t="n"/>
      <c r="AI44" s="137" t="n"/>
      <c r="AJ44" s="137" t="n"/>
      <c r="AK44" s="137" t="n"/>
      <c r="AL44" s="137" t="n"/>
      <c r="AM44" s="137" t="n"/>
      <c r="AN44" s="137" t="n"/>
      <c r="AO44" s="137" t="n"/>
      <c r="AP44" s="137" t="n"/>
      <c r="AQ44" s="137" t="n"/>
      <c r="AR44" s="153" t="n"/>
      <c r="AS44" s="153" t="n"/>
      <c r="AT44" s="101" t="n"/>
      <c r="AU44" s="102" t="n"/>
      <c r="AV44" s="102" t="n"/>
      <c r="AW44" s="154" t="n"/>
      <c r="AX44" s="137" t="n"/>
      <c r="AY44" s="117" t="n"/>
      <c r="AZ44" s="117" t="n"/>
      <c r="BA44" s="117" t="n"/>
      <c r="BB44" s="155" t="n"/>
      <c r="BC44" s="139" t="n"/>
      <c r="BD44" s="80" t="n"/>
      <c r="BO44" s="102" t="n"/>
      <c r="BP44" s="156" t="n"/>
      <c r="BQ44" s="156" t="n"/>
      <c r="BR44" s="137" t="n"/>
      <c r="BS44" s="102" t="n"/>
      <c r="BT44" s="153" t="n"/>
      <c r="BU44" s="60" t="n"/>
      <c r="BV44" s="89" t="n"/>
      <c r="BW44" s="61" t="n"/>
      <c r="BX44" s="77" t="n"/>
      <c r="BY44" s="77" t="n"/>
      <c r="BZ44" s="78" t="n"/>
      <c r="CA44" s="60" t="n"/>
      <c r="CB44" s="76" t="n"/>
      <c r="CC44" s="140" t="n"/>
      <c r="CE44" s="76" t="n"/>
      <c r="CF44" s="89" t="n"/>
      <c r="CG44" s="91" t="n"/>
      <c r="CH44" s="60" t="n"/>
      <c r="CI44" s="141" t="n"/>
      <c r="CJ44" s="141" t="n"/>
      <c r="CK44" s="141" t="n"/>
      <c r="CL44" s="141" t="n"/>
      <c r="CM44" s="141" t="n"/>
      <c r="CN44" s="64" t="n"/>
      <c r="CO44" s="64" t="n"/>
      <c r="CP44" s="64" t="n"/>
      <c r="CQ44" s="141" t="n"/>
      <c r="CR44" s="141" t="n"/>
      <c r="CS44" s="63" t="n"/>
      <c r="CT44" s="64" t="n"/>
      <c r="CU44" s="64" t="n"/>
      <c r="CV44" s="59" t="n"/>
      <c r="CW44" s="64" t="n"/>
      <c r="CX44" s="102" t="n"/>
      <c r="CY44" s="153" t="n"/>
      <c r="CZ44" s="154" t="n"/>
      <c r="DA44" s="143" t="n"/>
      <c r="DB44" s="63" t="n"/>
      <c r="DC44" s="63" t="n"/>
      <c r="DD44" s="59" t="n"/>
      <c r="DE44" s="141" t="n"/>
      <c r="DF44" s="141" t="n"/>
      <c r="DG44" s="63" t="n"/>
      <c r="DH44" s="63" t="n"/>
      <c r="DI44" s="63" t="n"/>
      <c r="DJ44" s="63" t="n"/>
      <c r="DL44" s="59" t="n"/>
      <c r="DM44" s="157" t="n"/>
      <c r="DN44" s="153" t="n"/>
      <c r="DO44" s="102" t="n"/>
      <c r="DP44" s="153" t="n"/>
      <c r="DQ44" s="59" t="n"/>
      <c r="DR44" s="63" t="n"/>
      <c r="DS44" s="153" t="n"/>
      <c r="DT44" s="80" t="n"/>
      <c r="DU44" s="153" t="n"/>
      <c r="DV44" s="157" t="n"/>
      <c r="DW44" s="158" t="n"/>
      <c r="DZ44" s="146" t="n"/>
      <c r="EA44" s="146" t="n"/>
      <c r="EB44" s="146" t="n"/>
      <c r="EC44" s="63" t="n"/>
      <c r="EE44" s="64" t="n"/>
      <c r="EF44" s="60" t="n"/>
      <c r="EG44" s="59" t="n"/>
    </row>
    <row r="45" customFormat="1" s="12">
      <c r="A45" s="60" t="n"/>
      <c r="B45" s="93" t="n"/>
      <c r="C45" s="59" t="n"/>
      <c r="D45" s="149" t="n"/>
      <c r="E45" s="95" t="n"/>
      <c r="F45" s="60" t="n"/>
      <c r="G45" s="60" t="n"/>
      <c r="H45" s="60" t="n"/>
      <c r="I45" s="150" t="n"/>
      <c r="J45" s="148" t="n"/>
      <c r="K45" s="151" t="n"/>
      <c r="M45" s="98" t="n"/>
      <c r="R45" s="98" t="n"/>
      <c r="S45" s="98" t="n"/>
      <c r="T45" s="152" t="n"/>
      <c r="U45" s="152" t="n"/>
      <c r="Y45" s="26" t="n"/>
      <c r="Z45" s="137" t="n"/>
      <c r="AA45" s="137" t="n"/>
      <c r="AB45" s="137" t="n"/>
      <c r="AC45" s="137" t="n"/>
      <c r="AD45" s="137" t="n"/>
      <c r="AE45" s="137" t="n"/>
      <c r="AF45" s="137" t="n"/>
      <c r="AG45" s="137" t="n"/>
      <c r="AH45" s="137" t="n"/>
      <c r="AI45" s="137" t="n"/>
      <c r="AJ45" s="137" t="n"/>
      <c r="AK45" s="137" t="n"/>
      <c r="AL45" s="137" t="n"/>
      <c r="AM45" s="137" t="n"/>
      <c r="AN45" s="137" t="n"/>
      <c r="AO45" s="137" t="n"/>
      <c r="AP45" s="137" t="n"/>
      <c r="AQ45" s="137" t="n"/>
      <c r="AR45" s="153" t="n"/>
      <c r="AS45" s="153" t="n"/>
      <c r="AT45" s="101" t="n"/>
      <c r="AU45" s="102" t="n"/>
      <c r="AV45" s="102" t="n"/>
      <c r="AW45" s="154" t="n"/>
      <c r="AX45" s="137" t="n"/>
      <c r="AY45" s="117" t="n"/>
      <c r="AZ45" s="117" t="n"/>
      <c r="BA45" s="117" t="n"/>
      <c r="BB45" s="155" t="n"/>
      <c r="BC45" s="139" t="n"/>
      <c r="BD45" s="80" t="n"/>
      <c r="BO45" s="102" t="n"/>
      <c r="BP45" s="156" t="n"/>
      <c r="BQ45" s="156" t="n"/>
      <c r="BR45" s="137" t="n"/>
      <c r="BS45" s="102" t="n"/>
      <c r="BT45" s="153" t="n"/>
      <c r="BU45" s="60" t="n"/>
      <c r="BV45" s="89" t="n"/>
      <c r="BW45" s="61" t="n"/>
      <c r="BX45" s="77" t="n"/>
      <c r="BY45" s="77" t="n"/>
      <c r="BZ45" s="78" t="n"/>
      <c r="CA45" s="60" t="n"/>
      <c r="CB45" s="76" t="n"/>
      <c r="CC45" s="140" t="n"/>
      <c r="CE45" s="76" t="n"/>
      <c r="CF45" s="89" t="n"/>
      <c r="CG45" s="91" t="n"/>
      <c r="CH45" s="60" t="n"/>
      <c r="CI45" s="141" t="n"/>
      <c r="CJ45" s="141" t="n"/>
      <c r="CK45" s="141" t="n"/>
      <c r="CL45" s="141" t="n"/>
      <c r="CM45" s="141" t="n"/>
      <c r="CN45" s="64" t="n"/>
      <c r="CO45" s="64" t="n"/>
      <c r="CP45" s="64" t="n"/>
      <c r="CQ45" s="141" t="n"/>
      <c r="CR45" s="141" t="n"/>
      <c r="CS45" s="63" t="n"/>
      <c r="CT45" s="64" t="n"/>
      <c r="CU45" s="64" t="n"/>
      <c r="CV45" s="59" t="n"/>
      <c r="CW45" s="64" t="n"/>
      <c r="CX45" s="102" t="n"/>
      <c r="CY45" s="153" t="n"/>
      <c r="CZ45" s="154" t="n"/>
      <c r="DA45" s="143" t="n"/>
      <c r="DB45" s="63" t="n"/>
      <c r="DC45" s="63" t="n"/>
      <c r="DD45" s="59" t="n"/>
      <c r="DE45" s="141" t="n"/>
      <c r="DF45" s="141" t="n"/>
      <c r="DG45" s="63" t="n"/>
      <c r="DH45" s="63" t="n"/>
      <c r="DI45" s="63" t="n"/>
      <c r="DJ45" s="63" t="n"/>
      <c r="DL45" s="59" t="n"/>
      <c r="DM45" s="157" t="n"/>
      <c r="DN45" s="153" t="n"/>
      <c r="DO45" s="102" t="n"/>
      <c r="DP45" s="153" t="n"/>
      <c r="DQ45" s="59" t="n"/>
      <c r="DR45" s="63" t="n"/>
      <c r="DS45" s="153" t="n"/>
      <c r="DT45" s="80" t="n"/>
      <c r="DU45" s="153" t="n"/>
      <c r="DV45" s="157" t="n"/>
      <c r="DW45" s="158" t="n"/>
      <c r="DZ45" s="146" t="n"/>
      <c r="EA45" s="146" t="n"/>
      <c r="EB45" s="146" t="n"/>
      <c r="EC45" s="63" t="n"/>
      <c r="EE45" s="64" t="n"/>
      <c r="EF45" s="60" t="n"/>
      <c r="EG45" s="59" t="n"/>
    </row>
    <row r="46" customFormat="1" s="12">
      <c r="A46" s="60" t="n"/>
      <c r="B46" s="93" t="n"/>
      <c r="C46" s="59" t="n"/>
      <c r="D46" s="149" t="n"/>
      <c r="E46" s="95" t="n"/>
      <c r="F46" s="60" t="n"/>
      <c r="G46" s="60" t="n"/>
      <c r="H46" s="60" t="n"/>
      <c r="I46" s="150" t="n"/>
      <c r="J46" s="148" t="n"/>
      <c r="K46" s="151" t="n"/>
      <c r="M46" s="98" t="n"/>
      <c r="R46" s="98" t="n"/>
      <c r="S46" s="98" t="n"/>
      <c r="T46" s="152" t="n"/>
      <c r="U46" s="152" t="n"/>
      <c r="Y46" s="26" t="n"/>
      <c r="Z46" s="137" t="n"/>
      <c r="AA46" s="137" t="n"/>
      <c r="AB46" s="137" t="n"/>
      <c r="AC46" s="137" t="n"/>
      <c r="AD46" s="137" t="n"/>
      <c r="AE46" s="137" t="n"/>
      <c r="AF46" s="137" t="n"/>
      <c r="AG46" s="137" t="n"/>
      <c r="AH46" s="137" t="n"/>
      <c r="AI46" s="137" t="n"/>
      <c r="AJ46" s="137" t="n"/>
      <c r="AK46" s="137" t="n"/>
      <c r="AL46" s="137" t="n"/>
      <c r="AM46" s="137" t="n"/>
      <c r="AN46" s="137" t="n"/>
      <c r="AO46" s="137" t="n"/>
      <c r="AP46" s="137" t="n"/>
      <c r="AQ46" s="137" t="n"/>
      <c r="AR46" s="153" t="n"/>
      <c r="AS46" s="153" t="n"/>
      <c r="AT46" s="101" t="n"/>
      <c r="AU46" s="102" t="n"/>
      <c r="AV46" s="102" t="n"/>
      <c r="AW46" s="154" t="n"/>
      <c r="AX46" s="137" t="n"/>
      <c r="AY46" s="117" t="n"/>
      <c r="AZ46" s="117" t="n"/>
      <c r="BA46" s="117" t="n"/>
      <c r="BB46" s="155" t="n"/>
      <c r="BC46" s="139" t="n"/>
      <c r="BD46" s="80" t="n"/>
      <c r="BO46" s="102" t="n"/>
      <c r="BP46" s="156" t="n"/>
      <c r="BQ46" s="156" t="n"/>
      <c r="BR46" s="137" t="n"/>
      <c r="BS46" s="102" t="n"/>
      <c r="BT46" s="153" t="n"/>
      <c r="BU46" s="60" t="n"/>
      <c r="BV46" s="89" t="n"/>
      <c r="BW46" s="61" t="n"/>
      <c r="BX46" s="77" t="n"/>
      <c r="BY46" s="77" t="n"/>
      <c r="BZ46" s="78" t="n"/>
      <c r="CA46" s="60" t="n"/>
      <c r="CB46" s="76" t="n"/>
      <c r="CC46" s="140" t="n"/>
      <c r="CE46" s="76" t="n"/>
      <c r="CF46" s="89" t="n"/>
      <c r="CG46" s="91" t="n"/>
      <c r="CH46" s="60" t="n"/>
      <c r="CI46" s="141" t="n"/>
      <c r="CJ46" s="141" t="n"/>
      <c r="CK46" s="141" t="n"/>
      <c r="CL46" s="141" t="n"/>
      <c r="CM46" s="141" t="n"/>
      <c r="CN46" s="64" t="n"/>
      <c r="CO46" s="64" t="n"/>
      <c r="CP46" s="64" t="n"/>
      <c r="CQ46" s="141" t="n"/>
      <c r="CR46" s="141" t="n"/>
      <c r="CS46" s="63" t="n"/>
      <c r="CT46" s="64" t="n"/>
      <c r="CU46" s="64" t="n"/>
      <c r="CV46" s="59" t="n"/>
      <c r="CW46" s="64" t="n"/>
      <c r="CX46" s="102" t="n"/>
      <c r="CY46" s="153" t="n"/>
      <c r="CZ46" s="154" t="n"/>
      <c r="DA46" s="143" t="n"/>
      <c r="DB46" s="63" t="n"/>
      <c r="DC46" s="63" t="n"/>
      <c r="DD46" s="59" t="n"/>
      <c r="DE46" s="141" t="n"/>
      <c r="DF46" s="141" t="n"/>
      <c r="DG46" s="63" t="n"/>
      <c r="DH46" s="63" t="n"/>
      <c r="DI46" s="63" t="n"/>
      <c r="DJ46" s="63" t="n"/>
      <c r="DL46" s="59" t="n"/>
      <c r="DM46" s="157" t="n"/>
      <c r="DN46" s="153" t="n"/>
      <c r="DO46" s="102" t="n"/>
      <c r="DP46" s="153" t="n"/>
      <c r="DQ46" s="59" t="n"/>
      <c r="DR46" s="63" t="n"/>
      <c r="DS46" s="153" t="n"/>
      <c r="DT46" s="80" t="n"/>
      <c r="DU46" s="153" t="n"/>
      <c r="DV46" s="157" t="n"/>
      <c r="DW46" s="158" t="n"/>
      <c r="DZ46" s="146" t="n"/>
      <c r="EA46" s="146" t="n"/>
      <c r="EB46" s="146" t="n"/>
      <c r="EC46" s="63" t="n"/>
      <c r="EE46" s="64" t="n"/>
      <c r="EF46" s="60" t="n"/>
      <c r="EG46" s="59" t="n"/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48" t="n"/>
      <c r="K98" s="151" t="n"/>
      <c r="M98" s="98" t="n"/>
      <c r="R98" s="98" t="n"/>
      <c r="S98" s="9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3" t="n"/>
      <c r="AS98" s="153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2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48" t="n"/>
      <c r="K99" s="151" t="n"/>
      <c r="M99" s="98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3" t="n"/>
      <c r="AS99" s="153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2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93" t="n"/>
      <c r="C100" s="59" t="n"/>
      <c r="D100" s="149" t="n"/>
      <c r="E100" s="95" t="n"/>
      <c r="F100" s="60" t="n"/>
      <c r="G100" s="60" t="n"/>
      <c r="H100" s="60" t="n"/>
      <c r="I100" s="150" t="n"/>
      <c r="J100" s="148" t="n"/>
      <c r="K100" s="151" t="n"/>
      <c r="M100" s="98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3" t="n"/>
      <c r="AS100" s="153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2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93" t="n"/>
      <c r="C101" s="59" t="n"/>
      <c r="D101" s="149" t="n"/>
      <c r="E101" s="95" t="n"/>
      <c r="F101" s="60" t="n"/>
      <c r="G101" s="60" t="n"/>
      <c r="H101" s="60" t="n"/>
      <c r="I101" s="150" t="n"/>
      <c r="J101" s="148" t="n"/>
      <c r="K101" s="151" t="n"/>
      <c r="M101" s="98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3" t="n"/>
      <c r="AS101" s="153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2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93" t="n"/>
      <c r="C102" s="59" t="n"/>
      <c r="D102" s="149" t="n"/>
      <c r="E102" s="95" t="n"/>
      <c r="F102" s="60" t="n"/>
      <c r="G102" s="60" t="n"/>
      <c r="H102" s="60" t="n"/>
      <c r="I102" s="150" t="n"/>
      <c r="J102" s="148" t="n"/>
      <c r="K102" s="151" t="n"/>
      <c r="M102" s="98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3" t="n"/>
      <c r="AS102" s="153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2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93" t="n"/>
      <c r="C103" s="59" t="n"/>
      <c r="D103" s="149" t="n"/>
      <c r="E103" s="95" t="n"/>
      <c r="F103" s="60" t="n"/>
      <c r="G103" s="60" t="n"/>
      <c r="H103" s="60" t="n"/>
      <c r="I103" s="150" t="n"/>
      <c r="J103" s="148" t="n"/>
      <c r="K103" s="151" t="n"/>
      <c r="M103" s="98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3" t="n"/>
      <c r="AS103" s="153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2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93" t="n"/>
      <c r="C104" s="59" t="n"/>
      <c r="D104" s="149" t="n"/>
      <c r="E104" s="95" t="n"/>
      <c r="F104" s="60" t="n"/>
      <c r="G104" s="60" t="n"/>
      <c r="H104" s="60" t="n"/>
      <c r="I104" s="150" t="n"/>
      <c r="J104" s="148" t="n"/>
      <c r="K104" s="151" t="n"/>
      <c r="M104" s="98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3" t="n"/>
      <c r="AS104" s="153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2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93" t="n"/>
      <c r="C105" s="59" t="n"/>
      <c r="D105" s="149" t="n"/>
      <c r="E105" s="95" t="n"/>
      <c r="F105" s="60" t="n"/>
      <c r="G105" s="60" t="n"/>
      <c r="H105" s="60" t="n"/>
      <c r="I105" s="150" t="n"/>
      <c r="J105" s="148" t="n"/>
      <c r="K105" s="151" t="n"/>
      <c r="M105" s="98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3" t="n"/>
      <c r="AS105" s="153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2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93" t="n"/>
      <c r="C106" s="59" t="n"/>
      <c r="D106" s="149" t="n"/>
      <c r="E106" s="95" t="n"/>
      <c r="F106" s="60" t="n"/>
      <c r="G106" s="60" t="n"/>
      <c r="H106" s="60" t="n"/>
      <c r="I106" s="150" t="n"/>
      <c r="J106" s="148" t="n"/>
      <c r="K106" s="151" t="n"/>
      <c r="M106" s="98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3" t="n"/>
      <c r="AS106" s="153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2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93" t="n"/>
      <c r="C107" s="59" t="n"/>
      <c r="D107" s="149" t="n"/>
      <c r="E107" s="95" t="n"/>
      <c r="F107" s="60" t="n"/>
      <c r="G107" s="60" t="n"/>
      <c r="H107" s="60" t="n"/>
      <c r="I107" s="150" t="n"/>
      <c r="J107" s="148" t="n"/>
      <c r="K107" s="151" t="n"/>
      <c r="M107" s="98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3" t="n"/>
      <c r="AS107" s="153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2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93" t="n"/>
      <c r="C108" s="59" t="n"/>
      <c r="D108" s="149" t="n"/>
      <c r="E108" s="95" t="n"/>
      <c r="F108" s="60" t="n"/>
      <c r="G108" s="60" t="n"/>
      <c r="H108" s="60" t="n"/>
      <c r="I108" s="150" t="n"/>
      <c r="J108" s="148" t="n"/>
      <c r="K108" s="151" t="n"/>
      <c r="M108" s="98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3" t="n"/>
      <c r="AS108" s="153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2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93" t="n"/>
      <c r="C109" s="59" t="n"/>
      <c r="D109" s="149" t="n"/>
      <c r="E109" s="95" t="n"/>
      <c r="F109" s="60" t="n"/>
      <c r="G109" s="60" t="n"/>
      <c r="H109" s="60" t="n"/>
      <c r="I109" s="150" t="n"/>
      <c r="J109" s="148" t="n"/>
      <c r="K109" s="151" t="n"/>
      <c r="M109" s="98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3" t="n"/>
      <c r="AS109" s="153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2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93" t="n"/>
      <c r="C110" s="59" t="n"/>
      <c r="D110" s="149" t="n"/>
      <c r="E110" s="95" t="n"/>
      <c r="F110" s="60" t="n"/>
      <c r="G110" s="60" t="n"/>
      <c r="H110" s="60" t="n"/>
      <c r="I110" s="150" t="n"/>
      <c r="J110" s="148" t="n"/>
      <c r="K110" s="151" t="n"/>
      <c r="M110" s="98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3" t="n"/>
      <c r="AS110" s="153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2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93" t="n"/>
      <c r="C111" s="59" t="n"/>
      <c r="D111" s="149" t="n"/>
      <c r="E111" s="95" t="n"/>
      <c r="F111" s="60" t="n"/>
      <c r="G111" s="60" t="n"/>
      <c r="H111" s="60" t="n"/>
      <c r="I111" s="150" t="n"/>
      <c r="J111" s="148" t="n"/>
      <c r="K111" s="151" t="n"/>
      <c r="M111" s="98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3" t="n"/>
      <c r="AS111" s="153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2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93" t="n"/>
      <c r="C112" s="59" t="n"/>
      <c r="D112" s="149" t="n"/>
      <c r="E112" s="95" t="n"/>
      <c r="F112" s="60" t="n"/>
      <c r="G112" s="60" t="n"/>
      <c r="H112" s="60" t="n"/>
      <c r="I112" s="150" t="n"/>
      <c r="J112" s="148" t="n"/>
      <c r="K112" s="151" t="n"/>
      <c r="M112" s="98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3" t="n"/>
      <c r="AS112" s="153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2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93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L113" s="85" t="n"/>
      <c r="M113" s="108" t="n"/>
      <c r="N113" s="85" t="n"/>
      <c r="O113" s="85" t="n"/>
      <c r="P113" s="85" t="n"/>
      <c r="Q113" s="85" t="n"/>
      <c r="R113" s="108" t="n"/>
      <c r="S113" s="10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93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59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59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59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59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59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59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59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59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59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110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6" t="n"/>
      <c r="AS167" s="156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110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6" t="n"/>
      <c r="AS168" s="156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110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6" t="n"/>
      <c r="AS169" s="156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110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6" t="n"/>
      <c r="AS170" s="156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110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6" t="n"/>
      <c r="AS171" s="156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110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6" t="n"/>
      <c r="AS172" s="156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110" t="n"/>
      <c r="C173" s="111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6" t="n"/>
      <c r="AS173" s="156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110" t="n"/>
      <c r="C174" s="111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6" t="n"/>
      <c r="AS174" s="156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110" t="n"/>
      <c r="C175" s="111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6" t="n"/>
      <c r="AS175" s="156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110" t="n"/>
      <c r="C176" s="111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6" t="n"/>
      <c r="AS176" s="156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110" t="n"/>
      <c r="C177" s="111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6" t="n"/>
      <c r="AS177" s="156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110" t="n"/>
      <c r="C178" s="111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6" t="n"/>
      <c r="AS178" s="156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110" t="n"/>
      <c r="C179" s="111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6" t="n"/>
      <c r="AS179" s="156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110" t="n"/>
      <c r="C180" s="111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6" t="n"/>
      <c r="AS180" s="156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110" t="n"/>
      <c r="C181" s="111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6" t="n"/>
      <c r="AS181" s="156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32" t="n"/>
      <c r="K849" s="151" t="n"/>
      <c r="M849" s="98" t="n"/>
      <c r="O849" s="86" t="n"/>
      <c r="P849" s="86" t="n"/>
      <c r="Q849" s="86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17" t="n"/>
      <c r="AZ849" s="117" t="n"/>
      <c r="BA849" s="117" t="n"/>
      <c r="BB849" s="155" t="n"/>
      <c r="BC849" s="139" t="n"/>
      <c r="BD849" s="80" t="n"/>
      <c r="BO849" s="102" t="n"/>
      <c r="BP849" s="156" t="n"/>
      <c r="BQ849" s="156" t="n"/>
      <c r="BR849" s="137" t="n"/>
      <c r="BS849" s="109" t="n"/>
      <c r="BT849" s="153" t="n"/>
      <c r="BU849" s="60" t="n"/>
      <c r="BV849" s="89" t="n"/>
      <c r="BW849" s="61" t="n"/>
      <c r="BX849" s="77" t="n"/>
      <c r="BY849" s="77" t="n"/>
      <c r="BZ849" s="78" t="n"/>
      <c r="CA849" s="60" t="n"/>
      <c r="CB849" s="76" t="n"/>
      <c r="CC849" s="140" t="n"/>
      <c r="CE849" s="76" t="n"/>
      <c r="CF849" s="89" t="n"/>
      <c r="CG849" s="91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32" t="n"/>
      <c r="K850" s="151" t="n"/>
      <c r="M850" s="98" t="n"/>
      <c r="O850" s="86" t="n"/>
      <c r="P850" s="86" t="n"/>
      <c r="Q850" s="86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17" t="n"/>
      <c r="AZ850" s="117" t="n"/>
      <c r="BA850" s="117" t="n"/>
      <c r="BB850" s="155" t="n"/>
      <c r="BC850" s="139" t="n"/>
      <c r="BD850" s="80" t="n"/>
      <c r="BO850" s="102" t="n"/>
      <c r="BP850" s="156" t="n"/>
      <c r="BQ850" s="156" t="n"/>
      <c r="BR850" s="137" t="n"/>
      <c r="BS850" s="109" t="n"/>
      <c r="BT850" s="153" t="n"/>
      <c r="BU850" s="60" t="n"/>
      <c r="BV850" s="89" t="n"/>
      <c r="BW850" s="61" t="n"/>
      <c r="BX850" s="77" t="n"/>
      <c r="BY850" s="77" t="n"/>
      <c r="BZ850" s="78" t="n"/>
      <c r="CA850" s="60" t="n"/>
      <c r="CB850" s="76" t="n"/>
      <c r="CC850" s="140" t="n"/>
      <c r="CE850" s="76" t="n"/>
      <c r="CF850" s="89" t="n"/>
      <c r="CG850" s="91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32" t="n"/>
      <c r="K851" s="151" t="n"/>
      <c r="M851" s="98" t="n"/>
      <c r="O851" s="86" t="n"/>
      <c r="P851" s="86" t="n"/>
      <c r="Q851" s="86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17" t="n"/>
      <c r="AZ851" s="117" t="n"/>
      <c r="BA851" s="117" t="n"/>
      <c r="BB851" s="155" t="n"/>
      <c r="BC851" s="139" t="n"/>
      <c r="BD851" s="80" t="n"/>
      <c r="BO851" s="102" t="n"/>
      <c r="BP851" s="156" t="n"/>
      <c r="BQ851" s="156" t="n"/>
      <c r="BR851" s="137" t="n"/>
      <c r="BS851" s="109" t="n"/>
      <c r="BT851" s="153" t="n"/>
      <c r="BU851" s="60" t="n"/>
      <c r="BV851" s="89" t="n"/>
      <c r="BW851" s="61" t="n"/>
      <c r="BX851" s="77" t="n"/>
      <c r="BY851" s="77" t="n"/>
      <c r="BZ851" s="78" t="n"/>
      <c r="CA851" s="60" t="n"/>
      <c r="CB851" s="76" t="n"/>
      <c r="CC851" s="140" t="n"/>
      <c r="CE851" s="76" t="n"/>
      <c r="CF851" s="89" t="n"/>
      <c r="CG851" s="91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32" t="n"/>
      <c r="K852" s="151" t="n"/>
      <c r="M852" s="98" t="n"/>
      <c r="O852" s="86" t="n"/>
      <c r="P852" s="86" t="n"/>
      <c r="Q852" s="86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17" t="n"/>
      <c r="AZ852" s="117" t="n"/>
      <c r="BA852" s="117" t="n"/>
      <c r="BB852" s="155" t="n"/>
      <c r="BC852" s="139" t="n"/>
      <c r="BD852" s="80" t="n"/>
      <c r="BO852" s="102" t="n"/>
      <c r="BP852" s="156" t="n"/>
      <c r="BQ852" s="156" t="n"/>
      <c r="BR852" s="137" t="n"/>
      <c r="BS852" s="109" t="n"/>
      <c r="BT852" s="153" t="n"/>
      <c r="BU852" s="60" t="n"/>
      <c r="BV852" s="89" t="n"/>
      <c r="BW852" s="61" t="n"/>
      <c r="BX852" s="77" t="n"/>
      <c r="BY852" s="77" t="n"/>
      <c r="BZ852" s="78" t="n"/>
      <c r="CA852" s="60" t="n"/>
      <c r="CB852" s="76" t="n"/>
      <c r="CC852" s="140" t="n"/>
      <c r="CE852" s="76" t="n"/>
      <c r="CF852" s="89" t="n"/>
      <c r="CG852" s="91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32" t="n"/>
      <c r="K853" s="151" t="n"/>
      <c r="M853" s="98" t="n"/>
      <c r="O853" s="86" t="n"/>
      <c r="P853" s="86" t="n"/>
      <c r="Q853" s="86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17" t="n"/>
      <c r="AZ853" s="117" t="n"/>
      <c r="BA853" s="117" t="n"/>
      <c r="BB853" s="155" t="n"/>
      <c r="BC853" s="139" t="n"/>
      <c r="BD853" s="80" t="n"/>
      <c r="BO853" s="102" t="n"/>
      <c r="BP853" s="156" t="n"/>
      <c r="BQ853" s="156" t="n"/>
      <c r="BR853" s="137" t="n"/>
      <c r="BS853" s="109" t="n"/>
      <c r="BT853" s="153" t="n"/>
      <c r="BU853" s="60" t="n"/>
      <c r="BV853" s="89" t="n"/>
      <c r="BW853" s="61" t="n"/>
      <c r="BX853" s="77" t="n"/>
      <c r="BY853" s="77" t="n"/>
      <c r="BZ853" s="78" t="n"/>
      <c r="CA853" s="60" t="n"/>
      <c r="CB853" s="76" t="n"/>
      <c r="CC853" s="140" t="n"/>
      <c r="CE853" s="76" t="n"/>
      <c r="CF853" s="89" t="n"/>
      <c r="CG853" s="91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32" t="n"/>
      <c r="K854" s="151" t="n"/>
      <c r="M854" s="98" t="n"/>
      <c r="O854" s="86" t="n"/>
      <c r="P854" s="86" t="n"/>
      <c r="Q854" s="86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17" t="n"/>
      <c r="AZ854" s="117" t="n"/>
      <c r="BA854" s="117" t="n"/>
      <c r="BB854" s="155" t="n"/>
      <c r="BC854" s="139" t="n"/>
      <c r="BD854" s="80" t="n"/>
      <c r="BO854" s="102" t="n"/>
      <c r="BP854" s="156" t="n"/>
      <c r="BQ854" s="156" t="n"/>
      <c r="BR854" s="137" t="n"/>
      <c r="BS854" s="109" t="n"/>
      <c r="BT854" s="153" t="n"/>
      <c r="BU854" s="60" t="n"/>
      <c r="BV854" s="89" t="n"/>
      <c r="BW854" s="61" t="n"/>
      <c r="BX854" s="77" t="n"/>
      <c r="BY854" s="77" t="n"/>
      <c r="BZ854" s="78" t="n"/>
      <c r="CA854" s="60" t="n"/>
      <c r="CB854" s="76" t="n"/>
      <c r="CC854" s="140" t="n"/>
      <c r="CE854" s="76" t="n"/>
      <c r="CF854" s="89" t="n"/>
      <c r="CG854" s="91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32" t="n"/>
      <c r="K855" s="151" t="n"/>
      <c r="M855" s="98" t="n"/>
      <c r="O855" s="86" t="n"/>
      <c r="P855" s="86" t="n"/>
      <c r="Q855" s="86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17" t="n"/>
      <c r="AZ855" s="117" t="n"/>
      <c r="BA855" s="117" t="n"/>
      <c r="BB855" s="155" t="n"/>
      <c r="BC855" s="139" t="n"/>
      <c r="BD855" s="80" t="n"/>
      <c r="BO855" s="102" t="n"/>
      <c r="BP855" s="156" t="n"/>
      <c r="BQ855" s="156" t="n"/>
      <c r="BR855" s="137" t="n"/>
      <c r="BS855" s="109" t="n"/>
      <c r="BT855" s="153" t="n"/>
      <c r="BU855" s="60" t="n"/>
      <c r="BV855" s="89" t="n"/>
      <c r="BW855" s="61" t="n"/>
      <c r="BX855" s="77" t="n"/>
      <c r="BY855" s="77" t="n"/>
      <c r="BZ855" s="78" t="n"/>
      <c r="CA855" s="60" t="n"/>
      <c r="CB855" s="76" t="n"/>
      <c r="CC855" s="140" t="n"/>
      <c r="CE855" s="76" t="n"/>
      <c r="CF855" s="89" t="n"/>
      <c r="CG855" s="91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32" t="n"/>
      <c r="K856" s="151" t="n"/>
      <c r="M856" s="98" t="n"/>
      <c r="O856" s="86" t="n"/>
      <c r="P856" s="86" t="n"/>
      <c r="Q856" s="86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17" t="n"/>
      <c r="AZ856" s="117" t="n"/>
      <c r="BA856" s="117" t="n"/>
      <c r="BB856" s="155" t="n"/>
      <c r="BC856" s="139" t="n"/>
      <c r="BD856" s="80" t="n"/>
      <c r="BO856" s="102" t="n"/>
      <c r="BP856" s="156" t="n"/>
      <c r="BQ856" s="156" t="n"/>
      <c r="BR856" s="137" t="n"/>
      <c r="BS856" s="109" t="n"/>
      <c r="BT856" s="153" t="n"/>
      <c r="BU856" s="60" t="n"/>
      <c r="BV856" s="89" t="n"/>
      <c r="BW856" s="61" t="n"/>
      <c r="BX856" s="77" t="n"/>
      <c r="BY856" s="77" t="n"/>
      <c r="BZ856" s="78" t="n"/>
      <c r="CA856" s="60" t="n"/>
      <c r="CB856" s="76" t="n"/>
      <c r="CC856" s="140" t="n"/>
      <c r="CE856" s="76" t="n"/>
      <c r="CF856" s="89" t="n"/>
      <c r="CG856" s="91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32" t="n"/>
      <c r="K857" s="151" t="n"/>
      <c r="M857" s="98" t="n"/>
      <c r="O857" s="86" t="n"/>
      <c r="P857" s="86" t="n"/>
      <c r="Q857" s="86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17" t="n"/>
      <c r="AZ857" s="117" t="n"/>
      <c r="BA857" s="117" t="n"/>
      <c r="BB857" s="155" t="n"/>
      <c r="BC857" s="139" t="n"/>
      <c r="BD857" s="80" t="n"/>
      <c r="BO857" s="102" t="n"/>
      <c r="BP857" s="156" t="n"/>
      <c r="BQ857" s="156" t="n"/>
      <c r="BR857" s="137" t="n"/>
      <c r="BS857" s="109" t="n"/>
      <c r="BT857" s="153" t="n"/>
      <c r="BU857" s="60" t="n"/>
      <c r="BV857" s="89" t="n"/>
      <c r="BW857" s="61" t="n"/>
      <c r="BX857" s="77" t="n"/>
      <c r="BY857" s="77" t="n"/>
      <c r="BZ857" s="78" t="n"/>
      <c r="CA857" s="60" t="n"/>
      <c r="CB857" s="76" t="n"/>
      <c r="CC857" s="140" t="n"/>
      <c r="CE857" s="76" t="n"/>
      <c r="CF857" s="89" t="n"/>
      <c r="CG857" s="91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32" t="n"/>
      <c r="K858" s="151" t="n"/>
      <c r="M858" s="98" t="n"/>
      <c r="O858" s="86" t="n"/>
      <c r="P858" s="86" t="n"/>
      <c r="Q858" s="86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17" t="n"/>
      <c r="AZ858" s="117" t="n"/>
      <c r="BA858" s="117" t="n"/>
      <c r="BB858" s="155" t="n"/>
      <c r="BC858" s="139" t="n"/>
      <c r="BD858" s="80" t="n"/>
      <c r="BO858" s="102" t="n"/>
      <c r="BP858" s="156" t="n"/>
      <c r="BQ858" s="156" t="n"/>
      <c r="BR858" s="137" t="n"/>
      <c r="BS858" s="109" t="n"/>
      <c r="BT858" s="153" t="n"/>
      <c r="BU858" s="60" t="n"/>
      <c r="BV858" s="89" t="n"/>
      <c r="BW858" s="61" t="n"/>
      <c r="BX858" s="77" t="n"/>
      <c r="BY858" s="77" t="n"/>
      <c r="BZ858" s="78" t="n"/>
      <c r="CA858" s="60" t="n"/>
      <c r="CB858" s="76" t="n"/>
      <c r="CC858" s="140" t="n"/>
      <c r="CE858" s="76" t="n"/>
      <c r="CF858" s="89" t="n"/>
      <c r="CG858" s="91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32" t="n"/>
      <c r="K859" s="151" t="n"/>
      <c r="M859" s="98" t="n"/>
      <c r="O859" s="86" t="n"/>
      <c r="P859" s="86" t="n"/>
      <c r="Q859" s="86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17" t="n"/>
      <c r="AZ859" s="117" t="n"/>
      <c r="BA859" s="117" t="n"/>
      <c r="BB859" s="155" t="n"/>
      <c r="BC859" s="139" t="n"/>
      <c r="BD859" s="80" t="n"/>
      <c r="BO859" s="102" t="n"/>
      <c r="BP859" s="156" t="n"/>
      <c r="BQ859" s="156" t="n"/>
      <c r="BR859" s="137" t="n"/>
      <c r="BS859" s="109" t="n"/>
      <c r="BT859" s="153" t="n"/>
      <c r="BU859" s="60" t="n"/>
      <c r="BV859" s="89" t="n"/>
      <c r="BW859" s="61" t="n"/>
      <c r="BX859" s="77" t="n"/>
      <c r="BY859" s="77" t="n"/>
      <c r="BZ859" s="78" t="n"/>
      <c r="CA859" s="60" t="n"/>
      <c r="CB859" s="76" t="n"/>
      <c r="CC859" s="140" t="n"/>
      <c r="CE859" s="76" t="n"/>
      <c r="CF859" s="89" t="n"/>
      <c r="CG859" s="91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32" t="n"/>
      <c r="K860" s="151" t="n"/>
      <c r="M860" s="98" t="n"/>
      <c r="O860" s="86" t="n"/>
      <c r="P860" s="86" t="n"/>
      <c r="Q860" s="86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17" t="n"/>
      <c r="AZ860" s="117" t="n"/>
      <c r="BA860" s="117" t="n"/>
      <c r="BB860" s="155" t="n"/>
      <c r="BC860" s="139" t="n"/>
      <c r="BD860" s="80" t="n"/>
      <c r="BO860" s="102" t="n"/>
      <c r="BP860" s="156" t="n"/>
      <c r="BQ860" s="156" t="n"/>
      <c r="BR860" s="137" t="n"/>
      <c r="BS860" s="109" t="n"/>
      <c r="BT860" s="153" t="n"/>
      <c r="BU860" s="60" t="n"/>
      <c r="BV860" s="89" t="n"/>
      <c r="BW860" s="61" t="n"/>
      <c r="BX860" s="77" t="n"/>
      <c r="BY860" s="77" t="n"/>
      <c r="BZ860" s="78" t="n"/>
      <c r="CA860" s="60" t="n"/>
      <c r="CB860" s="76" t="n"/>
      <c r="CC860" s="140" t="n"/>
      <c r="CE860" s="76" t="n"/>
      <c r="CF860" s="89" t="n"/>
      <c r="CG860" s="91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32" t="n"/>
      <c r="K861" s="151" t="n"/>
      <c r="M861" s="98" t="n"/>
      <c r="O861" s="86" t="n"/>
      <c r="P861" s="86" t="n"/>
      <c r="Q861" s="86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17" t="n"/>
      <c r="AZ861" s="117" t="n"/>
      <c r="BA861" s="117" t="n"/>
      <c r="BB861" s="155" t="n"/>
      <c r="BC861" s="139" t="n"/>
      <c r="BD861" s="80" t="n"/>
      <c r="BO861" s="102" t="n"/>
      <c r="BP861" s="156" t="n"/>
      <c r="BQ861" s="156" t="n"/>
      <c r="BR861" s="137" t="n"/>
      <c r="BS861" s="109" t="n"/>
      <c r="BT861" s="153" t="n"/>
      <c r="BU861" s="60" t="n"/>
      <c r="BV861" s="89" t="n"/>
      <c r="BW861" s="61" t="n"/>
      <c r="BX861" s="77" t="n"/>
      <c r="BY861" s="77" t="n"/>
      <c r="BZ861" s="78" t="n"/>
      <c r="CA861" s="60" t="n"/>
      <c r="CB861" s="76" t="n"/>
      <c r="CC861" s="140" t="n"/>
      <c r="CE861" s="76" t="n"/>
      <c r="CF861" s="89" t="n"/>
      <c r="CG861" s="91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32" t="n"/>
      <c r="K862" s="151" t="n"/>
      <c r="M862" s="98" t="n"/>
      <c r="O862" s="86" t="n"/>
      <c r="P862" s="86" t="n"/>
      <c r="Q862" s="86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17" t="n"/>
      <c r="AZ862" s="117" t="n"/>
      <c r="BA862" s="117" t="n"/>
      <c r="BB862" s="155" t="n"/>
      <c r="BC862" s="139" t="n"/>
      <c r="BD862" s="80" t="n"/>
      <c r="BO862" s="102" t="n"/>
      <c r="BP862" s="156" t="n"/>
      <c r="BQ862" s="156" t="n"/>
      <c r="BR862" s="137" t="n"/>
      <c r="BS862" s="109" t="n"/>
      <c r="BT862" s="153" t="n"/>
      <c r="BU862" s="60" t="n"/>
      <c r="BV862" s="89" t="n"/>
      <c r="BW862" s="61" t="n"/>
      <c r="BX862" s="77" t="n"/>
      <c r="BY862" s="77" t="n"/>
      <c r="BZ862" s="78" t="n"/>
      <c r="CA862" s="60" t="n"/>
      <c r="CB862" s="76" t="n"/>
      <c r="CC862" s="140" t="n"/>
      <c r="CE862" s="76" t="n"/>
      <c r="CF862" s="89" t="n"/>
      <c r="CG862" s="91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32" t="n"/>
      <c r="K863" s="151" t="n"/>
      <c r="M863" s="98" t="n"/>
      <c r="O863" s="86" t="n"/>
      <c r="P863" s="86" t="n"/>
      <c r="Q863" s="86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17" t="n"/>
      <c r="AZ863" s="117" t="n"/>
      <c r="BA863" s="117" t="n"/>
      <c r="BB863" s="155" t="n"/>
      <c r="BC863" s="139" t="n"/>
      <c r="BD863" s="80" t="n"/>
      <c r="BO863" s="102" t="n"/>
      <c r="BP863" s="156" t="n"/>
      <c r="BQ863" s="156" t="n"/>
      <c r="BR863" s="137" t="n"/>
      <c r="BS863" s="109" t="n"/>
      <c r="BT863" s="153" t="n"/>
      <c r="BU863" s="60" t="n"/>
      <c r="BV863" s="89" t="n"/>
      <c r="BW863" s="61" t="n"/>
      <c r="BX863" s="77" t="n"/>
      <c r="BY863" s="77" t="n"/>
      <c r="BZ863" s="78" t="n"/>
      <c r="CA863" s="60" t="n"/>
      <c r="CB863" s="76" t="n"/>
      <c r="CC863" s="140" t="n"/>
      <c r="CE863" s="76" t="n"/>
      <c r="CF863" s="89" t="n"/>
      <c r="CG863" s="91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48" t="n"/>
      <c r="K1018" s="151" t="n"/>
      <c r="M1018" s="98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37" t="n"/>
      <c r="AZ1018" s="137" t="n"/>
      <c r="BA1018" s="137" t="n"/>
      <c r="BB1018" s="153" t="n"/>
      <c r="BC1018" s="159" t="n"/>
      <c r="BD1018" s="80" t="n"/>
      <c r="BO1018" s="102" t="n"/>
      <c r="BP1018" s="153" t="n"/>
      <c r="BQ1018" s="153" t="n"/>
      <c r="BR1018" s="137" t="n"/>
      <c r="BS1018" s="102" t="n"/>
      <c r="BT1018" s="153" t="n"/>
      <c r="BU1018" s="60" t="n"/>
      <c r="BV1018" s="59" t="n"/>
      <c r="BW1018" s="61" t="n"/>
      <c r="BX1018" s="61" t="n"/>
      <c r="BY1018" s="61" t="n"/>
      <c r="BZ1018" s="61" t="n"/>
      <c r="CA1018" s="60" t="n"/>
      <c r="CB1018" s="59" t="n"/>
      <c r="CC1018" s="141" t="n"/>
      <c r="CE1018" s="59" t="n"/>
      <c r="CF1018" s="59" t="n"/>
      <c r="CG1018" s="63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48" t="n"/>
      <c r="K1031" s="151" t="n"/>
      <c r="M1031" s="98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37" t="n"/>
      <c r="AZ1031" s="137" t="n"/>
      <c r="BA1031" s="137" t="n"/>
      <c r="BB1031" s="153" t="n"/>
      <c r="BC1031" s="159" t="n"/>
      <c r="BD1031" s="80" t="n"/>
      <c r="BO1031" s="102" t="n"/>
      <c r="BP1031" s="153" t="n"/>
      <c r="BQ1031" s="153" t="n"/>
      <c r="BR1031" s="137" t="n"/>
      <c r="BS1031" s="102" t="n"/>
      <c r="BT1031" s="153" t="n"/>
      <c r="BU1031" s="60" t="n"/>
      <c r="BV1031" s="59" t="n"/>
      <c r="BW1031" s="61" t="n"/>
      <c r="BX1031" s="61" t="n"/>
      <c r="BY1031" s="61" t="n"/>
      <c r="BZ1031" s="61" t="n"/>
      <c r="CA1031" s="60" t="n"/>
      <c r="CB1031" s="59" t="n"/>
      <c r="CC1031" s="141" t="n"/>
      <c r="CE1031" s="59" t="n"/>
      <c r="CF1031" s="59" t="n"/>
      <c r="CG1031" s="63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32" t="n"/>
      <c r="K1033" s="151" t="n"/>
      <c r="M1033" s="98" t="n"/>
      <c r="O1033" s="86" t="n"/>
      <c r="P1033" s="86" t="n"/>
      <c r="Q1033" s="86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17" t="n"/>
      <c r="AZ1033" s="117" t="n"/>
      <c r="BA1033" s="117" t="n"/>
      <c r="BB1033" s="155" t="n"/>
      <c r="BC1033" s="139" t="n"/>
      <c r="BD1033" s="80" t="n"/>
      <c r="BO1033" s="102" t="n"/>
      <c r="BP1033" s="156" t="n"/>
      <c r="BQ1033" s="156" t="n"/>
      <c r="BR1033" s="137" t="n"/>
      <c r="BS1033" s="109" t="n"/>
      <c r="BT1033" s="153" t="n"/>
      <c r="BU1033" s="60" t="n"/>
      <c r="BV1033" s="89" t="n"/>
      <c r="BW1033" s="61" t="n"/>
      <c r="BX1033" s="77" t="n"/>
      <c r="BY1033" s="77" t="n"/>
      <c r="BZ1033" s="78" t="n"/>
      <c r="CA1033" s="60" t="n"/>
      <c r="CB1033" s="76" t="n"/>
      <c r="CC1033" s="140" t="n"/>
      <c r="CE1033" s="76" t="n"/>
      <c r="CF1033" s="89" t="n"/>
      <c r="CG1033" s="91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32" t="n"/>
      <c r="K1046" s="151" t="n"/>
      <c r="M1046" s="98" t="n"/>
      <c r="O1046" s="86" t="n"/>
      <c r="P1046" s="86" t="n"/>
      <c r="Q1046" s="86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17" t="n"/>
      <c r="AZ1046" s="117" t="n"/>
      <c r="BA1046" s="117" t="n"/>
      <c r="BB1046" s="155" t="n"/>
      <c r="BC1046" s="139" t="n"/>
      <c r="BD1046" s="80" t="n"/>
      <c r="BO1046" s="102" t="n"/>
      <c r="BP1046" s="156" t="n"/>
      <c r="BQ1046" s="156" t="n"/>
      <c r="BR1046" s="137" t="n"/>
      <c r="BS1046" s="109" t="n"/>
      <c r="BT1046" s="153" t="n"/>
      <c r="BU1046" s="60" t="n"/>
      <c r="BV1046" s="89" t="n"/>
      <c r="BW1046" s="61" t="n"/>
      <c r="BX1046" s="77" t="n"/>
      <c r="BY1046" s="77" t="n"/>
      <c r="BZ1046" s="78" t="n"/>
      <c r="CA1046" s="60" t="n"/>
      <c r="CB1046" s="76" t="n"/>
      <c r="CC1046" s="140" t="n"/>
      <c r="CE1046" s="76" t="n"/>
      <c r="CF1046" s="89" t="n"/>
      <c r="CG1046" s="91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48" t="n"/>
      <c r="K1131" s="151" t="n"/>
      <c r="M1131" s="98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37" t="n"/>
      <c r="AZ1131" s="137" t="n"/>
      <c r="BA1131" s="137" t="n"/>
      <c r="BB1131" s="153" t="n"/>
      <c r="BC1131" s="159" t="n"/>
      <c r="BD1131" s="80" t="n"/>
      <c r="BO1131" s="102" t="n"/>
      <c r="BP1131" s="153" t="n"/>
      <c r="BQ1131" s="153" t="n"/>
      <c r="BR1131" s="137" t="n"/>
      <c r="BS1131" s="102" t="n"/>
      <c r="BT1131" s="153" t="n"/>
      <c r="BU1131" s="60" t="n"/>
      <c r="BV1131" s="59" t="n"/>
      <c r="BW1131" s="61" t="n"/>
      <c r="BX1131" s="61" t="n"/>
      <c r="BY1131" s="61" t="n"/>
      <c r="BZ1131" s="61" t="n"/>
      <c r="CA1131" s="60" t="n"/>
      <c r="CB1131" s="59" t="n"/>
      <c r="CC1131" s="141" t="n"/>
      <c r="CE1131" s="59" t="n"/>
      <c r="CF1131" s="59" t="n"/>
      <c r="CG1131" s="63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32" t="n"/>
      <c r="K1146" s="151" t="n"/>
      <c r="M1146" s="98" t="n"/>
      <c r="O1146" s="86" t="n"/>
      <c r="P1146" s="86" t="n"/>
      <c r="Q1146" s="86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17" t="n"/>
      <c r="AZ1146" s="117" t="n"/>
      <c r="BA1146" s="117" t="n"/>
      <c r="BB1146" s="155" t="n"/>
      <c r="BC1146" s="139" t="n"/>
      <c r="BD1146" s="80" t="n"/>
      <c r="BO1146" s="102" t="n"/>
      <c r="BP1146" s="156" t="n"/>
      <c r="BQ1146" s="156" t="n"/>
      <c r="BR1146" s="137" t="n"/>
      <c r="BS1146" s="109" t="n"/>
      <c r="BT1146" s="153" t="n"/>
      <c r="BU1146" s="60" t="n"/>
      <c r="BV1146" s="89" t="n"/>
      <c r="BW1146" s="61" t="n"/>
      <c r="BX1146" s="77" t="n"/>
      <c r="BY1146" s="77" t="n"/>
      <c r="BZ1146" s="78" t="n"/>
      <c r="CA1146" s="60" t="n"/>
      <c r="CB1146" s="76" t="n"/>
      <c r="CC1146" s="140" t="n"/>
      <c r="CE1146" s="76" t="n"/>
      <c r="CF1146" s="89" t="n"/>
      <c r="CG1146" s="91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48" t="n"/>
      <c r="K1312" s="151" t="n"/>
      <c r="M1312" s="98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37" t="n"/>
      <c r="AZ1312" s="137" t="n"/>
      <c r="BA1312" s="137" t="n"/>
      <c r="BB1312" s="153" t="n"/>
      <c r="BC1312" s="159" t="n"/>
      <c r="BD1312" s="80" t="n"/>
      <c r="BO1312" s="102" t="n"/>
      <c r="BP1312" s="153" t="n"/>
      <c r="BQ1312" s="153" t="n"/>
      <c r="BR1312" s="137" t="n"/>
      <c r="BS1312" s="102" t="n"/>
      <c r="BT1312" s="153" t="n"/>
      <c r="BU1312" s="60" t="n"/>
      <c r="BV1312" s="59" t="n"/>
      <c r="BW1312" s="61" t="n"/>
      <c r="BX1312" s="61" t="n"/>
      <c r="BY1312" s="61" t="n"/>
      <c r="BZ1312" s="61" t="n"/>
      <c r="CA1312" s="60" t="n"/>
      <c r="CB1312" s="59" t="n"/>
      <c r="CC1312" s="141" t="n"/>
      <c r="CE1312" s="59" t="n"/>
      <c r="CF1312" s="59" t="n"/>
      <c r="CG1312" s="63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48" t="n"/>
      <c r="K1313" s="151" t="n"/>
      <c r="M1313" s="98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37" t="n"/>
      <c r="AZ1313" s="137" t="n"/>
      <c r="BA1313" s="137" t="n"/>
      <c r="BB1313" s="153" t="n"/>
      <c r="BC1313" s="159" t="n"/>
      <c r="BD1313" s="80" t="n"/>
      <c r="BO1313" s="102" t="n"/>
      <c r="BP1313" s="153" t="n"/>
      <c r="BQ1313" s="153" t="n"/>
      <c r="BR1313" s="137" t="n"/>
      <c r="BS1313" s="102" t="n"/>
      <c r="BT1313" s="153" t="n"/>
      <c r="BU1313" s="60" t="n"/>
      <c r="BV1313" s="59" t="n"/>
      <c r="BW1313" s="61" t="n"/>
      <c r="BX1313" s="61" t="n"/>
      <c r="BY1313" s="61" t="n"/>
      <c r="BZ1313" s="61" t="n"/>
      <c r="CA1313" s="60" t="n"/>
      <c r="CB1313" s="59" t="n"/>
      <c r="CC1313" s="141" t="n"/>
      <c r="CE1313" s="59" t="n"/>
      <c r="CF1313" s="59" t="n"/>
      <c r="CG1313" s="63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48" t="n"/>
      <c r="K1314" s="151" t="n"/>
      <c r="M1314" s="98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37" t="n"/>
      <c r="AZ1314" s="137" t="n"/>
      <c r="BA1314" s="137" t="n"/>
      <c r="BB1314" s="153" t="n"/>
      <c r="BC1314" s="159" t="n"/>
      <c r="BD1314" s="80" t="n"/>
      <c r="BO1314" s="102" t="n"/>
      <c r="BP1314" s="153" t="n"/>
      <c r="BQ1314" s="153" t="n"/>
      <c r="BR1314" s="137" t="n"/>
      <c r="BS1314" s="102" t="n"/>
      <c r="BT1314" s="153" t="n"/>
      <c r="BU1314" s="60" t="n"/>
      <c r="BV1314" s="59" t="n"/>
      <c r="BW1314" s="61" t="n"/>
      <c r="BX1314" s="61" t="n"/>
      <c r="BY1314" s="61" t="n"/>
      <c r="BZ1314" s="61" t="n"/>
      <c r="CA1314" s="60" t="n"/>
      <c r="CB1314" s="59" t="n"/>
      <c r="CC1314" s="141" t="n"/>
      <c r="CE1314" s="59" t="n"/>
      <c r="CF1314" s="59" t="n"/>
      <c r="CG1314" s="63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48" t="n"/>
      <c r="K1315" s="151" t="n"/>
      <c r="M1315" s="98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37" t="n"/>
      <c r="AZ1315" s="137" t="n"/>
      <c r="BA1315" s="137" t="n"/>
      <c r="BB1315" s="153" t="n"/>
      <c r="BC1315" s="159" t="n"/>
      <c r="BD1315" s="80" t="n"/>
      <c r="BO1315" s="102" t="n"/>
      <c r="BP1315" s="153" t="n"/>
      <c r="BQ1315" s="153" t="n"/>
      <c r="BR1315" s="137" t="n"/>
      <c r="BS1315" s="102" t="n"/>
      <c r="BT1315" s="153" t="n"/>
      <c r="BU1315" s="60" t="n"/>
      <c r="BV1315" s="59" t="n"/>
      <c r="BW1315" s="61" t="n"/>
      <c r="BX1315" s="61" t="n"/>
      <c r="BY1315" s="61" t="n"/>
      <c r="BZ1315" s="61" t="n"/>
      <c r="CA1315" s="60" t="n"/>
      <c r="CB1315" s="59" t="n"/>
      <c r="CC1315" s="141" t="n"/>
      <c r="CE1315" s="59" t="n"/>
      <c r="CF1315" s="59" t="n"/>
      <c r="CG1315" s="63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48" t="n"/>
      <c r="K1316" s="151" t="n"/>
      <c r="M1316" s="98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37" t="n"/>
      <c r="AZ1316" s="137" t="n"/>
      <c r="BA1316" s="137" t="n"/>
      <c r="BB1316" s="153" t="n"/>
      <c r="BC1316" s="159" t="n"/>
      <c r="BD1316" s="80" t="n"/>
      <c r="BO1316" s="102" t="n"/>
      <c r="BP1316" s="153" t="n"/>
      <c r="BQ1316" s="153" t="n"/>
      <c r="BR1316" s="137" t="n"/>
      <c r="BS1316" s="102" t="n"/>
      <c r="BT1316" s="153" t="n"/>
      <c r="BU1316" s="60" t="n"/>
      <c r="BV1316" s="59" t="n"/>
      <c r="BW1316" s="61" t="n"/>
      <c r="BX1316" s="61" t="n"/>
      <c r="BY1316" s="61" t="n"/>
      <c r="BZ1316" s="61" t="n"/>
      <c r="CA1316" s="60" t="n"/>
      <c r="CB1316" s="59" t="n"/>
      <c r="CC1316" s="141" t="n"/>
      <c r="CE1316" s="59" t="n"/>
      <c r="CF1316" s="59" t="n"/>
      <c r="CG1316" s="63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48" t="n"/>
      <c r="K1317" s="151" t="n"/>
      <c r="M1317" s="98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37" t="n"/>
      <c r="AZ1317" s="137" t="n"/>
      <c r="BA1317" s="137" t="n"/>
      <c r="BB1317" s="153" t="n"/>
      <c r="BC1317" s="159" t="n"/>
      <c r="BD1317" s="80" t="n"/>
      <c r="BO1317" s="102" t="n"/>
      <c r="BP1317" s="153" t="n"/>
      <c r="BQ1317" s="153" t="n"/>
      <c r="BR1317" s="137" t="n"/>
      <c r="BS1317" s="102" t="n"/>
      <c r="BT1317" s="153" t="n"/>
      <c r="BU1317" s="60" t="n"/>
      <c r="BV1317" s="59" t="n"/>
      <c r="BW1317" s="61" t="n"/>
      <c r="BX1317" s="61" t="n"/>
      <c r="BY1317" s="61" t="n"/>
      <c r="BZ1317" s="61" t="n"/>
      <c r="CA1317" s="60" t="n"/>
      <c r="CB1317" s="59" t="n"/>
      <c r="CC1317" s="141" t="n"/>
      <c r="CE1317" s="59" t="n"/>
      <c r="CF1317" s="59" t="n"/>
      <c r="CG1317" s="63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48" t="n"/>
      <c r="K1323" s="151" t="n"/>
      <c r="M1323" s="98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37" t="n"/>
      <c r="AZ1323" s="137" t="n"/>
      <c r="BA1323" s="137" t="n"/>
      <c r="BB1323" s="153" t="n"/>
      <c r="BC1323" s="159" t="n"/>
      <c r="BD1323" s="80" t="n"/>
      <c r="BO1323" s="102" t="n"/>
      <c r="BP1323" s="153" t="n"/>
      <c r="BQ1323" s="153" t="n"/>
      <c r="BR1323" s="137" t="n"/>
      <c r="BS1323" s="102" t="n"/>
      <c r="BT1323" s="153" t="n"/>
      <c r="BU1323" s="60" t="n"/>
      <c r="BV1323" s="59" t="n"/>
      <c r="BW1323" s="61" t="n"/>
      <c r="BX1323" s="61" t="n"/>
      <c r="BY1323" s="61" t="n"/>
      <c r="BZ1323" s="61" t="n"/>
      <c r="CA1323" s="60" t="n"/>
      <c r="CB1323" s="59" t="n"/>
      <c r="CC1323" s="141" t="n"/>
      <c r="CE1323" s="59" t="n"/>
      <c r="CF1323" s="59" t="n"/>
      <c r="CG1323" s="63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48" t="n"/>
      <c r="K1324" s="151" t="n"/>
      <c r="M1324" s="98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37" t="n"/>
      <c r="AZ1324" s="137" t="n"/>
      <c r="BA1324" s="137" t="n"/>
      <c r="BB1324" s="153" t="n"/>
      <c r="BC1324" s="159" t="n"/>
      <c r="BD1324" s="80" t="n"/>
      <c r="BO1324" s="102" t="n"/>
      <c r="BP1324" s="153" t="n"/>
      <c r="BQ1324" s="153" t="n"/>
      <c r="BR1324" s="137" t="n"/>
      <c r="BS1324" s="102" t="n"/>
      <c r="BT1324" s="153" t="n"/>
      <c r="BU1324" s="60" t="n"/>
      <c r="BV1324" s="59" t="n"/>
      <c r="BW1324" s="61" t="n"/>
      <c r="BX1324" s="61" t="n"/>
      <c r="BY1324" s="61" t="n"/>
      <c r="BZ1324" s="61" t="n"/>
      <c r="CA1324" s="60" t="n"/>
      <c r="CB1324" s="59" t="n"/>
      <c r="CC1324" s="141" t="n"/>
      <c r="CE1324" s="59" t="n"/>
      <c r="CF1324" s="59" t="n"/>
      <c r="CG1324" s="63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48" t="n"/>
      <c r="K1325" s="151" t="n"/>
      <c r="M1325" s="98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37" t="n"/>
      <c r="AZ1325" s="137" t="n"/>
      <c r="BA1325" s="137" t="n"/>
      <c r="BB1325" s="153" t="n"/>
      <c r="BC1325" s="159" t="n"/>
      <c r="BD1325" s="80" t="n"/>
      <c r="BO1325" s="102" t="n"/>
      <c r="BP1325" s="153" t="n"/>
      <c r="BQ1325" s="153" t="n"/>
      <c r="BR1325" s="137" t="n"/>
      <c r="BS1325" s="102" t="n"/>
      <c r="BT1325" s="153" t="n"/>
      <c r="BU1325" s="60" t="n"/>
      <c r="BV1325" s="59" t="n"/>
      <c r="BW1325" s="61" t="n"/>
      <c r="BX1325" s="61" t="n"/>
      <c r="BY1325" s="61" t="n"/>
      <c r="BZ1325" s="61" t="n"/>
      <c r="CA1325" s="60" t="n"/>
      <c r="CB1325" s="59" t="n"/>
      <c r="CC1325" s="141" t="n"/>
      <c r="CE1325" s="59" t="n"/>
      <c r="CF1325" s="59" t="n"/>
      <c r="CG1325" s="63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48" t="n"/>
      <c r="K1326" s="151" t="n"/>
      <c r="M1326" s="98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37" t="n"/>
      <c r="AZ1326" s="137" t="n"/>
      <c r="BA1326" s="137" t="n"/>
      <c r="BB1326" s="153" t="n"/>
      <c r="BC1326" s="159" t="n"/>
      <c r="BD1326" s="80" t="n"/>
      <c r="BO1326" s="102" t="n"/>
      <c r="BP1326" s="153" t="n"/>
      <c r="BQ1326" s="153" t="n"/>
      <c r="BR1326" s="137" t="n"/>
      <c r="BS1326" s="102" t="n"/>
      <c r="BT1326" s="153" t="n"/>
      <c r="BU1326" s="60" t="n"/>
      <c r="BV1326" s="59" t="n"/>
      <c r="BW1326" s="61" t="n"/>
      <c r="BX1326" s="61" t="n"/>
      <c r="BY1326" s="61" t="n"/>
      <c r="BZ1326" s="61" t="n"/>
      <c r="CA1326" s="60" t="n"/>
      <c r="CB1326" s="59" t="n"/>
      <c r="CC1326" s="141" t="n"/>
      <c r="CE1326" s="59" t="n"/>
      <c r="CF1326" s="59" t="n"/>
      <c r="CG1326" s="63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48" t="n"/>
      <c r="K1333" s="151" t="n"/>
      <c r="M1333" s="98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37" t="n"/>
      <c r="AZ1333" s="137" t="n"/>
      <c r="BA1333" s="137" t="n"/>
      <c r="BB1333" s="153" t="n"/>
      <c r="BC1333" s="159" t="n"/>
      <c r="BD1333" s="80" t="n"/>
      <c r="BO1333" s="102" t="n"/>
      <c r="BP1333" s="153" t="n"/>
      <c r="BQ1333" s="153" t="n"/>
      <c r="BR1333" s="137" t="n"/>
      <c r="BS1333" s="102" t="n"/>
      <c r="BT1333" s="153" t="n"/>
      <c r="BU1333" s="60" t="n"/>
      <c r="BV1333" s="59" t="n"/>
      <c r="BW1333" s="61" t="n"/>
      <c r="BX1333" s="61" t="n"/>
      <c r="BY1333" s="61" t="n"/>
      <c r="BZ1333" s="61" t="n"/>
      <c r="CA1333" s="60" t="n"/>
      <c r="CB1333" s="59" t="n"/>
      <c r="CC1333" s="141" t="n"/>
      <c r="CE1333" s="59" t="n"/>
      <c r="CF1333" s="59" t="n"/>
      <c r="CG1333" s="63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48" t="n"/>
      <c r="K1334" s="151" t="n"/>
      <c r="M1334" s="98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37" t="n"/>
      <c r="AZ1334" s="137" t="n"/>
      <c r="BA1334" s="137" t="n"/>
      <c r="BB1334" s="153" t="n"/>
      <c r="BC1334" s="159" t="n"/>
      <c r="BD1334" s="80" t="n"/>
      <c r="BO1334" s="102" t="n"/>
      <c r="BP1334" s="153" t="n"/>
      <c r="BQ1334" s="153" t="n"/>
      <c r="BR1334" s="137" t="n"/>
      <c r="BS1334" s="102" t="n"/>
      <c r="BT1334" s="153" t="n"/>
      <c r="BU1334" s="60" t="n"/>
      <c r="BV1334" s="59" t="n"/>
      <c r="BW1334" s="61" t="n"/>
      <c r="BX1334" s="61" t="n"/>
      <c r="BY1334" s="61" t="n"/>
      <c r="BZ1334" s="61" t="n"/>
      <c r="CA1334" s="60" t="n"/>
      <c r="CB1334" s="59" t="n"/>
      <c r="CC1334" s="141" t="n"/>
      <c r="CE1334" s="59" t="n"/>
      <c r="CF1334" s="59" t="n"/>
      <c r="CG1334" s="63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48" t="n"/>
      <c r="K1335" s="151" t="n"/>
      <c r="M1335" s="98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37" t="n"/>
      <c r="AZ1335" s="137" t="n"/>
      <c r="BA1335" s="137" t="n"/>
      <c r="BB1335" s="153" t="n"/>
      <c r="BC1335" s="159" t="n"/>
      <c r="BD1335" s="80" t="n"/>
      <c r="BO1335" s="102" t="n"/>
      <c r="BP1335" s="153" t="n"/>
      <c r="BQ1335" s="153" t="n"/>
      <c r="BR1335" s="137" t="n"/>
      <c r="BS1335" s="102" t="n"/>
      <c r="BT1335" s="153" t="n"/>
      <c r="BU1335" s="60" t="n"/>
      <c r="BV1335" s="59" t="n"/>
      <c r="BW1335" s="61" t="n"/>
      <c r="BX1335" s="61" t="n"/>
      <c r="BY1335" s="61" t="n"/>
      <c r="BZ1335" s="61" t="n"/>
      <c r="CA1335" s="60" t="n"/>
      <c r="CB1335" s="59" t="n"/>
      <c r="CC1335" s="141" t="n"/>
      <c r="CE1335" s="59" t="n"/>
      <c r="CF1335" s="59" t="n"/>
      <c r="CG1335" s="63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48" t="n"/>
      <c r="K1336" s="151" t="n"/>
      <c r="M1336" s="98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37" t="n"/>
      <c r="AZ1336" s="137" t="n"/>
      <c r="BA1336" s="137" t="n"/>
      <c r="BB1336" s="153" t="n"/>
      <c r="BC1336" s="159" t="n"/>
      <c r="BD1336" s="80" t="n"/>
      <c r="BO1336" s="102" t="n"/>
      <c r="BP1336" s="153" t="n"/>
      <c r="BQ1336" s="153" t="n"/>
      <c r="BR1336" s="137" t="n"/>
      <c r="BS1336" s="102" t="n"/>
      <c r="BT1336" s="153" t="n"/>
      <c r="BU1336" s="60" t="n"/>
      <c r="BV1336" s="59" t="n"/>
      <c r="BW1336" s="61" t="n"/>
      <c r="BX1336" s="61" t="n"/>
      <c r="BY1336" s="61" t="n"/>
      <c r="BZ1336" s="61" t="n"/>
      <c r="CA1336" s="60" t="n"/>
      <c r="CB1336" s="59" t="n"/>
      <c r="CC1336" s="141" t="n"/>
      <c r="CE1336" s="59" t="n"/>
      <c r="CF1336" s="59" t="n"/>
      <c r="CG1336" s="63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48" t="n"/>
      <c r="K1337" s="151" t="n"/>
      <c r="M1337" s="98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37" t="n"/>
      <c r="AZ1337" s="137" t="n"/>
      <c r="BA1337" s="137" t="n"/>
      <c r="BB1337" s="153" t="n"/>
      <c r="BC1337" s="159" t="n"/>
      <c r="BD1337" s="80" t="n"/>
      <c r="BO1337" s="102" t="n"/>
      <c r="BP1337" s="153" t="n"/>
      <c r="BQ1337" s="153" t="n"/>
      <c r="BR1337" s="137" t="n"/>
      <c r="BS1337" s="102" t="n"/>
      <c r="BT1337" s="153" t="n"/>
      <c r="BU1337" s="60" t="n"/>
      <c r="BV1337" s="59" t="n"/>
      <c r="BW1337" s="61" t="n"/>
      <c r="BX1337" s="61" t="n"/>
      <c r="BY1337" s="61" t="n"/>
      <c r="BZ1337" s="61" t="n"/>
      <c r="CA1337" s="60" t="n"/>
      <c r="CB1337" s="59" t="n"/>
      <c r="CC1337" s="141" t="n"/>
      <c r="CE1337" s="59" t="n"/>
      <c r="CF1337" s="59" t="n"/>
      <c r="CG1337" s="63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32" t="n"/>
      <c r="K1353" s="151" t="n"/>
      <c r="M1353" s="98" t="n"/>
      <c r="O1353" s="86" t="n"/>
      <c r="P1353" s="86" t="n"/>
      <c r="Q1353" s="86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17" t="n"/>
      <c r="AZ1353" s="117" t="n"/>
      <c r="BA1353" s="117" t="n"/>
      <c r="BB1353" s="155" t="n"/>
      <c r="BC1353" s="139" t="n"/>
      <c r="BD1353" s="80" t="n"/>
      <c r="BO1353" s="102" t="n"/>
      <c r="BP1353" s="156" t="n"/>
      <c r="BQ1353" s="156" t="n"/>
      <c r="BR1353" s="137" t="n"/>
      <c r="BS1353" s="109" t="n"/>
      <c r="BT1353" s="153" t="n"/>
      <c r="BU1353" s="60" t="n"/>
      <c r="BV1353" s="89" t="n"/>
      <c r="BW1353" s="61" t="n"/>
      <c r="BX1353" s="77" t="n"/>
      <c r="BY1353" s="77" t="n"/>
      <c r="BZ1353" s="78" t="n"/>
      <c r="CA1353" s="60" t="n"/>
      <c r="CB1353" s="76" t="n"/>
      <c r="CC1353" s="140" t="n"/>
      <c r="CE1353" s="76" t="n"/>
      <c r="CF1353" s="89" t="n"/>
      <c r="CG1353" s="91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32" t="n"/>
      <c r="K1358" s="151" t="n"/>
      <c r="M1358" s="98" t="n"/>
      <c r="O1358" s="86" t="n"/>
      <c r="P1358" s="86" t="n"/>
      <c r="Q1358" s="86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17" t="n"/>
      <c r="AZ1358" s="117" t="n"/>
      <c r="BA1358" s="117" t="n"/>
      <c r="BB1358" s="155" t="n"/>
      <c r="BC1358" s="139" t="n"/>
      <c r="BD1358" s="80" t="n"/>
      <c r="BO1358" s="102" t="n"/>
      <c r="BP1358" s="156" t="n"/>
      <c r="BQ1358" s="156" t="n"/>
      <c r="BR1358" s="137" t="n"/>
      <c r="BS1358" s="109" t="n"/>
      <c r="BT1358" s="153" t="n"/>
      <c r="BU1358" s="60" t="n"/>
      <c r="BV1358" s="89" t="n"/>
      <c r="BW1358" s="61" t="n"/>
      <c r="BX1358" s="77" t="n"/>
      <c r="BY1358" s="77" t="n"/>
      <c r="BZ1358" s="78" t="n"/>
      <c r="CA1358" s="60" t="n"/>
      <c r="CB1358" s="76" t="n"/>
      <c r="CC1358" s="140" t="n"/>
      <c r="CE1358" s="76" t="n"/>
      <c r="CF1358" s="89" t="n"/>
      <c r="CG1358" s="91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32" t="n"/>
      <c r="K1359" s="151" t="n"/>
      <c r="M1359" s="98" t="n"/>
      <c r="O1359" s="86" t="n"/>
      <c r="P1359" s="86" t="n"/>
      <c r="Q1359" s="86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17" t="n"/>
      <c r="AZ1359" s="117" t="n"/>
      <c r="BA1359" s="117" t="n"/>
      <c r="BB1359" s="155" t="n"/>
      <c r="BC1359" s="139" t="n"/>
      <c r="BD1359" s="80" t="n"/>
      <c r="BO1359" s="102" t="n"/>
      <c r="BP1359" s="156" t="n"/>
      <c r="BQ1359" s="156" t="n"/>
      <c r="BR1359" s="137" t="n"/>
      <c r="BS1359" s="109" t="n"/>
      <c r="BT1359" s="153" t="n"/>
      <c r="BU1359" s="60" t="n"/>
      <c r="BV1359" s="89" t="n"/>
      <c r="BW1359" s="61" t="n"/>
      <c r="BX1359" s="77" t="n"/>
      <c r="BY1359" s="77" t="n"/>
      <c r="BZ1359" s="78" t="n"/>
      <c r="CA1359" s="60" t="n"/>
      <c r="CB1359" s="76" t="n"/>
      <c r="CC1359" s="140" t="n"/>
      <c r="CE1359" s="76" t="n"/>
      <c r="CF1359" s="89" t="n"/>
      <c r="CG1359" s="91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32" t="n"/>
      <c r="K1360" s="151" t="n"/>
      <c r="M1360" s="98" t="n"/>
      <c r="O1360" s="86" t="n"/>
      <c r="P1360" s="86" t="n"/>
      <c r="Q1360" s="86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17" t="n"/>
      <c r="AZ1360" s="117" t="n"/>
      <c r="BA1360" s="117" t="n"/>
      <c r="BB1360" s="155" t="n"/>
      <c r="BC1360" s="139" t="n"/>
      <c r="BD1360" s="80" t="n"/>
      <c r="BO1360" s="102" t="n"/>
      <c r="BP1360" s="156" t="n"/>
      <c r="BQ1360" s="156" t="n"/>
      <c r="BR1360" s="137" t="n"/>
      <c r="BS1360" s="109" t="n"/>
      <c r="BT1360" s="153" t="n"/>
      <c r="BU1360" s="60" t="n"/>
      <c r="BV1360" s="89" t="n"/>
      <c r="BW1360" s="61" t="n"/>
      <c r="BX1360" s="77" t="n"/>
      <c r="BY1360" s="77" t="n"/>
      <c r="BZ1360" s="78" t="n"/>
      <c r="CA1360" s="60" t="n"/>
      <c r="CB1360" s="76" t="n"/>
      <c r="CC1360" s="140" t="n"/>
      <c r="CE1360" s="76" t="n"/>
      <c r="CF1360" s="89" t="n"/>
      <c r="CG1360" s="91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48" t="n"/>
      <c r="K1368" s="151" t="n"/>
      <c r="M1368" s="98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37" t="n"/>
      <c r="AZ1368" s="137" t="n"/>
      <c r="BA1368" s="137" t="n"/>
      <c r="BB1368" s="153" t="n"/>
      <c r="BC1368" s="159" t="n"/>
      <c r="BD1368" s="80" t="n"/>
      <c r="BO1368" s="102" t="n"/>
      <c r="BP1368" s="153" t="n"/>
      <c r="BQ1368" s="153" t="n"/>
      <c r="BR1368" s="137" t="n"/>
      <c r="BS1368" s="102" t="n"/>
      <c r="BT1368" s="153" t="n"/>
      <c r="BU1368" s="60" t="n"/>
      <c r="BV1368" s="59" t="n"/>
      <c r="BW1368" s="61" t="n"/>
      <c r="BX1368" s="61" t="n"/>
      <c r="BY1368" s="61" t="n"/>
      <c r="BZ1368" s="61" t="n"/>
      <c r="CA1368" s="60" t="n"/>
      <c r="CB1368" s="59" t="n"/>
      <c r="CC1368" s="141" t="n"/>
      <c r="CE1368" s="59" t="n"/>
      <c r="CF1368" s="59" t="n"/>
      <c r="CG1368" s="63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32" t="n"/>
      <c r="K1369" s="151" t="n"/>
      <c r="M1369" s="98" t="n"/>
      <c r="O1369" s="86" t="n"/>
      <c r="P1369" s="86" t="n"/>
      <c r="Q1369" s="86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17" t="n"/>
      <c r="AZ1369" s="117" t="n"/>
      <c r="BA1369" s="117" t="n"/>
      <c r="BB1369" s="155" t="n"/>
      <c r="BC1369" s="139" t="n"/>
      <c r="BD1369" s="80" t="n"/>
      <c r="BO1369" s="102" t="n"/>
      <c r="BP1369" s="156" t="n"/>
      <c r="BQ1369" s="156" t="n"/>
      <c r="BR1369" s="137" t="n"/>
      <c r="BS1369" s="109" t="n"/>
      <c r="BT1369" s="153" t="n"/>
      <c r="BU1369" s="60" t="n"/>
      <c r="BV1369" s="89" t="n"/>
      <c r="BW1369" s="61" t="n"/>
      <c r="BX1369" s="77" t="n"/>
      <c r="BY1369" s="77" t="n"/>
      <c r="BZ1369" s="78" t="n"/>
      <c r="CA1369" s="60" t="n"/>
      <c r="CB1369" s="76" t="n"/>
      <c r="CC1369" s="140" t="n"/>
      <c r="CE1369" s="76" t="n"/>
      <c r="CF1369" s="89" t="n"/>
      <c r="CG1369" s="91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32" t="n"/>
      <c r="K1370" s="151" t="n"/>
      <c r="M1370" s="98" t="n"/>
      <c r="O1370" s="86" t="n"/>
      <c r="P1370" s="86" t="n"/>
      <c r="Q1370" s="86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17" t="n"/>
      <c r="AZ1370" s="117" t="n"/>
      <c r="BA1370" s="117" t="n"/>
      <c r="BB1370" s="155" t="n"/>
      <c r="BC1370" s="139" t="n"/>
      <c r="BD1370" s="80" t="n"/>
      <c r="BO1370" s="102" t="n"/>
      <c r="BP1370" s="156" t="n"/>
      <c r="BQ1370" s="156" t="n"/>
      <c r="BR1370" s="137" t="n"/>
      <c r="BS1370" s="109" t="n"/>
      <c r="BT1370" s="153" t="n"/>
      <c r="BU1370" s="60" t="n"/>
      <c r="BV1370" s="89" t="n"/>
      <c r="BW1370" s="61" t="n"/>
      <c r="BX1370" s="77" t="n"/>
      <c r="BY1370" s="77" t="n"/>
      <c r="BZ1370" s="78" t="n"/>
      <c r="CA1370" s="60" t="n"/>
      <c r="CB1370" s="76" t="n"/>
      <c r="CC1370" s="140" t="n"/>
      <c r="CE1370" s="76" t="n"/>
      <c r="CF1370" s="89" t="n"/>
      <c r="CG1370" s="91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48" t="n"/>
      <c r="K1373" s="151" t="n"/>
      <c r="M1373" s="98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37" t="n"/>
      <c r="AZ1373" s="137" t="n"/>
      <c r="BA1373" s="137" t="n"/>
      <c r="BB1373" s="153" t="n"/>
      <c r="BC1373" s="159" t="n"/>
      <c r="BD1373" s="80" t="n"/>
      <c r="BO1373" s="102" t="n"/>
      <c r="BP1373" s="153" t="n"/>
      <c r="BQ1373" s="153" t="n"/>
      <c r="BR1373" s="137" t="n"/>
      <c r="BS1373" s="102" t="n"/>
      <c r="BT1373" s="153" t="n"/>
      <c r="BU1373" s="60" t="n"/>
      <c r="BV1373" s="59" t="n"/>
      <c r="BW1373" s="61" t="n"/>
      <c r="BX1373" s="61" t="n"/>
      <c r="BY1373" s="61" t="n"/>
      <c r="BZ1373" s="61" t="n"/>
      <c r="CA1373" s="60" t="n"/>
      <c r="CB1373" s="59" t="n"/>
      <c r="CC1373" s="141" t="n"/>
      <c r="CE1373" s="59" t="n"/>
      <c r="CF1373" s="59" t="n"/>
      <c r="CG1373" s="63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48" t="n"/>
      <c r="K1374" s="151" t="n"/>
      <c r="M1374" s="98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37" t="n"/>
      <c r="AZ1374" s="137" t="n"/>
      <c r="BA1374" s="137" t="n"/>
      <c r="BB1374" s="153" t="n"/>
      <c r="BC1374" s="159" t="n"/>
      <c r="BD1374" s="80" t="n"/>
      <c r="BO1374" s="102" t="n"/>
      <c r="BP1374" s="153" t="n"/>
      <c r="BQ1374" s="153" t="n"/>
      <c r="BR1374" s="137" t="n"/>
      <c r="BS1374" s="102" t="n"/>
      <c r="BT1374" s="153" t="n"/>
      <c r="BU1374" s="60" t="n"/>
      <c r="BV1374" s="59" t="n"/>
      <c r="BW1374" s="61" t="n"/>
      <c r="BX1374" s="61" t="n"/>
      <c r="BY1374" s="61" t="n"/>
      <c r="BZ1374" s="61" t="n"/>
      <c r="CA1374" s="60" t="n"/>
      <c r="CB1374" s="59" t="n"/>
      <c r="CC1374" s="141" t="n"/>
      <c r="CE1374" s="59" t="n"/>
      <c r="CF1374" s="59" t="n"/>
      <c r="CG1374" s="63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48" t="n"/>
      <c r="K1375" s="151" t="n"/>
      <c r="M1375" s="98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37" t="n"/>
      <c r="AZ1375" s="137" t="n"/>
      <c r="BA1375" s="137" t="n"/>
      <c r="BB1375" s="153" t="n"/>
      <c r="BC1375" s="159" t="n"/>
      <c r="BD1375" s="80" t="n"/>
      <c r="BO1375" s="102" t="n"/>
      <c r="BP1375" s="153" t="n"/>
      <c r="BQ1375" s="153" t="n"/>
      <c r="BR1375" s="137" t="n"/>
      <c r="BS1375" s="102" t="n"/>
      <c r="BT1375" s="153" t="n"/>
      <c r="BU1375" s="60" t="n"/>
      <c r="BV1375" s="59" t="n"/>
      <c r="BW1375" s="61" t="n"/>
      <c r="BX1375" s="61" t="n"/>
      <c r="BY1375" s="61" t="n"/>
      <c r="BZ1375" s="61" t="n"/>
      <c r="CA1375" s="60" t="n"/>
      <c r="CB1375" s="59" t="n"/>
      <c r="CC1375" s="141" t="n"/>
      <c r="CE1375" s="59" t="n"/>
      <c r="CF1375" s="59" t="n"/>
      <c r="CG1375" s="63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32" t="n"/>
      <c r="K1379" s="151" t="n"/>
      <c r="M1379" s="98" t="n"/>
      <c r="O1379" s="86" t="n"/>
      <c r="P1379" s="86" t="n"/>
      <c r="Q1379" s="86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17" t="n"/>
      <c r="AZ1379" s="117" t="n"/>
      <c r="BA1379" s="117" t="n"/>
      <c r="BB1379" s="155" t="n"/>
      <c r="BC1379" s="139" t="n"/>
      <c r="BD1379" s="80" t="n"/>
      <c r="BO1379" s="102" t="n"/>
      <c r="BP1379" s="156" t="n"/>
      <c r="BQ1379" s="156" t="n"/>
      <c r="BR1379" s="137" t="n"/>
      <c r="BS1379" s="109" t="n"/>
      <c r="BT1379" s="153" t="n"/>
      <c r="BU1379" s="60" t="n"/>
      <c r="BV1379" s="89" t="n"/>
      <c r="BW1379" s="61" t="n"/>
      <c r="BX1379" s="77" t="n"/>
      <c r="BY1379" s="77" t="n"/>
      <c r="BZ1379" s="78" t="n"/>
      <c r="CA1379" s="60" t="n"/>
      <c r="CB1379" s="76" t="n"/>
      <c r="CC1379" s="140" t="n"/>
      <c r="CE1379" s="76" t="n"/>
      <c r="CF1379" s="89" t="n"/>
      <c r="CG1379" s="91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48" t="n"/>
      <c r="K1384" s="151" t="n"/>
      <c r="M1384" s="98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37" t="n"/>
      <c r="AZ1384" s="137" t="n"/>
      <c r="BA1384" s="137" t="n"/>
      <c r="BB1384" s="153" t="n"/>
      <c r="BC1384" s="159" t="n"/>
      <c r="BD1384" s="80" t="n"/>
      <c r="BO1384" s="102" t="n"/>
      <c r="BP1384" s="153" t="n"/>
      <c r="BQ1384" s="153" t="n"/>
      <c r="BR1384" s="137" t="n"/>
      <c r="BS1384" s="102" t="n"/>
      <c r="BT1384" s="153" t="n"/>
      <c r="BU1384" s="60" t="n"/>
      <c r="BV1384" s="59" t="n"/>
      <c r="BW1384" s="61" t="n"/>
      <c r="BX1384" s="61" t="n"/>
      <c r="BY1384" s="61" t="n"/>
      <c r="BZ1384" s="61" t="n"/>
      <c r="CA1384" s="60" t="n"/>
      <c r="CB1384" s="59" t="n"/>
      <c r="CC1384" s="141" t="n"/>
      <c r="CE1384" s="59" t="n"/>
      <c r="CF1384" s="59" t="n"/>
      <c r="CG1384" s="63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48" t="n"/>
      <c r="K1385" s="151" t="n"/>
      <c r="M1385" s="98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37" t="n"/>
      <c r="AZ1385" s="137" t="n"/>
      <c r="BA1385" s="137" t="n"/>
      <c r="BB1385" s="153" t="n"/>
      <c r="BC1385" s="159" t="n"/>
      <c r="BD1385" s="80" t="n"/>
      <c r="BO1385" s="102" t="n"/>
      <c r="BP1385" s="153" t="n"/>
      <c r="BQ1385" s="153" t="n"/>
      <c r="BR1385" s="137" t="n"/>
      <c r="BS1385" s="102" t="n"/>
      <c r="BT1385" s="153" t="n"/>
      <c r="BU1385" s="60" t="n"/>
      <c r="BV1385" s="59" t="n"/>
      <c r="BW1385" s="61" t="n"/>
      <c r="BX1385" s="61" t="n"/>
      <c r="BY1385" s="61" t="n"/>
      <c r="BZ1385" s="61" t="n"/>
      <c r="CA1385" s="60" t="n"/>
      <c r="CB1385" s="59" t="n"/>
      <c r="CC1385" s="141" t="n"/>
      <c r="CE1385" s="59" t="n"/>
      <c r="CF1385" s="59" t="n"/>
      <c r="CG1385" s="63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48" t="n"/>
      <c r="K1394" s="151" t="n"/>
      <c r="M1394" s="98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37" t="n"/>
      <c r="AZ1394" s="137" t="n"/>
      <c r="BA1394" s="137" t="n"/>
      <c r="BB1394" s="153" t="n"/>
      <c r="BC1394" s="159" t="n"/>
      <c r="BD1394" s="80" t="n"/>
      <c r="BO1394" s="102" t="n"/>
      <c r="BP1394" s="153" t="n"/>
      <c r="BQ1394" s="153" t="n"/>
      <c r="BR1394" s="137" t="n"/>
      <c r="BS1394" s="102" t="n"/>
      <c r="BT1394" s="153" t="n"/>
      <c r="BU1394" s="60" t="n"/>
      <c r="BV1394" s="59" t="n"/>
      <c r="BW1394" s="61" t="n"/>
      <c r="BX1394" s="61" t="n"/>
      <c r="BY1394" s="61" t="n"/>
      <c r="BZ1394" s="61" t="n"/>
      <c r="CA1394" s="60" t="n"/>
      <c r="CB1394" s="59" t="n"/>
      <c r="CC1394" s="141" t="n"/>
      <c r="CE1394" s="59" t="n"/>
      <c r="CF1394" s="59" t="n"/>
      <c r="CG1394" s="63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>
      <c r="A1413" s="60" t="n"/>
      <c r="B1413" s="93" t="n"/>
      <c r="C1413" s="59" t="n"/>
      <c r="D1413" s="149" t="n"/>
      <c r="E1413" s="95" t="n"/>
      <c r="F1413" s="60" t="n"/>
      <c r="G1413" s="60" t="n"/>
      <c r="H1413" s="60" t="n"/>
      <c r="I1413" s="150" t="n"/>
      <c r="J1413" s="132" t="n"/>
      <c r="K1413" s="151" t="n"/>
      <c r="M1413" s="98" t="n"/>
      <c r="O1413" s="86" t="n"/>
      <c r="P1413" s="86" t="n"/>
      <c r="Q1413" s="86" t="n"/>
      <c r="R1413" s="98" t="n"/>
      <c r="S1413" s="98" t="n"/>
      <c r="T1413" s="152" t="n"/>
      <c r="U1413" s="152" t="n"/>
      <c r="Y1413" s="26" t="n"/>
      <c r="Z1413" s="137" t="n"/>
      <c r="AA1413" s="137" t="n"/>
      <c r="AB1413" s="137" t="n"/>
      <c r="AC1413" s="137" t="n"/>
      <c r="AD1413" s="137" t="n"/>
      <c r="AE1413" s="137" t="n"/>
      <c r="AF1413" s="137" t="n"/>
      <c r="AG1413" s="137" t="n"/>
      <c r="AH1413" s="137" t="n"/>
      <c r="AI1413" s="137" t="n"/>
      <c r="AJ1413" s="137" t="n"/>
      <c r="AK1413" s="137" t="n"/>
      <c r="AL1413" s="137" t="n"/>
      <c r="AM1413" s="137" t="n"/>
      <c r="AN1413" s="137" t="n"/>
      <c r="AO1413" s="137" t="n"/>
      <c r="AP1413" s="137" t="n"/>
      <c r="AQ1413" s="137" t="n"/>
      <c r="AR1413" s="153" t="n"/>
      <c r="AS1413" s="153" t="n"/>
      <c r="AT1413" s="101" t="n"/>
      <c r="AU1413" s="102" t="n"/>
      <c r="AV1413" s="102" t="n"/>
      <c r="AW1413" s="154" t="n"/>
      <c r="AX1413" s="137" t="n"/>
      <c r="AY1413" s="117" t="n"/>
      <c r="AZ1413" s="117" t="n"/>
      <c r="BA1413" s="117" t="n"/>
      <c r="BB1413" s="155" t="n"/>
      <c r="BC1413" s="139" t="n"/>
      <c r="BD1413" s="80" t="n"/>
      <c r="BO1413" s="102" t="n"/>
      <c r="BP1413" s="156" t="n"/>
      <c r="BQ1413" s="156" t="n"/>
      <c r="BR1413" s="137" t="n"/>
      <c r="BS1413" s="109" t="n"/>
      <c r="BT1413" s="153" t="n"/>
      <c r="BU1413" s="60" t="n"/>
      <c r="BV1413" s="89" t="n"/>
      <c r="BW1413" s="61" t="n"/>
      <c r="BX1413" s="77" t="n"/>
      <c r="BY1413" s="77" t="n"/>
      <c r="BZ1413" s="78" t="n"/>
      <c r="CA1413" s="60" t="n"/>
      <c r="CB1413" s="76" t="n"/>
      <c r="CC1413" s="140" t="n"/>
      <c r="CE1413" s="76" t="n"/>
      <c r="CF1413" s="89" t="n"/>
      <c r="CG1413" s="91" t="n"/>
      <c r="CH1413" s="60" t="n"/>
      <c r="CI1413" s="141" t="n"/>
      <c r="CJ1413" s="141" t="n"/>
      <c r="CK1413" s="141" t="n"/>
      <c r="CL1413" s="141" t="n"/>
      <c r="CM1413" s="141" t="n"/>
      <c r="CN1413" s="64" t="n"/>
      <c r="CO1413" s="64" t="n"/>
      <c r="CP1413" s="64" t="n"/>
      <c r="CQ1413" s="141" t="n"/>
      <c r="CR1413" s="141" t="n"/>
      <c r="CS1413" s="63" t="n"/>
      <c r="CT1413" s="64" t="n"/>
      <c r="CU1413" s="64" t="n"/>
      <c r="CV1413" s="59" t="n"/>
      <c r="CW1413" s="64" t="n"/>
      <c r="CX1413" s="102" t="n"/>
      <c r="CY1413" s="153" t="n"/>
      <c r="CZ1413" s="154" t="n"/>
      <c r="DA1413" s="143" t="n"/>
      <c r="DB1413" s="63" t="n"/>
      <c r="DC1413" s="63" t="n"/>
      <c r="DD1413" s="59" t="n"/>
      <c r="DE1413" s="141" t="n"/>
      <c r="DF1413" s="141" t="n"/>
      <c r="DG1413" s="63" t="n"/>
      <c r="DH1413" s="63" t="n"/>
      <c r="DI1413" s="63" t="n"/>
      <c r="DJ1413" s="63" t="n"/>
      <c r="DL1413" s="59" t="n"/>
      <c r="DM1413" s="157" t="n"/>
      <c r="DN1413" s="153" t="n"/>
      <c r="DO1413" s="102" t="n"/>
      <c r="DP1413" s="153" t="n"/>
      <c r="DQ1413" s="59" t="n"/>
      <c r="DR1413" s="63" t="n"/>
      <c r="DS1413" s="153" t="n"/>
      <c r="DT1413" s="80" t="n"/>
      <c r="DU1413" s="153" t="n"/>
      <c r="DV1413" s="157" t="n"/>
      <c r="DW1413" s="158" t="n"/>
      <c r="DZ1413" s="146" t="n"/>
      <c r="EA1413" s="146" t="n"/>
      <c r="EB1413" s="146" t="n"/>
      <c r="EC1413" s="63" t="n"/>
      <c r="EE1413" s="64" t="n"/>
      <c r="EF1413" s="60" t="n"/>
      <c r="EG1413" s="59" t="n"/>
    </row>
    <row r="1414" customFormat="1" s="2">
      <c r="A1414" s="60" t="n"/>
      <c r="B1414" s="93" t="n"/>
      <c r="C1414" s="59" t="n"/>
      <c r="D1414" s="149" t="n"/>
      <c r="E1414" s="95" t="n"/>
      <c r="F1414" s="60" t="n"/>
      <c r="G1414" s="60" t="n"/>
      <c r="H1414" s="60" t="n"/>
      <c r="I1414" s="150" t="n"/>
      <c r="J1414" s="132" t="n"/>
      <c r="K1414" s="151" t="n"/>
      <c r="M1414" s="98" t="n"/>
      <c r="O1414" s="86" t="n"/>
      <c r="P1414" s="86" t="n"/>
      <c r="Q1414" s="86" t="n"/>
      <c r="R1414" s="98" t="n"/>
      <c r="S1414" s="98" t="n"/>
      <c r="T1414" s="152" t="n"/>
      <c r="U1414" s="152" t="n"/>
      <c r="Y1414" s="26" t="n"/>
      <c r="Z1414" s="137" t="n"/>
      <c r="AA1414" s="137" t="n"/>
      <c r="AB1414" s="137" t="n"/>
      <c r="AC1414" s="137" t="n"/>
      <c r="AD1414" s="137" t="n"/>
      <c r="AE1414" s="137" t="n"/>
      <c r="AF1414" s="137" t="n"/>
      <c r="AG1414" s="137" t="n"/>
      <c r="AH1414" s="137" t="n"/>
      <c r="AI1414" s="137" t="n"/>
      <c r="AJ1414" s="137" t="n"/>
      <c r="AK1414" s="137" t="n"/>
      <c r="AL1414" s="137" t="n"/>
      <c r="AM1414" s="137" t="n"/>
      <c r="AN1414" s="137" t="n"/>
      <c r="AO1414" s="137" t="n"/>
      <c r="AP1414" s="137" t="n"/>
      <c r="AQ1414" s="137" t="n"/>
      <c r="AR1414" s="153" t="n"/>
      <c r="AS1414" s="153" t="n"/>
      <c r="AT1414" s="101" t="n"/>
      <c r="AU1414" s="102" t="n"/>
      <c r="AV1414" s="102" t="n"/>
      <c r="AW1414" s="154" t="n"/>
      <c r="AX1414" s="137" t="n"/>
      <c r="AY1414" s="117" t="n"/>
      <c r="AZ1414" s="117" t="n"/>
      <c r="BA1414" s="117" t="n"/>
      <c r="BB1414" s="155" t="n"/>
      <c r="BC1414" s="139" t="n"/>
      <c r="BD1414" s="80" t="n"/>
      <c r="BO1414" s="102" t="n"/>
      <c r="BP1414" s="156" t="n"/>
      <c r="BQ1414" s="156" t="n"/>
      <c r="BR1414" s="137" t="n"/>
      <c r="BS1414" s="109" t="n"/>
      <c r="BT1414" s="153" t="n"/>
      <c r="BU1414" s="60" t="n"/>
      <c r="BV1414" s="89" t="n"/>
      <c r="BW1414" s="61" t="n"/>
      <c r="BX1414" s="77" t="n"/>
      <c r="BY1414" s="77" t="n"/>
      <c r="BZ1414" s="78" t="n"/>
      <c r="CA1414" s="60" t="n"/>
      <c r="CB1414" s="76" t="n"/>
      <c r="CC1414" s="140" t="n"/>
      <c r="CE1414" s="76" t="n"/>
      <c r="CF1414" s="89" t="n"/>
      <c r="CG1414" s="91" t="n"/>
      <c r="CH1414" s="60" t="n"/>
      <c r="CI1414" s="141" t="n"/>
      <c r="CJ1414" s="141" t="n"/>
      <c r="CK1414" s="141" t="n"/>
      <c r="CL1414" s="141" t="n"/>
      <c r="CM1414" s="141" t="n"/>
      <c r="CN1414" s="64" t="n"/>
      <c r="CO1414" s="64" t="n"/>
      <c r="CP1414" s="64" t="n"/>
      <c r="CQ1414" s="141" t="n"/>
      <c r="CR1414" s="141" t="n"/>
      <c r="CS1414" s="63" t="n"/>
      <c r="CT1414" s="64" t="n"/>
      <c r="CU1414" s="64" t="n"/>
      <c r="CV1414" s="59" t="n"/>
      <c r="CW1414" s="64" t="n"/>
      <c r="CX1414" s="102" t="n"/>
      <c r="CY1414" s="153" t="n"/>
      <c r="CZ1414" s="154" t="n"/>
      <c r="DA1414" s="143" t="n"/>
      <c r="DB1414" s="63" t="n"/>
      <c r="DC1414" s="63" t="n"/>
      <c r="DD1414" s="59" t="n"/>
      <c r="DE1414" s="141" t="n"/>
      <c r="DF1414" s="141" t="n"/>
      <c r="DG1414" s="63" t="n"/>
      <c r="DH1414" s="63" t="n"/>
      <c r="DI1414" s="63" t="n"/>
      <c r="DJ1414" s="63" t="n"/>
      <c r="DL1414" s="59" t="n"/>
      <c r="DM1414" s="157" t="n"/>
      <c r="DN1414" s="153" t="n"/>
      <c r="DO1414" s="102" t="n"/>
      <c r="DP1414" s="153" t="n"/>
      <c r="DQ1414" s="59" t="n"/>
      <c r="DR1414" s="63" t="n"/>
      <c r="DS1414" s="153" t="n"/>
      <c r="DT1414" s="80" t="n"/>
      <c r="DU1414" s="153" t="n"/>
      <c r="DV1414" s="157" t="n"/>
      <c r="DW1414" s="158" t="n"/>
      <c r="DZ1414" s="146" t="n"/>
      <c r="EA1414" s="146" t="n"/>
      <c r="EB1414" s="146" t="n"/>
      <c r="EC1414" s="63" t="n"/>
      <c r="EE1414" s="64" t="n"/>
      <c r="EF1414" s="60" t="n"/>
      <c r="EG1414" s="59" t="n"/>
    </row>
    <row r="1415" customFormat="1" s="2">
      <c r="A1415" s="60" t="n"/>
      <c r="B1415" s="93" t="n"/>
      <c r="C1415" s="59" t="n"/>
      <c r="D1415" s="149" t="n"/>
      <c r="E1415" s="95" t="n"/>
      <c r="F1415" s="60" t="n"/>
      <c r="G1415" s="60" t="n"/>
      <c r="H1415" s="60" t="n"/>
      <c r="I1415" s="150" t="n"/>
      <c r="J1415" s="132" t="n"/>
      <c r="K1415" s="151" t="n"/>
      <c r="M1415" s="98" t="n"/>
      <c r="O1415" s="86" t="n"/>
      <c r="P1415" s="86" t="n"/>
      <c r="Q1415" s="86" t="n"/>
      <c r="R1415" s="98" t="n"/>
      <c r="S1415" s="98" t="n"/>
      <c r="T1415" s="152" t="n"/>
      <c r="U1415" s="152" t="n"/>
      <c r="Y1415" s="26" t="n"/>
      <c r="Z1415" s="137" t="n"/>
      <c r="AA1415" s="137" t="n"/>
      <c r="AB1415" s="137" t="n"/>
      <c r="AC1415" s="137" t="n"/>
      <c r="AD1415" s="137" t="n"/>
      <c r="AE1415" s="137" t="n"/>
      <c r="AF1415" s="137" t="n"/>
      <c r="AG1415" s="137" t="n"/>
      <c r="AH1415" s="137" t="n"/>
      <c r="AI1415" s="137" t="n"/>
      <c r="AJ1415" s="137" t="n"/>
      <c r="AK1415" s="137" t="n"/>
      <c r="AL1415" s="137" t="n"/>
      <c r="AM1415" s="137" t="n"/>
      <c r="AN1415" s="137" t="n"/>
      <c r="AO1415" s="137" t="n"/>
      <c r="AP1415" s="137" t="n"/>
      <c r="AQ1415" s="137" t="n"/>
      <c r="AR1415" s="153" t="n"/>
      <c r="AS1415" s="153" t="n"/>
      <c r="AT1415" s="101" t="n"/>
      <c r="AU1415" s="102" t="n"/>
      <c r="AV1415" s="102" t="n"/>
      <c r="AW1415" s="154" t="n"/>
      <c r="AX1415" s="137" t="n"/>
      <c r="AY1415" s="117" t="n"/>
      <c r="AZ1415" s="117" t="n"/>
      <c r="BA1415" s="117" t="n"/>
      <c r="BB1415" s="155" t="n"/>
      <c r="BC1415" s="139" t="n"/>
      <c r="BD1415" s="80" t="n"/>
      <c r="BO1415" s="102" t="n"/>
      <c r="BP1415" s="156" t="n"/>
      <c r="BQ1415" s="156" t="n"/>
      <c r="BR1415" s="137" t="n"/>
      <c r="BS1415" s="109" t="n"/>
      <c r="BT1415" s="153" t="n"/>
      <c r="BU1415" s="60" t="n"/>
      <c r="BV1415" s="89" t="n"/>
      <c r="BW1415" s="61" t="n"/>
      <c r="BX1415" s="77" t="n"/>
      <c r="BY1415" s="77" t="n"/>
      <c r="BZ1415" s="78" t="n"/>
      <c r="CA1415" s="60" t="n"/>
      <c r="CB1415" s="76" t="n"/>
      <c r="CC1415" s="140" t="n"/>
      <c r="CE1415" s="76" t="n"/>
      <c r="CF1415" s="89" t="n"/>
      <c r="CG1415" s="91" t="n"/>
      <c r="CH1415" s="60" t="n"/>
      <c r="CI1415" s="141" t="n"/>
      <c r="CJ1415" s="141" t="n"/>
      <c r="CK1415" s="141" t="n"/>
      <c r="CL1415" s="141" t="n"/>
      <c r="CM1415" s="141" t="n"/>
      <c r="CN1415" s="64" t="n"/>
      <c r="CO1415" s="64" t="n"/>
      <c r="CP1415" s="64" t="n"/>
      <c r="CQ1415" s="141" t="n"/>
      <c r="CR1415" s="141" t="n"/>
      <c r="CS1415" s="63" t="n"/>
      <c r="CT1415" s="64" t="n"/>
      <c r="CU1415" s="64" t="n"/>
      <c r="CV1415" s="59" t="n"/>
      <c r="CW1415" s="64" t="n"/>
      <c r="CX1415" s="102" t="n"/>
      <c r="CY1415" s="153" t="n"/>
      <c r="CZ1415" s="154" t="n"/>
      <c r="DA1415" s="143" t="n"/>
      <c r="DB1415" s="63" t="n"/>
      <c r="DC1415" s="63" t="n"/>
      <c r="DD1415" s="59" t="n"/>
      <c r="DE1415" s="141" t="n"/>
      <c r="DF1415" s="141" t="n"/>
      <c r="DG1415" s="63" t="n"/>
      <c r="DH1415" s="63" t="n"/>
      <c r="DI1415" s="63" t="n"/>
      <c r="DJ1415" s="63" t="n"/>
      <c r="DL1415" s="59" t="n"/>
      <c r="DM1415" s="157" t="n"/>
      <c r="DN1415" s="153" t="n"/>
      <c r="DO1415" s="102" t="n"/>
      <c r="DP1415" s="153" t="n"/>
      <c r="DQ1415" s="59" t="n"/>
      <c r="DR1415" s="63" t="n"/>
      <c r="DS1415" s="153" t="n"/>
      <c r="DT1415" s="80" t="n"/>
      <c r="DU1415" s="153" t="n"/>
      <c r="DV1415" s="157" t="n"/>
      <c r="DW1415" s="158" t="n"/>
      <c r="DZ1415" s="146" t="n"/>
      <c r="EA1415" s="146" t="n"/>
      <c r="EB1415" s="146" t="n"/>
      <c r="EC1415" s="63" t="n"/>
      <c r="EE1415" s="64" t="n"/>
      <c r="EF1415" s="60" t="n"/>
      <c r="EG1415" s="59" t="n"/>
    </row>
    <row r="1416" customFormat="1" s="5">
      <c r="A1416" s="60" t="n"/>
      <c r="B1416" s="93" t="n"/>
      <c r="C1416" s="59" t="n"/>
      <c r="D1416" s="149" t="n"/>
      <c r="E1416" s="95" t="n"/>
      <c r="F1416" s="60" t="n"/>
      <c r="G1416" s="60" t="n"/>
      <c r="H1416" s="60" t="n"/>
      <c r="I1416" s="150" t="n"/>
      <c r="J1416" s="132" t="n"/>
      <c r="K1416" s="151" t="n"/>
      <c r="M1416" s="98" t="n"/>
      <c r="O1416" s="86" t="n"/>
      <c r="P1416" s="86" t="n"/>
      <c r="Q1416" s="86" t="n"/>
      <c r="R1416" s="98" t="n"/>
      <c r="S1416" s="98" t="n"/>
      <c r="T1416" s="152" t="n"/>
      <c r="U1416" s="152" t="n"/>
      <c r="Y1416" s="26" t="n"/>
      <c r="Z1416" s="137" t="n"/>
      <c r="AA1416" s="137" t="n"/>
      <c r="AB1416" s="137" t="n"/>
      <c r="AC1416" s="137" t="n"/>
      <c r="AD1416" s="137" t="n"/>
      <c r="AE1416" s="137" t="n"/>
      <c r="AF1416" s="137" t="n"/>
      <c r="AG1416" s="137" t="n"/>
      <c r="AH1416" s="137" t="n"/>
      <c r="AI1416" s="137" t="n"/>
      <c r="AJ1416" s="137" t="n"/>
      <c r="AK1416" s="137" t="n"/>
      <c r="AL1416" s="137" t="n"/>
      <c r="AM1416" s="137" t="n"/>
      <c r="AN1416" s="137" t="n"/>
      <c r="AO1416" s="137" t="n"/>
      <c r="AP1416" s="137" t="n"/>
      <c r="AQ1416" s="137" t="n"/>
      <c r="AR1416" s="153" t="n"/>
      <c r="AS1416" s="153" t="n"/>
      <c r="AT1416" s="101" t="n"/>
      <c r="AU1416" s="102" t="n"/>
      <c r="AV1416" s="102" t="n"/>
      <c r="AW1416" s="154" t="n"/>
      <c r="AX1416" s="137" t="n"/>
      <c r="AY1416" s="117" t="n"/>
      <c r="AZ1416" s="117" t="n"/>
      <c r="BA1416" s="117" t="n"/>
      <c r="BB1416" s="155" t="n"/>
      <c r="BC1416" s="139" t="n"/>
      <c r="BD1416" s="80" t="n"/>
      <c r="BO1416" s="102" t="n"/>
      <c r="BP1416" s="156" t="n"/>
      <c r="BQ1416" s="156" t="n"/>
      <c r="BR1416" s="137" t="n"/>
      <c r="BS1416" s="109" t="n"/>
      <c r="BT1416" s="153" t="n"/>
      <c r="BU1416" s="60" t="n"/>
      <c r="BV1416" s="89" t="n"/>
      <c r="BW1416" s="61" t="n"/>
      <c r="BX1416" s="77" t="n"/>
      <c r="BY1416" s="77" t="n"/>
      <c r="BZ1416" s="78" t="n"/>
      <c r="CA1416" s="60" t="n"/>
      <c r="CB1416" s="76" t="n"/>
      <c r="CC1416" s="140" t="n"/>
      <c r="CE1416" s="76" t="n"/>
      <c r="CF1416" s="89" t="n"/>
      <c r="CG1416" s="91" t="n"/>
      <c r="CH1416" s="60" t="n"/>
      <c r="CI1416" s="141" t="n"/>
      <c r="CJ1416" s="141" t="n"/>
      <c r="CK1416" s="141" t="n"/>
      <c r="CL1416" s="141" t="n"/>
      <c r="CM1416" s="141" t="n"/>
      <c r="CN1416" s="64" t="n"/>
      <c r="CO1416" s="64" t="n"/>
      <c r="CP1416" s="64" t="n"/>
      <c r="CQ1416" s="141" t="n"/>
      <c r="CR1416" s="141" t="n"/>
      <c r="CS1416" s="63" t="n"/>
      <c r="CT1416" s="64" t="n"/>
      <c r="CU1416" s="64" t="n"/>
      <c r="CV1416" s="59" t="n"/>
      <c r="CW1416" s="64" t="n"/>
      <c r="CX1416" s="102" t="n"/>
      <c r="CY1416" s="153" t="n"/>
      <c r="CZ1416" s="154" t="n"/>
      <c r="DA1416" s="143" t="n"/>
      <c r="DB1416" s="63" t="n"/>
      <c r="DC1416" s="63" t="n"/>
      <c r="DD1416" s="59" t="n"/>
      <c r="DE1416" s="141" t="n"/>
      <c r="DF1416" s="141" t="n"/>
      <c r="DG1416" s="63" t="n"/>
      <c r="DH1416" s="63" t="n"/>
      <c r="DI1416" s="63" t="n"/>
      <c r="DJ1416" s="63" t="n"/>
      <c r="DL1416" s="59" t="n"/>
      <c r="DM1416" s="157" t="n"/>
      <c r="DN1416" s="153" t="n"/>
      <c r="DO1416" s="102" t="n"/>
      <c r="DP1416" s="153" t="n"/>
      <c r="DQ1416" s="59" t="n"/>
      <c r="DR1416" s="63" t="n"/>
      <c r="DS1416" s="153" t="n"/>
      <c r="DT1416" s="80" t="n"/>
      <c r="DU1416" s="153" t="n"/>
      <c r="DV1416" s="157" t="n"/>
      <c r="DW1416" s="158" t="n"/>
      <c r="DZ1416" s="146" t="n"/>
      <c r="EA1416" s="146" t="n"/>
      <c r="EB1416" s="146" t="n"/>
      <c r="EC1416" s="63" t="n"/>
      <c r="EE1416" s="64" t="n"/>
      <c r="EF1416" s="60" t="n"/>
      <c r="EG1416" s="59" t="n"/>
    </row>
    <row r="1417" customFormat="1" s="2">
      <c r="A1417" s="60" t="n"/>
      <c r="B1417" s="93" t="n"/>
      <c r="C1417" s="59" t="n"/>
      <c r="D1417" s="149" t="n"/>
      <c r="E1417" s="95" t="n"/>
      <c r="F1417" s="60" t="n"/>
      <c r="G1417" s="60" t="n"/>
      <c r="H1417" s="60" t="n"/>
      <c r="I1417" s="150" t="n"/>
      <c r="J1417" s="132" t="n"/>
      <c r="K1417" s="151" t="n"/>
      <c r="M1417" s="98" t="n"/>
      <c r="O1417" s="86" t="n"/>
      <c r="P1417" s="86" t="n"/>
      <c r="Q1417" s="86" t="n"/>
      <c r="R1417" s="98" t="n"/>
      <c r="S1417" s="98" t="n"/>
      <c r="T1417" s="152" t="n"/>
      <c r="U1417" s="152" t="n"/>
      <c r="Y1417" s="26" t="n"/>
      <c r="Z1417" s="137" t="n"/>
      <c r="AA1417" s="137" t="n"/>
      <c r="AB1417" s="137" t="n"/>
      <c r="AC1417" s="137" t="n"/>
      <c r="AD1417" s="137" t="n"/>
      <c r="AE1417" s="137" t="n"/>
      <c r="AF1417" s="137" t="n"/>
      <c r="AG1417" s="137" t="n"/>
      <c r="AH1417" s="137" t="n"/>
      <c r="AI1417" s="137" t="n"/>
      <c r="AJ1417" s="137" t="n"/>
      <c r="AK1417" s="137" t="n"/>
      <c r="AL1417" s="137" t="n"/>
      <c r="AM1417" s="137" t="n"/>
      <c r="AN1417" s="137" t="n"/>
      <c r="AO1417" s="137" t="n"/>
      <c r="AP1417" s="137" t="n"/>
      <c r="AQ1417" s="137" t="n"/>
      <c r="AR1417" s="153" t="n"/>
      <c r="AS1417" s="153" t="n"/>
      <c r="AT1417" s="101" t="n"/>
      <c r="AU1417" s="102" t="n"/>
      <c r="AV1417" s="102" t="n"/>
      <c r="AW1417" s="154" t="n"/>
      <c r="AX1417" s="137" t="n"/>
      <c r="AY1417" s="117" t="n"/>
      <c r="AZ1417" s="117" t="n"/>
      <c r="BA1417" s="117" t="n"/>
      <c r="BB1417" s="155" t="n"/>
      <c r="BC1417" s="139" t="n"/>
      <c r="BD1417" s="80" t="n"/>
      <c r="BO1417" s="102" t="n"/>
      <c r="BP1417" s="156" t="n"/>
      <c r="BQ1417" s="156" t="n"/>
      <c r="BR1417" s="137" t="n"/>
      <c r="BS1417" s="109" t="n"/>
      <c r="BT1417" s="153" t="n"/>
      <c r="BU1417" s="60" t="n"/>
      <c r="BV1417" s="89" t="n"/>
      <c r="BW1417" s="61" t="n"/>
      <c r="BX1417" s="77" t="n"/>
      <c r="BY1417" s="77" t="n"/>
      <c r="BZ1417" s="78" t="n"/>
      <c r="CA1417" s="60" t="n"/>
      <c r="CB1417" s="76" t="n"/>
      <c r="CC1417" s="140" t="n"/>
      <c r="CE1417" s="76" t="n"/>
      <c r="CF1417" s="89" t="n"/>
      <c r="CG1417" s="91" t="n"/>
      <c r="CH1417" s="60" t="n"/>
      <c r="CI1417" s="141" t="n"/>
      <c r="CJ1417" s="141" t="n"/>
      <c r="CK1417" s="141" t="n"/>
      <c r="CL1417" s="141" t="n"/>
      <c r="CM1417" s="141" t="n"/>
      <c r="CN1417" s="64" t="n"/>
      <c r="CO1417" s="64" t="n"/>
      <c r="CP1417" s="64" t="n"/>
      <c r="CQ1417" s="141" t="n"/>
      <c r="CR1417" s="141" t="n"/>
      <c r="CS1417" s="63" t="n"/>
      <c r="CT1417" s="64" t="n"/>
      <c r="CU1417" s="64" t="n"/>
      <c r="CV1417" s="59" t="n"/>
      <c r="CW1417" s="64" t="n"/>
      <c r="CX1417" s="102" t="n"/>
      <c r="CY1417" s="153" t="n"/>
      <c r="CZ1417" s="154" t="n"/>
      <c r="DA1417" s="143" t="n"/>
      <c r="DB1417" s="63" t="n"/>
      <c r="DC1417" s="63" t="n"/>
      <c r="DD1417" s="59" t="n"/>
      <c r="DE1417" s="141" t="n"/>
      <c r="DF1417" s="141" t="n"/>
      <c r="DG1417" s="63" t="n"/>
      <c r="DH1417" s="63" t="n"/>
      <c r="DI1417" s="63" t="n"/>
      <c r="DJ1417" s="63" t="n"/>
      <c r="DL1417" s="59" t="n"/>
      <c r="DM1417" s="157" t="n"/>
      <c r="DN1417" s="153" t="n"/>
      <c r="DO1417" s="102" t="n"/>
      <c r="DP1417" s="153" t="n"/>
      <c r="DQ1417" s="59" t="n"/>
      <c r="DR1417" s="63" t="n"/>
      <c r="DS1417" s="153" t="n"/>
      <c r="DT1417" s="80" t="n"/>
      <c r="DU1417" s="153" t="n"/>
      <c r="DV1417" s="157" t="n"/>
      <c r="DW1417" s="158" t="n"/>
      <c r="DZ1417" s="146" t="n"/>
      <c r="EA1417" s="146" t="n"/>
      <c r="EB1417" s="146" t="n"/>
      <c r="EC1417" s="63" t="n"/>
      <c r="EE1417" s="64" t="n"/>
      <c r="EF1417" s="60" t="n"/>
      <c r="EG1417" s="59" t="n"/>
    </row>
    <row r="1418" customFormat="1" s="2">
      <c r="A1418" s="60" t="n"/>
      <c r="B1418" s="93" t="n"/>
      <c r="C1418" s="59" t="n"/>
      <c r="D1418" s="149" t="n"/>
      <c r="E1418" s="95" t="n"/>
      <c r="F1418" s="60" t="n"/>
      <c r="G1418" s="60" t="n"/>
      <c r="H1418" s="60" t="n"/>
      <c r="I1418" s="150" t="n"/>
      <c r="J1418" s="132" t="n"/>
      <c r="K1418" s="151" t="n"/>
      <c r="M1418" s="98" t="n"/>
      <c r="O1418" s="86" t="n"/>
      <c r="P1418" s="86" t="n"/>
      <c r="Q1418" s="86" t="n"/>
      <c r="R1418" s="98" t="n"/>
      <c r="S1418" s="98" t="n"/>
      <c r="T1418" s="152" t="n"/>
      <c r="U1418" s="152" t="n"/>
      <c r="Y1418" s="26" t="n"/>
      <c r="Z1418" s="137" t="n"/>
      <c r="AA1418" s="137" t="n"/>
      <c r="AB1418" s="137" t="n"/>
      <c r="AC1418" s="137" t="n"/>
      <c r="AD1418" s="137" t="n"/>
      <c r="AE1418" s="137" t="n"/>
      <c r="AF1418" s="137" t="n"/>
      <c r="AG1418" s="137" t="n"/>
      <c r="AH1418" s="137" t="n"/>
      <c r="AI1418" s="137" t="n"/>
      <c r="AJ1418" s="137" t="n"/>
      <c r="AK1418" s="137" t="n"/>
      <c r="AL1418" s="137" t="n"/>
      <c r="AM1418" s="137" t="n"/>
      <c r="AN1418" s="137" t="n"/>
      <c r="AO1418" s="137" t="n"/>
      <c r="AP1418" s="137" t="n"/>
      <c r="AQ1418" s="137" t="n"/>
      <c r="AR1418" s="153" t="n"/>
      <c r="AS1418" s="153" t="n"/>
      <c r="AT1418" s="101" t="n"/>
      <c r="AU1418" s="102" t="n"/>
      <c r="AV1418" s="102" t="n"/>
      <c r="AW1418" s="154" t="n"/>
      <c r="AX1418" s="137" t="n"/>
      <c r="AY1418" s="117" t="n"/>
      <c r="AZ1418" s="117" t="n"/>
      <c r="BA1418" s="117" t="n"/>
      <c r="BB1418" s="155" t="n"/>
      <c r="BC1418" s="139" t="n"/>
      <c r="BD1418" s="80" t="n"/>
      <c r="BO1418" s="102" t="n"/>
      <c r="BP1418" s="156" t="n"/>
      <c r="BQ1418" s="156" t="n"/>
      <c r="BR1418" s="137" t="n"/>
      <c r="BS1418" s="109" t="n"/>
      <c r="BT1418" s="153" t="n"/>
      <c r="BU1418" s="60" t="n"/>
      <c r="BV1418" s="89" t="n"/>
      <c r="BW1418" s="61" t="n"/>
      <c r="BX1418" s="77" t="n"/>
      <c r="BY1418" s="77" t="n"/>
      <c r="BZ1418" s="78" t="n"/>
      <c r="CA1418" s="60" t="n"/>
      <c r="CB1418" s="76" t="n"/>
      <c r="CC1418" s="140" t="n"/>
      <c r="CE1418" s="76" t="n"/>
      <c r="CF1418" s="89" t="n"/>
      <c r="CG1418" s="91" t="n"/>
      <c r="CH1418" s="60" t="n"/>
      <c r="CI1418" s="141" t="n"/>
      <c r="CJ1418" s="141" t="n"/>
      <c r="CK1418" s="141" t="n"/>
      <c r="CL1418" s="141" t="n"/>
      <c r="CM1418" s="141" t="n"/>
      <c r="CN1418" s="64" t="n"/>
      <c r="CO1418" s="64" t="n"/>
      <c r="CP1418" s="64" t="n"/>
      <c r="CQ1418" s="141" t="n"/>
      <c r="CR1418" s="141" t="n"/>
      <c r="CS1418" s="63" t="n"/>
      <c r="CT1418" s="64" t="n"/>
      <c r="CU1418" s="64" t="n"/>
      <c r="CV1418" s="59" t="n"/>
      <c r="CW1418" s="64" t="n"/>
      <c r="CX1418" s="102" t="n"/>
      <c r="CY1418" s="153" t="n"/>
      <c r="CZ1418" s="154" t="n"/>
      <c r="DA1418" s="143" t="n"/>
      <c r="DB1418" s="63" t="n"/>
      <c r="DC1418" s="63" t="n"/>
      <c r="DD1418" s="59" t="n"/>
      <c r="DE1418" s="141" t="n"/>
      <c r="DF1418" s="141" t="n"/>
      <c r="DG1418" s="63" t="n"/>
      <c r="DH1418" s="63" t="n"/>
      <c r="DI1418" s="63" t="n"/>
      <c r="DJ1418" s="63" t="n"/>
      <c r="DL1418" s="59" t="n"/>
      <c r="DM1418" s="157" t="n"/>
      <c r="DN1418" s="153" t="n"/>
      <c r="DO1418" s="102" t="n"/>
      <c r="DP1418" s="153" t="n"/>
      <c r="DQ1418" s="59" t="n"/>
      <c r="DR1418" s="63" t="n"/>
      <c r="DS1418" s="153" t="n"/>
      <c r="DT1418" s="80" t="n"/>
      <c r="DU1418" s="153" t="n"/>
      <c r="DV1418" s="157" t="n"/>
      <c r="DW1418" s="158" t="n"/>
      <c r="DZ1418" s="146" t="n"/>
      <c r="EA1418" s="146" t="n"/>
      <c r="EB1418" s="146" t="n"/>
      <c r="EC1418" s="63" t="n"/>
      <c r="EE1418" s="64" t="n"/>
      <c r="EF1418" s="60" t="n"/>
      <c r="EG1418" s="59" t="n"/>
    </row>
    <row r="1419" ht="33" customFormat="1" customHeight="1" s="5">
      <c r="A1419" s="60" t="n"/>
      <c r="B1419" s="93" t="n"/>
      <c r="C1419" s="59" t="n"/>
      <c r="D1419" s="149" t="n"/>
      <c r="E1419" s="95" t="n"/>
      <c r="F1419" s="60" t="n"/>
      <c r="G1419" s="60" t="n"/>
      <c r="H1419" s="60" t="n"/>
      <c r="I1419" s="150" t="n"/>
      <c r="J1419" s="132" t="n"/>
      <c r="K1419" s="151" t="n"/>
      <c r="M1419" s="98" t="n"/>
      <c r="O1419" s="86" t="n"/>
      <c r="P1419" s="86" t="n"/>
      <c r="Q1419" s="86" t="n"/>
      <c r="R1419" s="98" t="n"/>
      <c r="S1419" s="98" t="n"/>
      <c r="T1419" s="152" t="n"/>
      <c r="U1419" s="152" t="n"/>
      <c r="Y1419" s="26" t="n"/>
      <c r="Z1419" s="137" t="n"/>
      <c r="AA1419" s="137" t="n"/>
      <c r="AB1419" s="137" t="n"/>
      <c r="AC1419" s="137" t="n"/>
      <c r="AD1419" s="137" t="n"/>
      <c r="AE1419" s="137" t="n"/>
      <c r="AF1419" s="137" t="n"/>
      <c r="AG1419" s="137" t="n"/>
      <c r="AH1419" s="137" t="n"/>
      <c r="AI1419" s="137" t="n"/>
      <c r="AJ1419" s="137" t="n"/>
      <c r="AK1419" s="137" t="n"/>
      <c r="AL1419" s="137" t="n"/>
      <c r="AM1419" s="137" t="n"/>
      <c r="AN1419" s="137" t="n"/>
      <c r="AO1419" s="137" t="n"/>
      <c r="AP1419" s="137" t="n"/>
      <c r="AQ1419" s="137" t="n"/>
      <c r="AR1419" s="153" t="n"/>
      <c r="AS1419" s="153" t="n"/>
      <c r="AT1419" s="101" t="n"/>
      <c r="AU1419" s="102" t="n"/>
      <c r="AV1419" s="102" t="n"/>
      <c r="AW1419" s="154" t="n"/>
      <c r="AX1419" s="137" t="n"/>
      <c r="AY1419" s="117" t="n"/>
      <c r="AZ1419" s="117" t="n"/>
      <c r="BA1419" s="117" t="n"/>
      <c r="BB1419" s="155" t="n"/>
      <c r="BC1419" s="139" t="n"/>
      <c r="BD1419" s="80" t="n"/>
      <c r="BO1419" s="102" t="n"/>
      <c r="BP1419" s="156" t="n"/>
      <c r="BQ1419" s="156" t="n"/>
      <c r="BR1419" s="137" t="n"/>
      <c r="BS1419" s="109" t="n"/>
      <c r="BT1419" s="153" t="n"/>
      <c r="BU1419" s="60" t="n"/>
      <c r="BV1419" s="89" t="n"/>
      <c r="BW1419" s="61" t="n"/>
      <c r="BX1419" s="77" t="n"/>
      <c r="BY1419" s="77" t="n"/>
      <c r="BZ1419" s="78" t="n"/>
      <c r="CA1419" s="60" t="n"/>
      <c r="CB1419" s="76" t="n"/>
      <c r="CC1419" s="140" t="n"/>
      <c r="CE1419" s="76" t="n"/>
      <c r="CF1419" s="89" t="n"/>
      <c r="CG1419" s="91" t="n"/>
      <c r="CH1419" s="60" t="n"/>
      <c r="CI1419" s="141" t="n"/>
      <c r="CJ1419" s="141" t="n"/>
      <c r="CK1419" s="141" t="n"/>
      <c r="CL1419" s="141" t="n"/>
      <c r="CM1419" s="141" t="n"/>
      <c r="CN1419" s="64" t="n"/>
      <c r="CO1419" s="64" t="n"/>
      <c r="CP1419" s="64" t="n"/>
      <c r="CQ1419" s="141" t="n"/>
      <c r="CR1419" s="141" t="n"/>
      <c r="CS1419" s="63" t="n"/>
      <c r="CT1419" s="64" t="n"/>
      <c r="CU1419" s="64" t="n"/>
      <c r="CV1419" s="59" t="n"/>
      <c r="CW1419" s="64" t="n"/>
      <c r="CX1419" s="102" t="n"/>
      <c r="CY1419" s="153" t="n"/>
      <c r="CZ1419" s="154" t="n"/>
      <c r="DA1419" s="143" t="n"/>
      <c r="DB1419" s="63" t="n"/>
      <c r="DC1419" s="63" t="n"/>
      <c r="DD1419" s="59" t="n"/>
      <c r="DE1419" s="141" t="n"/>
      <c r="DF1419" s="141" t="n"/>
      <c r="DG1419" s="63" t="n"/>
      <c r="DH1419" s="63" t="n"/>
      <c r="DI1419" s="63" t="n"/>
      <c r="DJ1419" s="63" t="n"/>
      <c r="DL1419" s="59" t="n"/>
      <c r="DM1419" s="157" t="n"/>
      <c r="DN1419" s="153" t="n"/>
      <c r="DO1419" s="102" t="n"/>
      <c r="DP1419" s="153" t="n"/>
      <c r="DQ1419" s="59" t="n"/>
      <c r="DR1419" s="63" t="n"/>
      <c r="DS1419" s="153" t="n"/>
      <c r="DT1419" s="80" t="n"/>
      <c r="DU1419" s="153" t="n"/>
      <c r="DV1419" s="157" t="n"/>
      <c r="DW1419" s="158" t="n"/>
      <c r="DZ1419" s="146" t="n"/>
      <c r="EA1419" s="146" t="n"/>
      <c r="EB1419" s="146" t="n"/>
      <c r="EC1419" s="63" t="n"/>
      <c r="EE1419" s="64" t="n"/>
      <c r="EF1419" s="60" t="n"/>
      <c r="EG1419" s="59" t="n"/>
    </row>
    <row r="1420" customFormat="1" s="2">
      <c r="A1420" s="60" t="n"/>
      <c r="B1420" s="93" t="n"/>
      <c r="C1420" s="59" t="n"/>
      <c r="D1420" s="149" t="n"/>
      <c r="E1420" s="95" t="n"/>
      <c r="F1420" s="60" t="n"/>
      <c r="G1420" s="60" t="n"/>
      <c r="H1420" s="60" t="n"/>
      <c r="I1420" s="150" t="n"/>
      <c r="J1420" s="132" t="n"/>
      <c r="K1420" s="151" t="n"/>
      <c r="M1420" s="98" t="n"/>
      <c r="O1420" s="86" t="n"/>
      <c r="P1420" s="86" t="n"/>
      <c r="Q1420" s="86" t="n"/>
      <c r="R1420" s="98" t="n"/>
      <c r="S1420" s="98" t="n"/>
      <c r="T1420" s="152" t="n"/>
      <c r="U1420" s="152" t="n"/>
      <c r="Y1420" s="26" t="n"/>
      <c r="Z1420" s="137" t="n"/>
      <c r="AA1420" s="137" t="n"/>
      <c r="AB1420" s="137" t="n"/>
      <c r="AC1420" s="137" t="n"/>
      <c r="AD1420" s="137" t="n"/>
      <c r="AE1420" s="137" t="n"/>
      <c r="AF1420" s="137" t="n"/>
      <c r="AG1420" s="137" t="n"/>
      <c r="AH1420" s="137" t="n"/>
      <c r="AI1420" s="137" t="n"/>
      <c r="AJ1420" s="137" t="n"/>
      <c r="AK1420" s="137" t="n"/>
      <c r="AL1420" s="137" t="n"/>
      <c r="AM1420" s="137" t="n"/>
      <c r="AN1420" s="137" t="n"/>
      <c r="AO1420" s="137" t="n"/>
      <c r="AP1420" s="137" t="n"/>
      <c r="AQ1420" s="137" t="n"/>
      <c r="AR1420" s="153" t="n"/>
      <c r="AS1420" s="153" t="n"/>
      <c r="AT1420" s="101" t="n"/>
      <c r="AU1420" s="102" t="n"/>
      <c r="AV1420" s="102" t="n"/>
      <c r="AW1420" s="154" t="n"/>
      <c r="AX1420" s="137" t="n"/>
      <c r="AY1420" s="117" t="n"/>
      <c r="AZ1420" s="117" t="n"/>
      <c r="BA1420" s="117" t="n"/>
      <c r="BB1420" s="155" t="n"/>
      <c r="BC1420" s="139" t="n"/>
      <c r="BD1420" s="80" t="n"/>
      <c r="BO1420" s="102" t="n"/>
      <c r="BP1420" s="156" t="n"/>
      <c r="BQ1420" s="156" t="n"/>
      <c r="BR1420" s="137" t="n"/>
      <c r="BS1420" s="109" t="n"/>
      <c r="BT1420" s="153" t="n"/>
      <c r="BU1420" s="60" t="n"/>
      <c r="BV1420" s="89" t="n"/>
      <c r="BW1420" s="61" t="n"/>
      <c r="BX1420" s="77" t="n"/>
      <c r="BY1420" s="77" t="n"/>
      <c r="BZ1420" s="78" t="n"/>
      <c r="CA1420" s="60" t="n"/>
      <c r="CB1420" s="76" t="n"/>
      <c r="CC1420" s="140" t="n"/>
      <c r="CE1420" s="76" t="n"/>
      <c r="CF1420" s="89" t="n"/>
      <c r="CG1420" s="91" t="n"/>
      <c r="CH1420" s="60" t="n"/>
      <c r="CI1420" s="141" t="n"/>
      <c r="CJ1420" s="141" t="n"/>
      <c r="CK1420" s="141" t="n"/>
      <c r="CL1420" s="141" t="n"/>
      <c r="CM1420" s="141" t="n"/>
      <c r="CN1420" s="64" t="n"/>
      <c r="CO1420" s="64" t="n"/>
      <c r="CP1420" s="64" t="n"/>
      <c r="CQ1420" s="141" t="n"/>
      <c r="CR1420" s="141" t="n"/>
      <c r="CS1420" s="63" t="n"/>
      <c r="CT1420" s="64" t="n"/>
      <c r="CU1420" s="64" t="n"/>
      <c r="CV1420" s="59" t="n"/>
      <c r="CW1420" s="64" t="n"/>
      <c r="CX1420" s="102" t="n"/>
      <c r="CY1420" s="153" t="n"/>
      <c r="CZ1420" s="154" t="n"/>
      <c r="DA1420" s="143" t="n"/>
      <c r="DB1420" s="63" t="n"/>
      <c r="DC1420" s="63" t="n"/>
      <c r="DD1420" s="59" t="n"/>
      <c r="DE1420" s="141" t="n"/>
      <c r="DF1420" s="141" t="n"/>
      <c r="DG1420" s="63" t="n"/>
      <c r="DH1420" s="63" t="n"/>
      <c r="DI1420" s="63" t="n"/>
      <c r="DJ1420" s="63" t="n"/>
      <c r="DL1420" s="59" t="n"/>
      <c r="DM1420" s="157" t="n"/>
      <c r="DN1420" s="153" t="n"/>
      <c r="DO1420" s="102" t="n"/>
      <c r="DP1420" s="153" t="n"/>
      <c r="DQ1420" s="59" t="n"/>
      <c r="DR1420" s="63" t="n"/>
      <c r="DS1420" s="153" t="n"/>
      <c r="DT1420" s="80" t="n"/>
      <c r="DU1420" s="153" t="n"/>
      <c r="DV1420" s="157" t="n"/>
      <c r="DW1420" s="158" t="n"/>
      <c r="DZ1420" s="146" t="n"/>
      <c r="EA1420" s="146" t="n"/>
      <c r="EB1420" s="146" t="n"/>
      <c r="EC1420" s="63" t="n"/>
      <c r="EE1420" s="64" t="n"/>
      <c r="EF1420" s="60" t="n"/>
      <c r="EG1420" s="59" t="n"/>
    </row>
    <row r="1421" customFormat="1" s="2">
      <c r="A1421" s="60" t="n"/>
      <c r="B1421" s="93" t="n"/>
      <c r="C1421" s="59" t="n"/>
      <c r="D1421" s="149" t="n"/>
      <c r="E1421" s="95" t="n"/>
      <c r="F1421" s="60" t="n"/>
      <c r="G1421" s="60" t="n"/>
      <c r="H1421" s="60" t="n"/>
      <c r="I1421" s="150" t="n"/>
      <c r="J1421" s="132" t="n"/>
      <c r="K1421" s="151" t="n"/>
      <c r="M1421" s="98" t="n"/>
      <c r="O1421" s="86" t="n"/>
      <c r="P1421" s="86" t="n"/>
      <c r="Q1421" s="86" t="n"/>
      <c r="R1421" s="98" t="n"/>
      <c r="S1421" s="98" t="n"/>
      <c r="T1421" s="152" t="n"/>
      <c r="U1421" s="152" t="n"/>
      <c r="Y1421" s="26" t="n"/>
      <c r="Z1421" s="137" t="n"/>
      <c r="AA1421" s="137" t="n"/>
      <c r="AB1421" s="137" t="n"/>
      <c r="AC1421" s="137" t="n"/>
      <c r="AD1421" s="137" t="n"/>
      <c r="AE1421" s="137" t="n"/>
      <c r="AF1421" s="137" t="n"/>
      <c r="AG1421" s="137" t="n"/>
      <c r="AH1421" s="137" t="n"/>
      <c r="AI1421" s="137" t="n"/>
      <c r="AJ1421" s="137" t="n"/>
      <c r="AK1421" s="137" t="n"/>
      <c r="AL1421" s="137" t="n"/>
      <c r="AM1421" s="137" t="n"/>
      <c r="AN1421" s="137" t="n"/>
      <c r="AO1421" s="137" t="n"/>
      <c r="AP1421" s="137" t="n"/>
      <c r="AQ1421" s="137" t="n"/>
      <c r="AR1421" s="153" t="n"/>
      <c r="AS1421" s="153" t="n"/>
      <c r="AT1421" s="101" t="n"/>
      <c r="AU1421" s="102" t="n"/>
      <c r="AV1421" s="102" t="n"/>
      <c r="AW1421" s="154" t="n"/>
      <c r="AX1421" s="137" t="n"/>
      <c r="AY1421" s="117" t="n"/>
      <c r="AZ1421" s="117" t="n"/>
      <c r="BA1421" s="117" t="n"/>
      <c r="BB1421" s="155" t="n"/>
      <c r="BC1421" s="139" t="n"/>
      <c r="BD1421" s="80" t="n"/>
      <c r="BO1421" s="102" t="n"/>
      <c r="BP1421" s="156" t="n"/>
      <c r="BQ1421" s="156" t="n"/>
      <c r="BR1421" s="137" t="n"/>
      <c r="BS1421" s="109" t="n"/>
      <c r="BT1421" s="153" t="n"/>
      <c r="BU1421" s="60" t="n"/>
      <c r="BV1421" s="89" t="n"/>
      <c r="BW1421" s="61" t="n"/>
      <c r="BX1421" s="77" t="n"/>
      <c r="BY1421" s="77" t="n"/>
      <c r="BZ1421" s="78" t="n"/>
      <c r="CA1421" s="60" t="n"/>
      <c r="CB1421" s="76" t="n"/>
      <c r="CC1421" s="140" t="n"/>
      <c r="CE1421" s="76" t="n"/>
      <c r="CF1421" s="89" t="n"/>
      <c r="CG1421" s="91" t="n"/>
      <c r="CH1421" s="60" t="n"/>
      <c r="CI1421" s="141" t="n"/>
      <c r="CJ1421" s="141" t="n"/>
      <c r="CK1421" s="141" t="n"/>
      <c r="CL1421" s="141" t="n"/>
      <c r="CM1421" s="141" t="n"/>
      <c r="CN1421" s="64" t="n"/>
      <c r="CO1421" s="64" t="n"/>
      <c r="CP1421" s="64" t="n"/>
      <c r="CQ1421" s="141" t="n"/>
      <c r="CR1421" s="141" t="n"/>
      <c r="CS1421" s="63" t="n"/>
      <c r="CT1421" s="64" t="n"/>
      <c r="CU1421" s="64" t="n"/>
      <c r="CV1421" s="59" t="n"/>
      <c r="CW1421" s="64" t="n"/>
      <c r="CX1421" s="102" t="n"/>
      <c r="CY1421" s="153" t="n"/>
      <c r="CZ1421" s="154" t="n"/>
      <c r="DA1421" s="143" t="n"/>
      <c r="DB1421" s="63" t="n"/>
      <c r="DC1421" s="63" t="n"/>
      <c r="DD1421" s="59" t="n"/>
      <c r="DE1421" s="141" t="n"/>
      <c r="DF1421" s="141" t="n"/>
      <c r="DG1421" s="63" t="n"/>
      <c r="DH1421" s="63" t="n"/>
      <c r="DI1421" s="63" t="n"/>
      <c r="DJ1421" s="63" t="n"/>
      <c r="DL1421" s="59" t="n"/>
      <c r="DM1421" s="157" t="n"/>
      <c r="DN1421" s="153" t="n"/>
      <c r="DO1421" s="102" t="n"/>
      <c r="DP1421" s="153" t="n"/>
      <c r="DQ1421" s="59" t="n"/>
      <c r="DR1421" s="63" t="n"/>
      <c r="DS1421" s="153" t="n"/>
      <c r="DT1421" s="80" t="n"/>
      <c r="DU1421" s="153" t="n"/>
      <c r="DV1421" s="157" t="n"/>
      <c r="DW1421" s="158" t="n"/>
      <c r="DZ1421" s="146" t="n"/>
      <c r="EA1421" s="146" t="n"/>
      <c r="EB1421" s="146" t="n"/>
      <c r="EC1421" s="63" t="n"/>
      <c r="EE1421" s="64" t="n"/>
      <c r="EF1421" s="60" t="n"/>
      <c r="EG1421" s="59" t="n"/>
    </row>
    <row r="1422" customFormat="1" s="2">
      <c r="A1422" s="60" t="n"/>
      <c r="B1422" s="93" t="n"/>
      <c r="C1422" s="59" t="n"/>
      <c r="D1422" s="149" t="n"/>
      <c r="E1422" s="95" t="n"/>
      <c r="F1422" s="60" t="n"/>
      <c r="G1422" s="60" t="n"/>
      <c r="H1422" s="60" t="n"/>
      <c r="I1422" s="150" t="n"/>
      <c r="J1422" s="132" t="n"/>
      <c r="K1422" s="151" t="n"/>
      <c r="M1422" s="98" t="n"/>
      <c r="O1422" s="86" t="n"/>
      <c r="P1422" s="86" t="n"/>
      <c r="Q1422" s="86" t="n"/>
      <c r="R1422" s="98" t="n"/>
      <c r="S1422" s="98" t="n"/>
      <c r="T1422" s="152" t="n"/>
      <c r="U1422" s="152" t="n"/>
      <c r="Y1422" s="26" t="n"/>
      <c r="Z1422" s="137" t="n"/>
      <c r="AA1422" s="137" t="n"/>
      <c r="AB1422" s="137" t="n"/>
      <c r="AC1422" s="137" t="n"/>
      <c r="AD1422" s="137" t="n"/>
      <c r="AE1422" s="137" t="n"/>
      <c r="AF1422" s="137" t="n"/>
      <c r="AG1422" s="137" t="n"/>
      <c r="AH1422" s="137" t="n"/>
      <c r="AI1422" s="137" t="n"/>
      <c r="AJ1422" s="137" t="n"/>
      <c r="AK1422" s="137" t="n"/>
      <c r="AL1422" s="137" t="n"/>
      <c r="AM1422" s="137" t="n"/>
      <c r="AN1422" s="137" t="n"/>
      <c r="AO1422" s="137" t="n"/>
      <c r="AP1422" s="137" t="n"/>
      <c r="AQ1422" s="137" t="n"/>
      <c r="AR1422" s="153" t="n"/>
      <c r="AS1422" s="153" t="n"/>
      <c r="AT1422" s="101" t="n"/>
      <c r="AU1422" s="102" t="n"/>
      <c r="AV1422" s="102" t="n"/>
      <c r="AW1422" s="154" t="n"/>
      <c r="AX1422" s="137" t="n"/>
      <c r="AY1422" s="117" t="n"/>
      <c r="AZ1422" s="117" t="n"/>
      <c r="BA1422" s="117" t="n"/>
      <c r="BB1422" s="155" t="n"/>
      <c r="BC1422" s="139" t="n"/>
      <c r="BD1422" s="80" t="n"/>
      <c r="BO1422" s="102" t="n"/>
      <c r="BP1422" s="156" t="n"/>
      <c r="BQ1422" s="156" t="n"/>
      <c r="BR1422" s="137" t="n"/>
      <c r="BS1422" s="109" t="n"/>
      <c r="BT1422" s="153" t="n"/>
      <c r="BU1422" s="60" t="n"/>
      <c r="BV1422" s="89" t="n"/>
      <c r="BW1422" s="61" t="n"/>
      <c r="BX1422" s="77" t="n"/>
      <c r="BY1422" s="77" t="n"/>
      <c r="BZ1422" s="78" t="n"/>
      <c r="CA1422" s="60" t="n"/>
      <c r="CB1422" s="76" t="n"/>
      <c r="CC1422" s="140" t="n"/>
      <c r="CE1422" s="76" t="n"/>
      <c r="CF1422" s="89" t="n"/>
      <c r="CG1422" s="91" t="n"/>
      <c r="CH1422" s="60" t="n"/>
      <c r="CI1422" s="141" t="n"/>
      <c r="CJ1422" s="141" t="n"/>
      <c r="CK1422" s="141" t="n"/>
      <c r="CL1422" s="141" t="n"/>
      <c r="CM1422" s="141" t="n"/>
      <c r="CN1422" s="64" t="n"/>
      <c r="CO1422" s="64" t="n"/>
      <c r="CP1422" s="64" t="n"/>
      <c r="CQ1422" s="141" t="n"/>
      <c r="CR1422" s="141" t="n"/>
      <c r="CS1422" s="63" t="n"/>
      <c r="CT1422" s="64" t="n"/>
      <c r="CU1422" s="64" t="n"/>
      <c r="CV1422" s="59" t="n"/>
      <c r="CW1422" s="64" t="n"/>
      <c r="CX1422" s="102" t="n"/>
      <c r="CY1422" s="153" t="n"/>
      <c r="CZ1422" s="154" t="n"/>
      <c r="DA1422" s="143" t="n"/>
      <c r="DB1422" s="63" t="n"/>
      <c r="DC1422" s="63" t="n"/>
      <c r="DD1422" s="59" t="n"/>
      <c r="DE1422" s="141" t="n"/>
      <c r="DF1422" s="141" t="n"/>
      <c r="DG1422" s="63" t="n"/>
      <c r="DH1422" s="63" t="n"/>
      <c r="DI1422" s="63" t="n"/>
      <c r="DJ1422" s="63" t="n"/>
      <c r="DL1422" s="59" t="n"/>
      <c r="DM1422" s="157" t="n"/>
      <c r="DN1422" s="153" t="n"/>
      <c r="DO1422" s="102" t="n"/>
      <c r="DP1422" s="153" t="n"/>
      <c r="DQ1422" s="59" t="n"/>
      <c r="DR1422" s="63" t="n"/>
      <c r="DS1422" s="153" t="n"/>
      <c r="DT1422" s="80" t="n"/>
      <c r="DU1422" s="153" t="n"/>
      <c r="DV1422" s="157" t="n"/>
      <c r="DW1422" s="158" t="n"/>
      <c r="DZ1422" s="146" t="n"/>
      <c r="EA1422" s="146" t="n"/>
      <c r="EB1422" s="146" t="n"/>
      <c r="EC1422" s="63" t="n"/>
      <c r="EE1422" s="64" t="n"/>
      <c r="EF1422" s="60" t="n"/>
      <c r="EG1422" s="59" t="n"/>
    </row>
    <row r="1423" customFormat="1" s="2">
      <c r="A1423" s="60" t="n"/>
      <c r="B1423" s="93" t="n"/>
      <c r="C1423" s="59" t="n"/>
      <c r="D1423" s="149" t="n"/>
      <c r="E1423" s="95" t="n"/>
      <c r="F1423" s="60" t="n"/>
      <c r="G1423" s="60" t="n"/>
      <c r="H1423" s="60" t="n"/>
      <c r="I1423" s="150" t="n"/>
      <c r="J1423" s="132" t="n"/>
      <c r="K1423" s="151" t="n"/>
      <c r="M1423" s="98" t="n"/>
      <c r="O1423" s="86" t="n"/>
      <c r="P1423" s="86" t="n"/>
      <c r="Q1423" s="86" t="n"/>
      <c r="R1423" s="98" t="n"/>
      <c r="S1423" s="98" t="n"/>
      <c r="T1423" s="152" t="n"/>
      <c r="U1423" s="152" t="n"/>
      <c r="Y1423" s="26" t="n"/>
      <c r="Z1423" s="137" t="n"/>
      <c r="AA1423" s="137" t="n"/>
      <c r="AB1423" s="137" t="n"/>
      <c r="AC1423" s="137" t="n"/>
      <c r="AD1423" s="137" t="n"/>
      <c r="AE1423" s="137" t="n"/>
      <c r="AF1423" s="137" t="n"/>
      <c r="AG1423" s="137" t="n"/>
      <c r="AH1423" s="137" t="n"/>
      <c r="AI1423" s="137" t="n"/>
      <c r="AJ1423" s="137" t="n"/>
      <c r="AK1423" s="137" t="n"/>
      <c r="AL1423" s="137" t="n"/>
      <c r="AM1423" s="137" t="n"/>
      <c r="AN1423" s="137" t="n"/>
      <c r="AO1423" s="137" t="n"/>
      <c r="AP1423" s="137" t="n"/>
      <c r="AQ1423" s="137" t="n"/>
      <c r="AR1423" s="153" t="n"/>
      <c r="AS1423" s="153" t="n"/>
      <c r="AT1423" s="101" t="n"/>
      <c r="AU1423" s="102" t="n"/>
      <c r="AV1423" s="102" t="n"/>
      <c r="AW1423" s="154" t="n"/>
      <c r="AX1423" s="137" t="n"/>
      <c r="AY1423" s="117" t="n"/>
      <c r="AZ1423" s="117" t="n"/>
      <c r="BA1423" s="117" t="n"/>
      <c r="BB1423" s="155" t="n"/>
      <c r="BC1423" s="139" t="n"/>
      <c r="BD1423" s="80" t="n"/>
      <c r="BO1423" s="102" t="n"/>
      <c r="BP1423" s="156" t="n"/>
      <c r="BQ1423" s="156" t="n"/>
      <c r="BR1423" s="137" t="n"/>
      <c r="BS1423" s="109" t="n"/>
      <c r="BT1423" s="153" t="n"/>
      <c r="BU1423" s="60" t="n"/>
      <c r="BV1423" s="89" t="n"/>
      <c r="BW1423" s="61" t="n"/>
      <c r="BX1423" s="77" t="n"/>
      <c r="BY1423" s="77" t="n"/>
      <c r="BZ1423" s="78" t="n"/>
      <c r="CA1423" s="60" t="n"/>
      <c r="CB1423" s="76" t="n"/>
      <c r="CC1423" s="140" t="n"/>
      <c r="CE1423" s="76" t="n"/>
      <c r="CF1423" s="89" t="n"/>
      <c r="CG1423" s="91" t="n"/>
      <c r="CH1423" s="60" t="n"/>
      <c r="CI1423" s="141" t="n"/>
      <c r="CJ1423" s="141" t="n"/>
      <c r="CK1423" s="141" t="n"/>
      <c r="CL1423" s="141" t="n"/>
      <c r="CM1423" s="141" t="n"/>
      <c r="CN1423" s="64" t="n"/>
      <c r="CO1423" s="64" t="n"/>
      <c r="CP1423" s="64" t="n"/>
      <c r="CQ1423" s="141" t="n"/>
      <c r="CR1423" s="141" t="n"/>
      <c r="CS1423" s="63" t="n"/>
      <c r="CT1423" s="64" t="n"/>
      <c r="CU1423" s="64" t="n"/>
      <c r="CV1423" s="59" t="n"/>
      <c r="CW1423" s="64" t="n"/>
      <c r="CX1423" s="102" t="n"/>
      <c r="CY1423" s="153" t="n"/>
      <c r="CZ1423" s="154" t="n"/>
      <c r="DA1423" s="143" t="n"/>
      <c r="DB1423" s="63" t="n"/>
      <c r="DC1423" s="63" t="n"/>
      <c r="DD1423" s="59" t="n"/>
      <c r="DE1423" s="141" t="n"/>
      <c r="DF1423" s="141" t="n"/>
      <c r="DG1423" s="63" t="n"/>
      <c r="DH1423" s="63" t="n"/>
      <c r="DI1423" s="63" t="n"/>
      <c r="DJ1423" s="63" t="n"/>
      <c r="DL1423" s="59" t="n"/>
      <c r="DM1423" s="157" t="n"/>
      <c r="DN1423" s="153" t="n"/>
      <c r="DO1423" s="102" t="n"/>
      <c r="DP1423" s="153" t="n"/>
      <c r="DQ1423" s="59" t="n"/>
      <c r="DR1423" s="63" t="n"/>
      <c r="DS1423" s="153" t="n"/>
      <c r="DT1423" s="80" t="n"/>
      <c r="DU1423" s="153" t="n"/>
      <c r="DV1423" s="157" t="n"/>
      <c r="DW1423" s="158" t="n"/>
      <c r="DZ1423" s="146" t="n"/>
      <c r="EA1423" s="146" t="n"/>
      <c r="EB1423" s="146" t="n"/>
      <c r="EC1423" s="63" t="n"/>
      <c r="EE1423" s="64" t="n"/>
      <c r="EF1423" s="60" t="n"/>
      <c r="EG1423" s="59" t="n"/>
    </row>
    <row r="1424" customFormat="1" s="2">
      <c r="A1424" s="60" t="n"/>
      <c r="B1424" s="93" t="n"/>
      <c r="C1424" s="59" t="n"/>
      <c r="D1424" s="149" t="n"/>
      <c r="E1424" s="95" t="n"/>
      <c r="F1424" s="60" t="n"/>
      <c r="G1424" s="60" t="n"/>
      <c r="H1424" s="60" t="n"/>
      <c r="I1424" s="150" t="n"/>
      <c r="J1424" s="132" t="n"/>
      <c r="K1424" s="151" t="n"/>
      <c r="M1424" s="98" t="n"/>
      <c r="O1424" s="86" t="n"/>
      <c r="P1424" s="86" t="n"/>
      <c r="Q1424" s="86" t="n"/>
      <c r="R1424" s="98" t="n"/>
      <c r="S1424" s="98" t="n"/>
      <c r="T1424" s="152" t="n"/>
      <c r="U1424" s="152" t="n"/>
      <c r="Y1424" s="26" t="n"/>
      <c r="Z1424" s="137" t="n"/>
      <c r="AA1424" s="137" t="n"/>
      <c r="AB1424" s="137" t="n"/>
      <c r="AC1424" s="137" t="n"/>
      <c r="AD1424" s="137" t="n"/>
      <c r="AE1424" s="137" t="n"/>
      <c r="AF1424" s="137" t="n"/>
      <c r="AG1424" s="137" t="n"/>
      <c r="AH1424" s="137" t="n"/>
      <c r="AI1424" s="137" t="n"/>
      <c r="AJ1424" s="137" t="n"/>
      <c r="AK1424" s="137" t="n"/>
      <c r="AL1424" s="137" t="n"/>
      <c r="AM1424" s="137" t="n"/>
      <c r="AN1424" s="137" t="n"/>
      <c r="AO1424" s="137" t="n"/>
      <c r="AP1424" s="137" t="n"/>
      <c r="AQ1424" s="137" t="n"/>
      <c r="AR1424" s="153" t="n"/>
      <c r="AS1424" s="153" t="n"/>
      <c r="AT1424" s="101" t="n"/>
      <c r="AU1424" s="102" t="n"/>
      <c r="AV1424" s="102" t="n"/>
      <c r="AW1424" s="154" t="n"/>
      <c r="AX1424" s="137" t="n"/>
      <c r="AY1424" s="117" t="n"/>
      <c r="AZ1424" s="117" t="n"/>
      <c r="BA1424" s="117" t="n"/>
      <c r="BB1424" s="155" t="n"/>
      <c r="BC1424" s="139" t="n"/>
      <c r="BD1424" s="80" t="n"/>
      <c r="BO1424" s="102" t="n"/>
      <c r="BP1424" s="156" t="n"/>
      <c r="BQ1424" s="156" t="n"/>
      <c r="BR1424" s="137" t="n"/>
      <c r="BS1424" s="109" t="n"/>
      <c r="BT1424" s="153" t="n"/>
      <c r="BU1424" s="60" t="n"/>
      <c r="BV1424" s="89" t="n"/>
      <c r="BW1424" s="61" t="n"/>
      <c r="BX1424" s="77" t="n"/>
      <c r="BY1424" s="77" t="n"/>
      <c r="BZ1424" s="78" t="n"/>
      <c r="CA1424" s="60" t="n"/>
      <c r="CB1424" s="76" t="n"/>
      <c r="CC1424" s="140" t="n"/>
      <c r="CE1424" s="76" t="n"/>
      <c r="CF1424" s="89" t="n"/>
      <c r="CG1424" s="91" t="n"/>
      <c r="CH1424" s="60" t="n"/>
      <c r="CI1424" s="141" t="n"/>
      <c r="CJ1424" s="141" t="n"/>
      <c r="CK1424" s="141" t="n"/>
      <c r="CL1424" s="141" t="n"/>
      <c r="CM1424" s="141" t="n"/>
      <c r="CN1424" s="64" t="n"/>
      <c r="CO1424" s="64" t="n"/>
      <c r="CP1424" s="64" t="n"/>
      <c r="CQ1424" s="141" t="n"/>
      <c r="CR1424" s="141" t="n"/>
      <c r="CS1424" s="63" t="n"/>
      <c r="CT1424" s="64" t="n"/>
      <c r="CU1424" s="64" t="n"/>
      <c r="CV1424" s="59" t="n"/>
      <c r="CW1424" s="64" t="n"/>
      <c r="CX1424" s="102" t="n"/>
      <c r="CY1424" s="153" t="n"/>
      <c r="CZ1424" s="154" t="n"/>
      <c r="DA1424" s="143" t="n"/>
      <c r="DB1424" s="63" t="n"/>
      <c r="DC1424" s="63" t="n"/>
      <c r="DD1424" s="59" t="n"/>
      <c r="DE1424" s="141" t="n"/>
      <c r="DF1424" s="141" t="n"/>
      <c r="DG1424" s="63" t="n"/>
      <c r="DH1424" s="63" t="n"/>
      <c r="DI1424" s="63" t="n"/>
      <c r="DJ1424" s="63" t="n"/>
      <c r="DL1424" s="59" t="n"/>
      <c r="DM1424" s="157" t="n"/>
      <c r="DN1424" s="153" t="n"/>
      <c r="DO1424" s="102" t="n"/>
      <c r="DP1424" s="153" t="n"/>
      <c r="DQ1424" s="59" t="n"/>
      <c r="DR1424" s="63" t="n"/>
      <c r="DS1424" s="153" t="n"/>
      <c r="DT1424" s="80" t="n"/>
      <c r="DU1424" s="153" t="n"/>
      <c r="DV1424" s="157" t="n"/>
      <c r="DW1424" s="158" t="n"/>
      <c r="DZ1424" s="146" t="n"/>
      <c r="EA1424" s="146" t="n"/>
      <c r="EB1424" s="146" t="n"/>
      <c r="EC1424" s="63" t="n"/>
      <c r="EE1424" s="64" t="n"/>
      <c r="EF1424" s="60" t="n"/>
      <c r="EG1424" s="59" t="n"/>
    </row>
    <row r="1425" customFormat="1" s="2">
      <c r="A1425" s="60" t="n"/>
      <c r="B1425" s="93" t="n"/>
      <c r="C1425" s="59" t="n"/>
      <c r="D1425" s="149" t="n"/>
      <c r="E1425" s="95" t="n"/>
      <c r="F1425" s="60" t="n"/>
      <c r="G1425" s="60" t="n"/>
      <c r="H1425" s="60" t="n"/>
      <c r="I1425" s="150" t="n"/>
      <c r="J1425" s="132" t="n"/>
      <c r="K1425" s="151" t="n"/>
      <c r="M1425" s="98" t="n"/>
      <c r="O1425" s="86" t="n"/>
      <c r="P1425" s="86" t="n"/>
      <c r="Q1425" s="86" t="n"/>
      <c r="R1425" s="98" t="n"/>
      <c r="S1425" s="98" t="n"/>
      <c r="T1425" s="152" t="n"/>
      <c r="U1425" s="152" t="n"/>
      <c r="Y1425" s="26" t="n"/>
      <c r="Z1425" s="137" t="n"/>
      <c r="AA1425" s="137" t="n"/>
      <c r="AB1425" s="137" t="n"/>
      <c r="AC1425" s="137" t="n"/>
      <c r="AD1425" s="137" t="n"/>
      <c r="AE1425" s="137" t="n"/>
      <c r="AF1425" s="137" t="n"/>
      <c r="AG1425" s="137" t="n"/>
      <c r="AH1425" s="137" t="n"/>
      <c r="AI1425" s="137" t="n"/>
      <c r="AJ1425" s="137" t="n"/>
      <c r="AK1425" s="137" t="n"/>
      <c r="AL1425" s="137" t="n"/>
      <c r="AM1425" s="137" t="n"/>
      <c r="AN1425" s="137" t="n"/>
      <c r="AO1425" s="137" t="n"/>
      <c r="AP1425" s="137" t="n"/>
      <c r="AQ1425" s="137" t="n"/>
      <c r="AR1425" s="153" t="n"/>
      <c r="AS1425" s="153" t="n"/>
      <c r="AT1425" s="101" t="n"/>
      <c r="AU1425" s="102" t="n"/>
      <c r="AV1425" s="102" t="n"/>
      <c r="AW1425" s="154" t="n"/>
      <c r="AX1425" s="137" t="n"/>
      <c r="AY1425" s="117" t="n"/>
      <c r="AZ1425" s="117" t="n"/>
      <c r="BA1425" s="117" t="n"/>
      <c r="BB1425" s="155" t="n"/>
      <c r="BC1425" s="139" t="n"/>
      <c r="BD1425" s="80" t="n"/>
      <c r="BO1425" s="102" t="n"/>
      <c r="BP1425" s="156" t="n"/>
      <c r="BQ1425" s="156" t="n"/>
      <c r="BR1425" s="137" t="n"/>
      <c r="BS1425" s="109" t="n"/>
      <c r="BT1425" s="153" t="n"/>
      <c r="BU1425" s="60" t="n"/>
      <c r="BV1425" s="89" t="n"/>
      <c r="BW1425" s="61" t="n"/>
      <c r="BX1425" s="77" t="n"/>
      <c r="BY1425" s="77" t="n"/>
      <c r="BZ1425" s="78" t="n"/>
      <c r="CA1425" s="60" t="n"/>
      <c r="CB1425" s="76" t="n"/>
      <c r="CC1425" s="140" t="n"/>
      <c r="CE1425" s="76" t="n"/>
      <c r="CF1425" s="89" t="n"/>
      <c r="CG1425" s="91" t="n"/>
      <c r="CH1425" s="60" t="n"/>
      <c r="CI1425" s="141" t="n"/>
      <c r="CJ1425" s="141" t="n"/>
      <c r="CK1425" s="141" t="n"/>
      <c r="CL1425" s="141" t="n"/>
      <c r="CM1425" s="141" t="n"/>
      <c r="CN1425" s="64" t="n"/>
      <c r="CO1425" s="64" t="n"/>
      <c r="CP1425" s="64" t="n"/>
      <c r="CQ1425" s="141" t="n"/>
      <c r="CR1425" s="141" t="n"/>
      <c r="CS1425" s="63" t="n"/>
      <c r="CT1425" s="64" t="n"/>
      <c r="CU1425" s="64" t="n"/>
      <c r="CV1425" s="59" t="n"/>
      <c r="CW1425" s="64" t="n"/>
      <c r="CX1425" s="102" t="n"/>
      <c r="CY1425" s="153" t="n"/>
      <c r="CZ1425" s="154" t="n"/>
      <c r="DA1425" s="143" t="n"/>
      <c r="DB1425" s="63" t="n"/>
      <c r="DC1425" s="63" t="n"/>
      <c r="DD1425" s="59" t="n"/>
      <c r="DE1425" s="141" t="n"/>
      <c r="DF1425" s="141" t="n"/>
      <c r="DG1425" s="63" t="n"/>
      <c r="DH1425" s="63" t="n"/>
      <c r="DI1425" s="63" t="n"/>
      <c r="DJ1425" s="63" t="n"/>
      <c r="DL1425" s="59" t="n"/>
      <c r="DM1425" s="157" t="n"/>
      <c r="DN1425" s="153" t="n"/>
      <c r="DO1425" s="102" t="n"/>
      <c r="DP1425" s="153" t="n"/>
      <c r="DQ1425" s="59" t="n"/>
      <c r="DR1425" s="63" t="n"/>
      <c r="DS1425" s="153" t="n"/>
      <c r="DT1425" s="80" t="n"/>
      <c r="DU1425" s="153" t="n"/>
      <c r="DV1425" s="157" t="n"/>
      <c r="DW1425" s="158" t="n"/>
      <c r="DZ1425" s="146" t="n"/>
      <c r="EA1425" s="146" t="n"/>
      <c r="EB1425" s="146" t="n"/>
      <c r="EC1425" s="63" t="n"/>
      <c r="EE1425" s="64" t="n"/>
      <c r="EF1425" s="60" t="n"/>
      <c r="EG1425" s="59" t="n"/>
    </row>
    <row r="1426" customFormat="1" s="2">
      <c r="A1426" s="60" t="n"/>
      <c r="B1426" s="93" t="n"/>
      <c r="C1426" s="59" t="n"/>
      <c r="D1426" s="149" t="n"/>
      <c r="E1426" s="95" t="n"/>
      <c r="F1426" s="60" t="n"/>
      <c r="G1426" s="60" t="n"/>
      <c r="H1426" s="60" t="n"/>
      <c r="I1426" s="150" t="n"/>
      <c r="J1426" s="132" t="n"/>
      <c r="K1426" s="151" t="n"/>
      <c r="M1426" s="98" t="n"/>
      <c r="O1426" s="86" t="n"/>
      <c r="P1426" s="86" t="n"/>
      <c r="Q1426" s="86" t="n"/>
      <c r="R1426" s="98" t="n"/>
      <c r="S1426" s="98" t="n"/>
      <c r="T1426" s="152" t="n"/>
      <c r="U1426" s="152" t="n"/>
      <c r="Y1426" s="26" t="n"/>
      <c r="Z1426" s="137" t="n"/>
      <c r="AA1426" s="137" t="n"/>
      <c r="AB1426" s="137" t="n"/>
      <c r="AC1426" s="137" t="n"/>
      <c r="AD1426" s="137" t="n"/>
      <c r="AE1426" s="137" t="n"/>
      <c r="AF1426" s="137" t="n"/>
      <c r="AG1426" s="137" t="n"/>
      <c r="AH1426" s="137" t="n"/>
      <c r="AI1426" s="137" t="n"/>
      <c r="AJ1426" s="137" t="n"/>
      <c r="AK1426" s="137" t="n"/>
      <c r="AL1426" s="137" t="n"/>
      <c r="AM1426" s="137" t="n"/>
      <c r="AN1426" s="137" t="n"/>
      <c r="AO1426" s="137" t="n"/>
      <c r="AP1426" s="137" t="n"/>
      <c r="AQ1426" s="137" t="n"/>
      <c r="AR1426" s="153" t="n"/>
      <c r="AS1426" s="153" t="n"/>
      <c r="AT1426" s="101" t="n"/>
      <c r="AU1426" s="102" t="n"/>
      <c r="AV1426" s="102" t="n"/>
      <c r="AW1426" s="154" t="n"/>
      <c r="AX1426" s="137" t="n"/>
      <c r="AY1426" s="117" t="n"/>
      <c r="AZ1426" s="117" t="n"/>
      <c r="BA1426" s="117" t="n"/>
      <c r="BB1426" s="155" t="n"/>
      <c r="BC1426" s="139" t="n"/>
      <c r="BD1426" s="80" t="n"/>
      <c r="BO1426" s="102" t="n"/>
      <c r="BP1426" s="156" t="n"/>
      <c r="BQ1426" s="156" t="n"/>
      <c r="BR1426" s="137" t="n"/>
      <c r="BS1426" s="109" t="n"/>
      <c r="BT1426" s="153" t="n"/>
      <c r="BU1426" s="60" t="n"/>
      <c r="BV1426" s="89" t="n"/>
      <c r="BW1426" s="61" t="n"/>
      <c r="BX1426" s="77" t="n"/>
      <c r="BY1426" s="77" t="n"/>
      <c r="BZ1426" s="78" t="n"/>
      <c r="CA1426" s="60" t="n"/>
      <c r="CB1426" s="76" t="n"/>
      <c r="CC1426" s="140" t="n"/>
      <c r="CE1426" s="76" t="n"/>
      <c r="CF1426" s="89" t="n"/>
      <c r="CG1426" s="91" t="n"/>
      <c r="CH1426" s="60" t="n"/>
      <c r="CI1426" s="141" t="n"/>
      <c r="CJ1426" s="141" t="n"/>
      <c r="CK1426" s="141" t="n"/>
      <c r="CL1426" s="141" t="n"/>
      <c r="CM1426" s="141" t="n"/>
      <c r="CN1426" s="64" t="n"/>
      <c r="CO1426" s="64" t="n"/>
      <c r="CP1426" s="64" t="n"/>
      <c r="CQ1426" s="141" t="n"/>
      <c r="CR1426" s="141" t="n"/>
      <c r="CS1426" s="63" t="n"/>
      <c r="CT1426" s="64" t="n"/>
      <c r="CU1426" s="64" t="n"/>
      <c r="CV1426" s="59" t="n"/>
      <c r="CW1426" s="64" t="n"/>
      <c r="CX1426" s="102" t="n"/>
      <c r="CY1426" s="153" t="n"/>
      <c r="CZ1426" s="154" t="n"/>
      <c r="DA1426" s="143" t="n"/>
      <c r="DB1426" s="63" t="n"/>
      <c r="DC1426" s="63" t="n"/>
      <c r="DD1426" s="59" t="n"/>
      <c r="DE1426" s="141" t="n"/>
      <c r="DF1426" s="141" t="n"/>
      <c r="DG1426" s="63" t="n"/>
      <c r="DH1426" s="63" t="n"/>
      <c r="DI1426" s="63" t="n"/>
      <c r="DJ1426" s="63" t="n"/>
      <c r="DL1426" s="59" t="n"/>
      <c r="DM1426" s="157" t="n"/>
      <c r="DN1426" s="153" t="n"/>
      <c r="DO1426" s="102" t="n"/>
      <c r="DP1426" s="153" t="n"/>
      <c r="DQ1426" s="59" t="n"/>
      <c r="DR1426" s="63" t="n"/>
      <c r="DS1426" s="153" t="n"/>
      <c r="DT1426" s="80" t="n"/>
      <c r="DU1426" s="153" t="n"/>
      <c r="DV1426" s="157" t="n"/>
      <c r="DW1426" s="158" t="n"/>
      <c r="DZ1426" s="146" t="n"/>
      <c r="EA1426" s="146" t="n"/>
      <c r="EB1426" s="146" t="n"/>
      <c r="EC1426" s="63" t="n"/>
      <c r="EE1426" s="64" t="n"/>
      <c r="EF1426" s="60" t="n"/>
      <c r="EG1426" s="59" t="n"/>
    </row>
    <row r="1427" customFormat="1" s="2">
      <c r="A1427" s="60" t="n"/>
      <c r="B1427" s="93" t="n"/>
      <c r="C1427" s="59" t="n"/>
      <c r="D1427" s="149" t="n"/>
      <c r="E1427" s="95" t="n"/>
      <c r="F1427" s="60" t="n"/>
      <c r="G1427" s="60" t="n"/>
      <c r="H1427" s="60" t="n"/>
      <c r="I1427" s="150" t="n"/>
      <c r="J1427" s="132" t="n"/>
      <c r="K1427" s="151" t="n"/>
      <c r="M1427" s="98" t="n"/>
      <c r="O1427" s="86" t="n"/>
      <c r="P1427" s="86" t="n"/>
      <c r="Q1427" s="86" t="n"/>
      <c r="R1427" s="98" t="n"/>
      <c r="S1427" s="98" t="n"/>
      <c r="T1427" s="152" t="n"/>
      <c r="U1427" s="152" t="n"/>
      <c r="Y1427" s="26" t="n"/>
      <c r="Z1427" s="137" t="n"/>
      <c r="AA1427" s="137" t="n"/>
      <c r="AB1427" s="137" t="n"/>
      <c r="AC1427" s="137" t="n"/>
      <c r="AD1427" s="137" t="n"/>
      <c r="AE1427" s="137" t="n"/>
      <c r="AF1427" s="137" t="n"/>
      <c r="AG1427" s="137" t="n"/>
      <c r="AH1427" s="137" t="n"/>
      <c r="AI1427" s="137" t="n"/>
      <c r="AJ1427" s="137" t="n"/>
      <c r="AK1427" s="137" t="n"/>
      <c r="AL1427" s="137" t="n"/>
      <c r="AM1427" s="137" t="n"/>
      <c r="AN1427" s="137" t="n"/>
      <c r="AO1427" s="137" t="n"/>
      <c r="AP1427" s="137" t="n"/>
      <c r="AQ1427" s="137" t="n"/>
      <c r="AR1427" s="153" t="n"/>
      <c r="AS1427" s="153" t="n"/>
      <c r="AT1427" s="101" t="n"/>
      <c r="AU1427" s="102" t="n"/>
      <c r="AV1427" s="102" t="n"/>
      <c r="AW1427" s="154" t="n"/>
      <c r="AX1427" s="137" t="n"/>
      <c r="AY1427" s="117" t="n"/>
      <c r="AZ1427" s="117" t="n"/>
      <c r="BA1427" s="117" t="n"/>
      <c r="BB1427" s="155" t="n"/>
      <c r="BC1427" s="139" t="n"/>
      <c r="BD1427" s="80" t="n"/>
      <c r="BO1427" s="102" t="n"/>
      <c r="BP1427" s="156" t="n"/>
      <c r="BQ1427" s="156" t="n"/>
      <c r="BR1427" s="137" t="n"/>
      <c r="BS1427" s="109" t="n"/>
      <c r="BT1427" s="153" t="n"/>
      <c r="BU1427" s="60" t="n"/>
      <c r="BV1427" s="89" t="n"/>
      <c r="BW1427" s="61" t="n"/>
      <c r="BX1427" s="77" t="n"/>
      <c r="BY1427" s="77" t="n"/>
      <c r="BZ1427" s="78" t="n"/>
      <c r="CA1427" s="60" t="n"/>
      <c r="CB1427" s="76" t="n"/>
      <c r="CC1427" s="140" t="n"/>
      <c r="CE1427" s="76" t="n"/>
      <c r="CF1427" s="89" t="n"/>
      <c r="CG1427" s="91" t="n"/>
      <c r="CH1427" s="60" t="n"/>
      <c r="CI1427" s="141" t="n"/>
      <c r="CJ1427" s="141" t="n"/>
      <c r="CK1427" s="141" t="n"/>
      <c r="CL1427" s="141" t="n"/>
      <c r="CM1427" s="141" t="n"/>
      <c r="CN1427" s="64" t="n"/>
      <c r="CO1427" s="64" t="n"/>
      <c r="CP1427" s="64" t="n"/>
      <c r="CQ1427" s="141" t="n"/>
      <c r="CR1427" s="141" t="n"/>
      <c r="CS1427" s="63" t="n"/>
      <c r="CT1427" s="64" t="n"/>
      <c r="CU1427" s="64" t="n"/>
      <c r="CV1427" s="59" t="n"/>
      <c r="CW1427" s="64" t="n"/>
      <c r="CX1427" s="102" t="n"/>
      <c r="CY1427" s="153" t="n"/>
      <c r="CZ1427" s="154" t="n"/>
      <c r="DA1427" s="143" t="n"/>
      <c r="DB1427" s="63" t="n"/>
      <c r="DC1427" s="63" t="n"/>
      <c r="DD1427" s="59" t="n"/>
      <c r="DE1427" s="141" t="n"/>
      <c r="DF1427" s="141" t="n"/>
      <c r="DG1427" s="63" t="n"/>
      <c r="DH1427" s="63" t="n"/>
      <c r="DI1427" s="63" t="n"/>
      <c r="DJ1427" s="63" t="n"/>
      <c r="DL1427" s="59" t="n"/>
      <c r="DM1427" s="157" t="n"/>
      <c r="DN1427" s="153" t="n"/>
      <c r="DO1427" s="102" t="n"/>
      <c r="DP1427" s="153" t="n"/>
      <c r="DQ1427" s="59" t="n"/>
      <c r="DR1427" s="63" t="n"/>
      <c r="DS1427" s="153" t="n"/>
      <c r="DT1427" s="80" t="n"/>
      <c r="DU1427" s="153" t="n"/>
      <c r="DV1427" s="157" t="n"/>
      <c r="DW1427" s="158" t="n"/>
      <c r="DZ1427" s="146" t="n"/>
      <c r="EA1427" s="146" t="n"/>
      <c r="EB1427" s="146" t="n"/>
      <c r="EC1427" s="63" t="n"/>
      <c r="EE1427" s="64" t="n"/>
      <c r="EF1427" s="60" t="n"/>
      <c r="EG1427" s="59" t="n"/>
    </row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Penny Cheung</dc:creator>
  <dcterms:created xsi:type="dcterms:W3CDTF">1998-12-03T07:18:48Z</dcterms:created>
  <dcterms:modified xsi:type="dcterms:W3CDTF">2026-10-17T01:46:19Z</dcterms:modified>
  <cp:lastModifiedBy>ZHU Jiaqi</cp:lastModifiedBy>
  <cp:lastPrinted>2013-12-11T03:06:09Z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